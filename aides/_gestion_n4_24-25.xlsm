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voletmat/01-GESTION/00-BASE/"/>
    </mc:Choice>
  </mc:AlternateContent>
  <xr:revisionPtr revIDLastSave="0" documentId="13_ncr:1_{CDCB956D-93E6-EB48-951D-7B3AF1FD5D62}" xr6:coauthVersionLast="47" xr6:coauthVersionMax="47" xr10:uidLastSave="{00000000-0000-0000-0000-000000000000}"/>
  <bookViews>
    <workbookView xWindow="55780" yWindow="2800" windowWidth="38420" windowHeight="24540" tabRatio="771" activeTab="2" xr2:uid="{00000000-000D-0000-FFFF-FFFF00000000}"/>
  </bookViews>
  <sheets>
    <sheet name="CA" sheetId="8" r:id="rId1"/>
    <sheet name="Planning facturation 24-25" sheetId="12" r:id="rId2"/>
    <sheet name="facturation 24-25" sheetId="7" r:id="rId3"/>
    <sheet name="Prévisionnel 24-25" sheetId="3" r:id="rId4"/>
    <sheet name="Suivi BQ 24-25" sheetId="10" r:id="rId5"/>
    <sheet name="Pointage BQ 24-25" sheetId="9" r:id="rId6"/>
    <sheet name="Prospect" sheetId="2" r:id="rId7"/>
    <sheet name="calcul salaire" sheetId="4" r:id="rId8"/>
    <sheet name="prévi SL LD" sheetId="11" r:id="rId9"/>
  </sheets>
  <definedNames>
    <definedName name="_xlnm._FilterDatabase" localSheetId="5" hidden="1">'Pointage BQ 24-25'!$A$1:$F$401</definedName>
    <definedName name="_xleta.NOW" hidden="1" xlm="1">#NAME?</definedName>
    <definedName name="Couleur">GET.CELL(63,'facturation 24-25'!B1)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XtTp6JCl/6XynmzXf0kXAT2dL1Dk3BJ76Qficso/fHE="/>
    </ext>
  </extLst>
</workbook>
</file>

<file path=xl/calcChain.xml><?xml version="1.0" encoding="utf-8"?>
<calcChain xmlns="http://schemas.openxmlformats.org/spreadsheetml/2006/main">
  <c r="F1" i="7" l="1"/>
  <c r="F5" i="7" l="1"/>
  <c r="G17" i="12"/>
  <c r="T17" i="12"/>
  <c r="F85" i="7"/>
  <c r="E85" i="7"/>
  <c r="C9" i="11"/>
  <c r="C1" i="7"/>
  <c r="N3" i="10" l="1"/>
  <c r="M3" i="10"/>
  <c r="L3" i="10"/>
  <c r="K3" i="10"/>
  <c r="J3" i="10"/>
  <c r="I3" i="10"/>
  <c r="H3" i="10"/>
  <c r="G3" i="10"/>
  <c r="F3" i="10"/>
  <c r="E3" i="10"/>
  <c r="D3" i="10"/>
  <c r="C3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D401" i="9"/>
  <c r="C401" i="9"/>
  <c r="D366" i="9"/>
  <c r="C366" i="9"/>
  <c r="D332" i="9"/>
  <c r="C332" i="9"/>
  <c r="D286" i="9"/>
  <c r="C286" i="9"/>
  <c r="D258" i="9"/>
  <c r="C258" i="9"/>
  <c r="D225" i="9"/>
  <c r="C225" i="9"/>
  <c r="D192" i="9"/>
  <c r="C192" i="9"/>
  <c r="D156" i="9"/>
  <c r="C156" i="9"/>
  <c r="D115" i="9"/>
  <c r="C115" i="9"/>
  <c r="D89" i="9"/>
  <c r="C89" i="9"/>
  <c r="D53" i="9"/>
  <c r="C53" i="9"/>
  <c r="D30" i="9"/>
  <c r="C30" i="9"/>
  <c r="N6" i="10"/>
  <c r="M6" i="10"/>
  <c r="L6" i="10"/>
  <c r="K6" i="10"/>
  <c r="J6" i="10"/>
  <c r="I6" i="10"/>
  <c r="H6" i="10"/>
  <c r="G6" i="10"/>
  <c r="F6" i="10"/>
  <c r="E6" i="10"/>
  <c r="D6" i="10"/>
  <c r="C6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P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N28" i="10"/>
  <c r="M28" i="10"/>
  <c r="N27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N32" i="10"/>
  <c r="M32" i="10"/>
  <c r="L32" i="10"/>
  <c r="N33" i="10"/>
  <c r="M33" i="10"/>
  <c r="L33" i="10"/>
  <c r="K33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N22" i="10"/>
  <c r="M22" i="10"/>
  <c r="L22" i="10"/>
  <c r="K22" i="10"/>
  <c r="J22" i="10"/>
  <c r="I22" i="10"/>
  <c r="H22" i="10"/>
  <c r="G22" i="10"/>
  <c r="F22" i="10"/>
  <c r="E22" i="10"/>
  <c r="D22" i="10"/>
  <c r="C22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N19" i="10"/>
  <c r="M19" i="10"/>
  <c r="L19" i="10"/>
  <c r="N18" i="10"/>
  <c r="N15" i="10"/>
  <c r="N13" i="10"/>
  <c r="N11" i="10"/>
  <c r="N9" i="10"/>
  <c r="N8" i="10"/>
  <c r="N7" i="10"/>
  <c r="M7" i="10"/>
  <c r="N5" i="10"/>
  <c r="N4" i="10"/>
  <c r="N2" i="10"/>
  <c r="N42" i="10" s="1"/>
  <c r="M13" i="10"/>
  <c r="L13" i="10"/>
  <c r="N41" i="10" l="1"/>
  <c r="O3" i="10"/>
  <c r="O34" i="10"/>
  <c r="O14" i="10"/>
  <c r="O12" i="10"/>
  <c r="O36" i="10"/>
  <c r="O39" i="10"/>
  <c r="O24" i="10"/>
  <c r="Q24" i="10" s="1"/>
  <c r="M27" i="10"/>
  <c r="L27" i="10"/>
  <c r="L7" i="10"/>
  <c r="M11" i="10"/>
  <c r="L11" i="10"/>
  <c r="M9" i="10"/>
  <c r="L9" i="10"/>
  <c r="M15" i="10"/>
  <c r="L15" i="10"/>
  <c r="K15" i="10"/>
  <c r="C15" i="10"/>
  <c r="D15" i="10"/>
  <c r="E15" i="10"/>
  <c r="F15" i="10"/>
  <c r="G15" i="10"/>
  <c r="M18" i="10"/>
  <c r="L18" i="10"/>
  <c r="C18" i="10"/>
  <c r="D18" i="10"/>
  <c r="E18" i="10"/>
  <c r="F18" i="10"/>
  <c r="G18" i="10"/>
  <c r="M8" i="10"/>
  <c r="L8" i="10"/>
  <c r="L28" i="10"/>
  <c r="K28" i="10"/>
  <c r="J28" i="10"/>
  <c r="I28" i="10"/>
  <c r="G28" i="10"/>
  <c r="F28" i="10"/>
  <c r="E28" i="10"/>
  <c r="D28" i="10"/>
  <c r="C28" i="10"/>
  <c r="M5" i="10"/>
  <c r="L5" i="10"/>
  <c r="M4" i="10"/>
  <c r="M41" i="10" l="1"/>
  <c r="C2" i="7"/>
  <c r="C38" i="3"/>
  <c r="G9" i="3"/>
  <c r="E97" i="7"/>
  <c r="F97" i="7" s="1"/>
  <c r="E96" i="7"/>
  <c r="F96" i="7" s="1"/>
  <c r="E95" i="7"/>
  <c r="F95" i="7"/>
  <c r="E94" i="7" l="1"/>
  <c r="F94" i="7" s="1"/>
  <c r="E15" i="12"/>
  <c r="T15" i="12" l="1"/>
  <c r="E93" i="7"/>
  <c r="F93" i="7"/>
  <c r="L20" i="3"/>
  <c r="E36" i="3" l="1"/>
  <c r="P31" i="3"/>
  <c r="P21" i="3"/>
  <c r="P22" i="3"/>
  <c r="P23" i="3"/>
  <c r="P24" i="3"/>
  <c r="P20" i="3"/>
  <c r="O24" i="3"/>
  <c r="O39" i="3"/>
  <c r="O40" i="3"/>
  <c r="N47" i="3"/>
  <c r="E92" i="7"/>
  <c r="F92" i="7" s="1"/>
  <c r="C29" i="11"/>
  <c r="C30" i="11"/>
  <c r="T32" i="12"/>
  <c r="D5" i="8"/>
  <c r="C5" i="8"/>
  <c r="B5" i="8"/>
  <c r="C5" i="7"/>
  <c r="E91" i="7"/>
  <c r="F91" i="7" s="1"/>
  <c r="M2" i="10"/>
  <c r="M42" i="10" s="1"/>
  <c r="E90" i="7"/>
  <c r="F90" i="7" s="1"/>
  <c r="F7" i="7"/>
  <c r="E5" i="8" l="1"/>
  <c r="S43" i="12"/>
  <c r="E89" i="7"/>
  <c r="F89" i="7" s="1"/>
  <c r="T55" i="12"/>
  <c r="O58" i="12" s="1"/>
  <c r="F6" i="8" l="1"/>
  <c r="E88" i="7"/>
  <c r="F88" i="7" s="1"/>
  <c r="E87" i="7"/>
  <c r="F87" i="7" s="1"/>
  <c r="E86" i="7"/>
  <c r="F86" i="7" s="1"/>
  <c r="F84" i="7"/>
  <c r="E84" i="7"/>
  <c r="E83" i="7"/>
  <c r="F83" i="7"/>
  <c r="E82" i="7"/>
  <c r="F82" i="7" s="1"/>
  <c r="E81" i="7"/>
  <c r="F81" i="7" s="1"/>
  <c r="G44" i="12"/>
  <c r="H44" i="12" s="1"/>
  <c r="G45" i="12"/>
  <c r="H45" i="12" s="1"/>
  <c r="E80" i="7"/>
  <c r="F80" i="7" s="1"/>
  <c r="L4" i="10"/>
  <c r="L41" i="10" s="1"/>
  <c r="L2" i="10"/>
  <c r="L42" i="10" s="1"/>
  <c r="S55" i="12"/>
  <c r="I58" i="12" s="1"/>
  <c r="E79" i="7"/>
  <c r="F79" i="7" s="1"/>
  <c r="G42" i="12"/>
  <c r="H42" i="12" s="1"/>
  <c r="G43" i="12"/>
  <c r="H43" i="12" s="1"/>
  <c r="E78" i="7"/>
  <c r="F78" i="7" s="1"/>
  <c r="H262" i="9"/>
  <c r="I262" i="9" s="1"/>
  <c r="T25" i="3"/>
  <c r="T24" i="3"/>
  <c r="I55" i="12"/>
  <c r="E77" i="7"/>
  <c r="F77" i="7" s="1"/>
  <c r="R22" i="12"/>
  <c r="R55" i="12" s="1"/>
  <c r="E76" i="7"/>
  <c r="F76" i="7" s="1"/>
  <c r="F12" i="2"/>
  <c r="S38" i="12"/>
  <c r="K9" i="10" l="1"/>
  <c r="I9" i="10"/>
  <c r="H9" i="10"/>
  <c r="G9" i="10"/>
  <c r="F9" i="10"/>
  <c r="F8" i="10"/>
  <c r="C7" i="10"/>
  <c r="D7" i="10"/>
  <c r="E7" i="10"/>
  <c r="F7" i="10"/>
  <c r="G7" i="10"/>
  <c r="K7" i="10"/>
  <c r="J7" i="10"/>
  <c r="I7" i="10"/>
  <c r="H7" i="10"/>
  <c r="G41" i="12"/>
  <c r="H41" i="12" s="1"/>
  <c r="E75" i="7"/>
  <c r="F75" i="7" s="1"/>
  <c r="E74" i="7"/>
  <c r="F74" i="7" s="1"/>
  <c r="G13" i="3"/>
  <c r="C6" i="3"/>
  <c r="C5" i="3"/>
  <c r="G4" i="3"/>
  <c r="E30" i="3"/>
  <c r="E73" i="7"/>
  <c r="F73" i="7" s="1"/>
  <c r="G19" i="12"/>
  <c r="H19" i="12" s="1"/>
  <c r="G20" i="12"/>
  <c r="H20" i="12" s="1"/>
  <c r="G21" i="12"/>
  <c r="H21" i="12" s="1"/>
  <c r="G22" i="12"/>
  <c r="E70" i="7"/>
  <c r="F70" i="7" s="1"/>
  <c r="E69" i="7"/>
  <c r="F69" i="7" s="1"/>
  <c r="E72" i="7"/>
  <c r="F72" i="7" s="1"/>
  <c r="E71" i="7"/>
  <c r="F71" i="7" s="1"/>
  <c r="G40" i="12"/>
  <c r="H40" i="12" s="1"/>
  <c r="M8" i="3"/>
  <c r="N48" i="3"/>
  <c r="O47" i="3"/>
  <c r="O46" i="3"/>
  <c r="N45" i="3"/>
  <c r="O45" i="3" s="1"/>
  <c r="O44" i="3"/>
  <c r="O42" i="3"/>
  <c r="O49" i="3"/>
  <c r="N31" i="3"/>
  <c r="O21" i="3"/>
  <c r="O22" i="3"/>
  <c r="O23" i="3"/>
  <c r="O20" i="3"/>
  <c r="E68" i="7"/>
  <c r="F68" i="7" s="1"/>
  <c r="O48" i="3"/>
  <c r="K32" i="10"/>
  <c r="K27" i="10"/>
  <c r="K19" i="10"/>
  <c r="K18" i="10"/>
  <c r="K13" i="10"/>
  <c r="K11" i="10"/>
  <c r="K8" i="10"/>
  <c r="J8" i="10"/>
  <c r="K5" i="10"/>
  <c r="K4" i="10"/>
  <c r="J4" i="10"/>
  <c r="K2" i="10"/>
  <c r="K42" i="10" s="1"/>
  <c r="J2" i="10"/>
  <c r="J42" i="10" s="1"/>
  <c r="F3" i="7"/>
  <c r="E66" i="7"/>
  <c r="F66" i="7" s="1"/>
  <c r="E67" i="7"/>
  <c r="F67" i="7" s="1"/>
  <c r="E65" i="7"/>
  <c r="F65" i="7" s="1"/>
  <c r="N10" i="12"/>
  <c r="K10" i="12"/>
  <c r="J10" i="12"/>
  <c r="F10" i="12"/>
  <c r="E10" i="12"/>
  <c r="E6" i="12"/>
  <c r="F6" i="12"/>
  <c r="F6" i="2"/>
  <c r="Q15" i="12"/>
  <c r="Q55" i="12" s="1"/>
  <c r="J26" i="3"/>
  <c r="J33" i="10"/>
  <c r="J32" i="10"/>
  <c r="J27" i="10"/>
  <c r="J19" i="10"/>
  <c r="J18" i="10"/>
  <c r="J15" i="10"/>
  <c r="J13" i="10"/>
  <c r="J11" i="10"/>
  <c r="J9" i="10"/>
  <c r="J5" i="10"/>
  <c r="I4" i="10"/>
  <c r="G9" i="12"/>
  <c r="H9" i="12" s="1"/>
  <c r="G36" i="12"/>
  <c r="H36" i="12" s="1"/>
  <c r="G37" i="12"/>
  <c r="H37" i="12" s="1"/>
  <c r="G18" i="12"/>
  <c r="H18" i="12" s="1"/>
  <c r="G35" i="12"/>
  <c r="H35" i="12" s="1"/>
  <c r="G34" i="12"/>
  <c r="H34" i="12" s="1"/>
  <c r="G32" i="12"/>
  <c r="H32" i="12" s="1"/>
  <c r="H17" i="12"/>
  <c r="G16" i="12"/>
  <c r="H16" i="12" s="1"/>
  <c r="U39" i="12"/>
  <c r="P39" i="12"/>
  <c r="P55" i="12" s="1"/>
  <c r="E39" i="12"/>
  <c r="U38" i="12"/>
  <c r="O38" i="12"/>
  <c r="U33" i="12"/>
  <c r="L33" i="12"/>
  <c r="U31" i="12"/>
  <c r="L31" i="12"/>
  <c r="G31" i="12" s="1"/>
  <c r="H31" i="12" s="1"/>
  <c r="L30" i="12"/>
  <c r="J66" i="12" s="1"/>
  <c r="G29" i="12"/>
  <c r="G28" i="12"/>
  <c r="H28" i="12" s="1"/>
  <c r="G27" i="12"/>
  <c r="H27" i="12" s="1"/>
  <c r="G26" i="12"/>
  <c r="E26" i="12"/>
  <c r="O15" i="12"/>
  <c r="O55" i="12" s="1"/>
  <c r="N15" i="12"/>
  <c r="J15" i="12"/>
  <c r="G14" i="12"/>
  <c r="H14" i="12" s="1"/>
  <c r="G13" i="12"/>
  <c r="H13" i="12" s="1"/>
  <c r="G12" i="12"/>
  <c r="H12" i="12" s="1"/>
  <c r="G11" i="12"/>
  <c r="E11" i="12"/>
  <c r="M10" i="12"/>
  <c r="M55" i="12" s="1"/>
  <c r="L10" i="12"/>
  <c r="G8" i="12"/>
  <c r="H8" i="12" s="1"/>
  <c r="G7" i="12"/>
  <c r="E7" i="12"/>
  <c r="K6" i="12"/>
  <c r="K55" i="12" s="1"/>
  <c r="G5" i="12"/>
  <c r="E64" i="7"/>
  <c r="F64" i="7" s="1"/>
  <c r="E63" i="7"/>
  <c r="F63" i="7" s="1"/>
  <c r="E62" i="7"/>
  <c r="F62" i="7" s="1"/>
  <c r="E61" i="7"/>
  <c r="F61" i="7" s="1"/>
  <c r="G26" i="3"/>
  <c r="F16" i="2"/>
  <c r="B58" i="12" s="1"/>
  <c r="I33" i="10"/>
  <c r="I32" i="10"/>
  <c r="I27" i="10"/>
  <c r="I19" i="10"/>
  <c r="I18" i="10"/>
  <c r="I15" i="10"/>
  <c r="I13" i="10"/>
  <c r="I11" i="10"/>
  <c r="I8" i="10"/>
  <c r="I5" i="10"/>
  <c r="H4" i="10"/>
  <c r="I2" i="10"/>
  <c r="I42" i="10" s="1"/>
  <c r="E60" i="7"/>
  <c r="F60" i="7" s="1"/>
  <c r="H33" i="10"/>
  <c r="G33" i="10"/>
  <c r="F33" i="10"/>
  <c r="E33" i="10"/>
  <c r="D33" i="10"/>
  <c r="C33" i="10"/>
  <c r="H13" i="10"/>
  <c r="G13" i="10"/>
  <c r="F13" i="10"/>
  <c r="E13" i="10"/>
  <c r="D13" i="10"/>
  <c r="C13" i="10"/>
  <c r="E59" i="7"/>
  <c r="F59" i="7"/>
  <c r="H32" i="10"/>
  <c r="G32" i="10"/>
  <c r="F32" i="10"/>
  <c r="E32" i="10"/>
  <c r="D32" i="10"/>
  <c r="C32" i="10"/>
  <c r="H28" i="10"/>
  <c r="H27" i="10"/>
  <c r="H19" i="10"/>
  <c r="H18" i="10"/>
  <c r="H15" i="10"/>
  <c r="H11" i="10"/>
  <c r="H8" i="10"/>
  <c r="H5" i="10"/>
  <c r="H2" i="10"/>
  <c r="H42" i="10" s="1"/>
  <c r="E58" i="7"/>
  <c r="F58" i="7" s="1"/>
  <c r="E57" i="7"/>
  <c r="F57" i="7" s="1"/>
  <c r="E56" i="7"/>
  <c r="F56" i="7" s="1"/>
  <c r="E55" i="7"/>
  <c r="F55" i="7" s="1"/>
  <c r="C5" i="11"/>
  <c r="C6" i="11"/>
  <c r="G16" i="11"/>
  <c r="H16" i="11" s="1"/>
  <c r="C16" i="11"/>
  <c r="C11" i="11"/>
  <c r="C10" i="11"/>
  <c r="C7" i="11"/>
  <c r="G31" i="11"/>
  <c r="D31" i="11"/>
  <c r="E31" i="11" s="1"/>
  <c r="G30" i="11"/>
  <c r="E30" i="11"/>
  <c r="G29" i="11"/>
  <c r="C39" i="11"/>
  <c r="G28" i="11"/>
  <c r="E28" i="11"/>
  <c r="G27" i="11"/>
  <c r="E27" i="11"/>
  <c r="G26" i="11"/>
  <c r="G24" i="11"/>
  <c r="E24" i="11"/>
  <c r="G23" i="11"/>
  <c r="D23" i="11"/>
  <c r="E23" i="11" s="1"/>
  <c r="G22" i="11"/>
  <c r="D22" i="11"/>
  <c r="E22" i="11" s="1"/>
  <c r="G21" i="11"/>
  <c r="D21" i="11"/>
  <c r="E21" i="11" s="1"/>
  <c r="G20" i="11"/>
  <c r="D20" i="11"/>
  <c r="E20" i="11" s="1"/>
  <c r="G19" i="11"/>
  <c r="E19" i="11"/>
  <c r="D19" i="11"/>
  <c r="G18" i="11"/>
  <c r="D18" i="11"/>
  <c r="E18" i="11" s="1"/>
  <c r="G17" i="11"/>
  <c r="E17" i="11"/>
  <c r="D17" i="11"/>
  <c r="D16" i="11"/>
  <c r="E16" i="11" s="1"/>
  <c r="G15" i="11"/>
  <c r="D15" i="11"/>
  <c r="E15" i="11" s="1"/>
  <c r="G14" i="11"/>
  <c r="D14" i="11"/>
  <c r="E14" i="11" s="1"/>
  <c r="C14" i="11"/>
  <c r="G13" i="11"/>
  <c r="H13" i="11" s="1"/>
  <c r="E13" i="11"/>
  <c r="G12" i="11"/>
  <c r="H12" i="11" s="1"/>
  <c r="E12" i="11"/>
  <c r="G11" i="11"/>
  <c r="G10" i="11"/>
  <c r="E10" i="11"/>
  <c r="G9" i="11"/>
  <c r="M8" i="11"/>
  <c r="O8" i="11" s="1"/>
  <c r="O10" i="11" s="1"/>
  <c r="O7" i="11"/>
  <c r="G6" i="11"/>
  <c r="E6" i="11"/>
  <c r="G5" i="11"/>
  <c r="E5" i="11"/>
  <c r="G4" i="11"/>
  <c r="G3" i="11"/>
  <c r="C3" i="11"/>
  <c r="J41" i="10" l="1"/>
  <c r="H41" i="10"/>
  <c r="I41" i="10"/>
  <c r="K41" i="10"/>
  <c r="N55" i="12"/>
  <c r="L55" i="12"/>
  <c r="J55" i="12"/>
  <c r="O31" i="3"/>
  <c r="H22" i="12"/>
  <c r="E55" i="12"/>
  <c r="F5" i="12"/>
  <c r="O50" i="3"/>
  <c r="O37" i="10"/>
  <c r="O33" i="10"/>
  <c r="O35" i="10"/>
  <c r="O32" i="10"/>
  <c r="E9" i="11"/>
  <c r="H9" i="11" s="1"/>
  <c r="H11" i="12"/>
  <c r="H7" i="12"/>
  <c r="U55" i="12"/>
  <c r="H26" i="12"/>
  <c r="G3" i="7"/>
  <c r="K66" i="12"/>
  <c r="G38" i="12"/>
  <c r="H38" i="12" s="1"/>
  <c r="G33" i="12"/>
  <c r="H33" i="12" s="1"/>
  <c r="G30" i="12"/>
  <c r="G39" i="12"/>
  <c r="H39" i="12" s="1"/>
  <c r="G6" i="12"/>
  <c r="G15" i="12"/>
  <c r="H15" i="12" s="1"/>
  <c r="G10" i="12"/>
  <c r="H10" i="12" s="1"/>
  <c r="H5" i="11"/>
  <c r="H20" i="11"/>
  <c r="H22" i="11"/>
  <c r="H6" i="11"/>
  <c r="H19" i="11"/>
  <c r="H21" i="11"/>
  <c r="H23" i="11"/>
  <c r="H15" i="11"/>
  <c r="H17" i="11"/>
  <c r="H24" i="11"/>
  <c r="H10" i="11"/>
  <c r="H14" i="11"/>
  <c r="H18" i="11"/>
  <c r="H27" i="11"/>
  <c r="H31" i="11"/>
  <c r="H28" i="11"/>
  <c r="H30" i="11"/>
  <c r="C4" i="11"/>
  <c r="L1" i="11" s="1"/>
  <c r="L2" i="11" s="1"/>
  <c r="C37" i="11"/>
  <c r="A37" i="11" s="1"/>
  <c r="E11" i="11"/>
  <c r="H11" i="11" s="1"/>
  <c r="E3" i="11"/>
  <c r="H3" i="11" s="1"/>
  <c r="E29" i="11"/>
  <c r="H29" i="11" s="1"/>
  <c r="J5" i="11"/>
  <c r="D26" i="11"/>
  <c r="E26" i="11" s="1"/>
  <c r="H26" i="11" s="1"/>
  <c r="E54" i="7"/>
  <c r="F54" i="7" s="1"/>
  <c r="E53" i="7"/>
  <c r="F53" i="7" s="1"/>
  <c r="E52" i="7"/>
  <c r="F52" i="7" s="1"/>
  <c r="E51" i="7"/>
  <c r="F51" i="7" s="1"/>
  <c r="D31" i="3"/>
  <c r="D17" i="3"/>
  <c r="E17" i="3" s="1"/>
  <c r="P28" i="10" s="1"/>
  <c r="G16" i="3"/>
  <c r="G29" i="3"/>
  <c r="G31" i="3"/>
  <c r="G3" i="3"/>
  <c r="O31" i="10"/>
  <c r="O28" i="10"/>
  <c r="G27" i="10"/>
  <c r="F27" i="10"/>
  <c r="E27" i="10"/>
  <c r="D27" i="10"/>
  <c r="C27" i="10"/>
  <c r="O26" i="10"/>
  <c r="O20" i="10"/>
  <c r="G19" i="10"/>
  <c r="F19" i="10"/>
  <c r="E19" i="10"/>
  <c r="D19" i="10"/>
  <c r="C19" i="10"/>
  <c r="O18" i="10"/>
  <c r="O15" i="10"/>
  <c r="G11" i="10"/>
  <c r="F11" i="10"/>
  <c r="E11" i="10"/>
  <c r="D11" i="10"/>
  <c r="C11" i="10"/>
  <c r="P10" i="10"/>
  <c r="O10" i="10"/>
  <c r="E9" i="10"/>
  <c r="D9" i="10"/>
  <c r="C9" i="10"/>
  <c r="G8" i="10"/>
  <c r="E8" i="10"/>
  <c r="D8" i="10"/>
  <c r="C8" i="10"/>
  <c r="O7" i="10"/>
  <c r="G5" i="10"/>
  <c r="F5" i="10"/>
  <c r="E5" i="10"/>
  <c r="D5" i="10"/>
  <c r="C5" i="10"/>
  <c r="G4" i="10"/>
  <c r="F4" i="10"/>
  <c r="E4" i="10"/>
  <c r="D4" i="10"/>
  <c r="C4" i="10"/>
  <c r="G2" i="10"/>
  <c r="G42" i="10" s="1"/>
  <c r="F2" i="10"/>
  <c r="F42" i="10" s="1"/>
  <c r="E2" i="10"/>
  <c r="E42" i="10" s="1"/>
  <c r="D2" i="10"/>
  <c r="D42" i="10" s="1"/>
  <c r="C2" i="10"/>
  <c r="C42" i="10" s="1"/>
  <c r="P31" i="10"/>
  <c r="E28" i="3"/>
  <c r="E24" i="3"/>
  <c r="P23" i="10" s="1"/>
  <c r="E12" i="3"/>
  <c r="P11" i="10" s="1"/>
  <c r="E11" i="3"/>
  <c r="E10" i="3"/>
  <c r="P9" i="10" s="1"/>
  <c r="E50" i="7"/>
  <c r="F50" i="7" s="1"/>
  <c r="E49" i="7"/>
  <c r="F49" i="7" s="1"/>
  <c r="E48" i="7"/>
  <c r="F48" i="7" s="1"/>
  <c r="E47" i="7"/>
  <c r="F47" i="7" s="1"/>
  <c r="E46" i="7"/>
  <c r="F46" i="7" s="1"/>
  <c r="E45" i="7"/>
  <c r="F45" i="7" s="1"/>
  <c r="E44" i="7"/>
  <c r="F44" i="7" s="1"/>
  <c r="C6" i="8"/>
  <c r="E29" i="3"/>
  <c r="P30" i="10" s="1"/>
  <c r="E43" i="7"/>
  <c r="F43" i="7" s="1"/>
  <c r="F30" i="2"/>
  <c r="E42" i="7"/>
  <c r="F42" i="7" s="1"/>
  <c r="E37" i="7"/>
  <c r="F37" i="7" s="1"/>
  <c r="E38" i="7"/>
  <c r="F38" i="7" s="1"/>
  <c r="E39" i="7"/>
  <c r="F39" i="7" s="1"/>
  <c r="E40" i="7"/>
  <c r="F40" i="7" s="1"/>
  <c r="E41" i="7"/>
  <c r="F41" i="7" s="1"/>
  <c r="E36" i="7"/>
  <c r="F36" i="7" s="1"/>
  <c r="E32" i="7"/>
  <c r="F32" i="7" s="1"/>
  <c r="E31" i="7"/>
  <c r="F31" i="7" s="1"/>
  <c r="E33" i="7"/>
  <c r="F33" i="7" s="1"/>
  <c r="E34" i="7"/>
  <c r="F34" i="7" s="1"/>
  <c r="E35" i="7"/>
  <c r="F35" i="7" s="1"/>
  <c r="E30" i="7"/>
  <c r="F30" i="7" s="1"/>
  <c r="E29" i="7"/>
  <c r="C39" i="3"/>
  <c r="E39" i="3" s="1"/>
  <c r="D41" i="10" l="1"/>
  <c r="E41" i="10"/>
  <c r="F41" i="10"/>
  <c r="C41" i="10"/>
  <c r="E45" i="10" s="1"/>
  <c r="G41" i="10"/>
  <c r="O42" i="10"/>
  <c r="O43" i="10" s="1"/>
  <c r="O2" i="10"/>
  <c r="P42" i="10" s="1"/>
  <c r="O19" i="10"/>
  <c r="O51" i="3"/>
  <c r="P50" i="3"/>
  <c r="D6" i="8"/>
  <c r="E6" i="8"/>
  <c r="C58" i="12"/>
  <c r="G55" i="12"/>
  <c r="H5" i="12"/>
  <c r="F55" i="12"/>
  <c r="O5" i="10"/>
  <c r="C36" i="11"/>
  <c r="A36" i="11" s="1"/>
  <c r="E27" i="3"/>
  <c r="P27" i="10" s="1"/>
  <c r="H6" i="12"/>
  <c r="M66" i="12"/>
  <c r="E4" i="11"/>
  <c r="H4" i="11" s="1"/>
  <c r="J3" i="11"/>
  <c r="Q31" i="10"/>
  <c r="Q26" i="10"/>
  <c r="Q28" i="10"/>
  <c r="Q10" i="10"/>
  <c r="D26" i="3"/>
  <c r="E26" i="3" s="1"/>
  <c r="K3" i="11"/>
  <c r="K4" i="11" s="1"/>
  <c r="P29" i="10"/>
  <c r="H29" i="3"/>
  <c r="E31" i="3"/>
  <c r="H31" i="3" s="1"/>
  <c r="O27" i="10"/>
  <c r="O22" i="10"/>
  <c r="O25" i="10"/>
  <c r="O21" i="10"/>
  <c r="O4" i="10"/>
  <c r="O16" i="10"/>
  <c r="O11" i="10"/>
  <c r="Q11" i="10" s="1"/>
  <c r="O9" i="10"/>
  <c r="Q9" i="10" s="1"/>
  <c r="O17" i="10"/>
  <c r="O29" i="10"/>
  <c r="O23" i="10"/>
  <c r="Q23" i="10" s="1"/>
  <c r="O6" i="10"/>
  <c r="O30" i="10"/>
  <c r="Q30" i="10" s="1"/>
  <c r="O13" i="10"/>
  <c r="O8" i="10"/>
  <c r="D15" i="3"/>
  <c r="E15" i="3" s="1"/>
  <c r="F26" i="7"/>
  <c r="F28" i="7"/>
  <c r="F27" i="7"/>
  <c r="F25" i="7"/>
  <c r="C3" i="3"/>
  <c r="E22" i="7"/>
  <c r="E23" i="7"/>
  <c r="E21" i="7"/>
  <c r="E19" i="7"/>
  <c r="E20" i="7"/>
  <c r="C22" i="3"/>
  <c r="E17" i="7"/>
  <c r="D5" i="2"/>
  <c r="F5" i="2"/>
  <c r="F4" i="2"/>
  <c r="D4" i="2"/>
  <c r="E6" i="3"/>
  <c r="F22" i="2"/>
  <c r="F21" i="2"/>
  <c r="P41" i="10" l="1"/>
  <c r="O41" i="10"/>
  <c r="Q27" i="10"/>
  <c r="C4" i="3"/>
  <c r="L1" i="3" s="1"/>
  <c r="L2" i="3" s="1"/>
  <c r="C37" i="3"/>
  <c r="H55" i="12"/>
  <c r="P25" i="10"/>
  <c r="Q25" i="10" s="1"/>
  <c r="H26" i="3"/>
  <c r="C38" i="11"/>
  <c r="C40" i="11" s="1"/>
  <c r="C42" i="11" s="1"/>
  <c r="Q29" i="10"/>
  <c r="E3" i="3"/>
  <c r="H3" i="3" s="1"/>
  <c r="E5" i="3"/>
  <c r="G27" i="3"/>
  <c r="G22" i="3"/>
  <c r="G28" i="3"/>
  <c r="H28" i="3" s="1"/>
  <c r="G23" i="3"/>
  <c r="G19" i="3"/>
  <c r="H19" i="3" s="1"/>
  <c r="G21" i="3"/>
  <c r="H21" i="3" s="1"/>
  <c r="G20" i="3"/>
  <c r="H20" i="3" s="1"/>
  <c r="G17" i="3"/>
  <c r="H17" i="3" s="1"/>
  <c r="G30" i="3"/>
  <c r="H30" i="3" s="1"/>
  <c r="G24" i="3"/>
  <c r="H24" i="3" s="1"/>
  <c r="G14" i="3"/>
  <c r="G18" i="3"/>
  <c r="G15" i="3"/>
  <c r="H15" i="3" s="1"/>
  <c r="G11" i="3"/>
  <c r="H11" i="3" s="1"/>
  <c r="G6" i="3"/>
  <c r="H6" i="3" s="1"/>
  <c r="G12" i="3"/>
  <c r="H12" i="3" s="1"/>
  <c r="G10" i="3"/>
  <c r="P7" i="10"/>
  <c r="Q7" i="10" s="1"/>
  <c r="G5" i="3"/>
  <c r="E9" i="3"/>
  <c r="H9" i="3" s="1"/>
  <c r="E4" i="3"/>
  <c r="I50" i="4"/>
  <c r="N42" i="4"/>
  <c r="O43" i="4" s="1"/>
  <c r="N40" i="4"/>
  <c r="E38" i="4"/>
  <c r="N21" i="4"/>
  <c r="N23" i="4" s="1"/>
  <c r="N28" i="4" s="1"/>
  <c r="E10" i="4"/>
  <c r="R7" i="4"/>
  <c r="O6" i="4"/>
  <c r="A3" i="4"/>
  <c r="F2" i="4" s="1"/>
  <c r="D2" i="4" s="1"/>
  <c r="D3" i="4" s="1"/>
  <c r="F3" i="4" s="1"/>
  <c r="D23" i="3"/>
  <c r="E23" i="3" s="1"/>
  <c r="D22" i="3"/>
  <c r="E22" i="3" s="1"/>
  <c r="D21" i="3"/>
  <c r="E21" i="3" s="1"/>
  <c r="D20" i="3"/>
  <c r="E20" i="3" s="1"/>
  <c r="D19" i="3"/>
  <c r="E19" i="3" s="1"/>
  <c r="D18" i="3"/>
  <c r="E18" i="3" s="1"/>
  <c r="D16" i="3"/>
  <c r="E16" i="3" s="1"/>
  <c r="H16" i="3" s="1"/>
  <c r="C14" i="3"/>
  <c r="C36" i="3" s="1"/>
  <c r="E13" i="3"/>
  <c r="H37" i="3" l="1"/>
  <c r="H36" i="3"/>
  <c r="H39" i="3"/>
  <c r="A38" i="11"/>
  <c r="H23" i="3"/>
  <c r="H27" i="3"/>
  <c r="H10" i="3"/>
  <c r="P4" i="10"/>
  <c r="Q4" i="10" s="1"/>
  <c r="J3" i="3"/>
  <c r="C40" i="3"/>
  <c r="C42" i="3" s="1"/>
  <c r="C45" i="3" s="1"/>
  <c r="H22" i="3"/>
  <c r="H18" i="3"/>
  <c r="C45" i="11"/>
  <c r="M7" i="11"/>
  <c r="M6" i="11" s="1"/>
  <c r="H13" i="3"/>
  <c r="H4" i="3"/>
  <c r="P6" i="10"/>
  <c r="Q6" i="10" s="1"/>
  <c r="H5" i="3"/>
  <c r="P13" i="10"/>
  <c r="Q13" i="10" s="1"/>
  <c r="P16" i="10"/>
  <c r="Q16" i="10" s="1"/>
  <c r="P17" i="10"/>
  <c r="Q17" i="10" s="1"/>
  <c r="P18" i="10"/>
  <c r="Q18" i="10" s="1"/>
  <c r="P19" i="10"/>
  <c r="Q19" i="10" s="1"/>
  <c r="P20" i="10"/>
  <c r="Q20" i="10" s="1"/>
  <c r="P21" i="10"/>
  <c r="Q21" i="10" s="1"/>
  <c r="P22" i="10"/>
  <c r="Q22" i="10" s="1"/>
  <c r="P8" i="10"/>
  <c r="Q8" i="10" s="1"/>
  <c r="P5" i="10"/>
  <c r="Q5" i="10" s="1"/>
  <c r="N43" i="4"/>
  <c r="N44" i="4" s="1"/>
  <c r="Q23" i="4"/>
  <c r="Q26" i="4" s="1"/>
  <c r="Q29" i="4" s="1"/>
  <c r="P28" i="4"/>
  <c r="O40" i="4"/>
  <c r="J5" i="3"/>
  <c r="F5" i="4"/>
  <c r="C31" i="4"/>
  <c r="E31" i="4" s="1"/>
  <c r="D14" i="3"/>
  <c r="E14" i="3" s="1"/>
  <c r="H14" i="3" s="1"/>
  <c r="H38" i="3" l="1"/>
  <c r="B63" i="12"/>
  <c r="C63" i="12" s="1"/>
  <c r="C49" i="3"/>
  <c r="H40" i="3"/>
  <c r="K3" i="3"/>
  <c r="K4" i="3" s="1"/>
  <c r="E37" i="3"/>
  <c r="P15" i="10"/>
  <c r="Q15" i="10" s="1"/>
  <c r="I14" i="4"/>
  <c r="H5" i="4"/>
  <c r="C14" i="4"/>
  <c r="E14" i="4" s="1"/>
  <c r="I20" i="4"/>
  <c r="I15" i="4"/>
  <c r="C20" i="4"/>
  <c r="E20" i="4" s="1"/>
  <c r="I12" i="4"/>
  <c r="I18" i="4"/>
  <c r="I16" i="4"/>
  <c r="I19" i="4"/>
  <c r="I10" i="4"/>
  <c r="I9" i="4"/>
  <c r="C24" i="4"/>
  <c r="C16" i="4"/>
  <c r="E16" i="4" s="1"/>
  <c r="C9" i="4"/>
  <c r="E9" i="4" s="1"/>
  <c r="I22" i="4"/>
  <c r="C15" i="4"/>
  <c r="E15" i="4" s="1"/>
  <c r="I8" i="4"/>
  <c r="C62" i="12" l="1"/>
  <c r="E40" i="3"/>
  <c r="E38" i="3"/>
  <c r="C26" i="4"/>
  <c r="E26" i="4" s="1"/>
  <c r="E24" i="4"/>
  <c r="I28" i="4"/>
  <c r="E48" i="4" s="1"/>
  <c r="E50" i="4" s="1"/>
  <c r="M7" i="3" l="1"/>
  <c r="M6" i="3" s="1"/>
  <c r="E28" i="4"/>
  <c r="F28" i="4" s="1"/>
  <c r="C37" i="4"/>
  <c r="E37" i="4" s="1"/>
  <c r="E34" i="4"/>
  <c r="E36" i="4" s="1"/>
  <c r="E53" i="4"/>
  <c r="E52" i="4"/>
  <c r="E39" i="4" l="1"/>
  <c r="I39" i="4" l="1"/>
  <c r="G48" i="4"/>
  <c r="E44" i="4"/>
  <c r="P2" i="10" l="1"/>
  <c r="Q2" i="10" s="1"/>
  <c r="C49" i="11" l="1"/>
  <c r="G7" i="7" l="1"/>
  <c r="C48" i="3" l="1"/>
  <c r="C50" i="3" s="1"/>
  <c r="C48" i="11" l="1"/>
  <c r="C5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THIAW CECILE</author>
  </authors>
  <commentList>
    <comment ref="K6" authorId="0" shapeId="0" xr:uid="{10199A7C-B3D2-4BEA-9D61-A231112D13E0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AO1 : 50% (1)</t>
        </r>
      </text>
    </comment>
    <comment ref="F10" authorId="0" shapeId="0" xr:uid="{BE612C5F-B117-4CB4-B4E3-50153C3E22E1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Janv 24 : Rel + Faisa
Fev 24 : Auto Adm
Juin 24 : 50% AO
Remise de 10% oubliée (avoir en Août 25</t>
        </r>
      </text>
    </comment>
    <comment ref="J10" authorId="0" shapeId="0" xr:uid="{1940FC90-E5C6-496D-BDAE-C64C83C6616A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Ao 50% (-10% remise)
</t>
        </r>
        <r>
          <rPr>
            <sz val="9"/>
            <color rgb="FF000000"/>
            <rFont val="Tahoma"/>
            <family val="2"/>
          </rPr>
          <t>- avoir remise de 10% oubliée sur les 3 premières factures</t>
        </r>
      </text>
    </comment>
    <comment ref="K10" authorId="0" shapeId="0" xr:uid="{6FF93F98-62E2-436F-9FEB-F59E7A854EDB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Estim + Marché de Wx - 10%¨remise</t>
        </r>
      </text>
    </comment>
    <comment ref="L10" authorId="0" shapeId="0" xr:uid="{29A86C61-A4A3-415B-8D73-735E8C72211A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Dir Wx1 : 50%
-10% remise</t>
        </r>
      </text>
    </comment>
    <comment ref="M10" authorId="0" shapeId="0" xr:uid="{07129DB7-10BD-46EB-8483-E819900D278C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Dir Wx 2 : 50%
-10% remiuse</t>
        </r>
      </text>
    </comment>
    <comment ref="N10" authorId="0" shapeId="0" xr:uid="{A4D979F1-8A16-4E3A-BBAB-3A7E10CA3B8B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AOR- frais frigo</t>
        </r>
      </text>
    </comment>
    <comment ref="M13" authorId="0" shapeId="0" xr:uid="{101866B0-59BB-458D-80F2-2A08839D2BD2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Faisa 1 : 50%</t>
        </r>
      </text>
    </comment>
    <comment ref="Q13" authorId="0" shapeId="0" xr:uid="{EB208204-CA01-4B83-837B-4C4B1AFF747C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Faisa  2 :  50%</t>
        </r>
      </text>
    </comment>
    <comment ref="T13" authorId="0" shapeId="0" xr:uid="{AD22EBF1-7561-478A-8201-99D5074C017A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Estim</t>
        </r>
      </text>
    </comment>
    <comment ref="J15" authorId="0" shapeId="0" xr:uid="{BF72974C-E3AB-46B4-AD18-C4E0818D56A3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Relevé</t>
        </r>
      </text>
    </comment>
    <comment ref="N15" authorId="0" shapeId="0" xr:uid="{5AB996AF-D636-47D3-9EEA-F47DCFDC1CD2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FAISA</t>
        </r>
      </text>
    </comment>
    <comment ref="O15" authorId="0" shapeId="0" xr:uid="{82635186-170C-4E91-924F-E4C021AA697C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Q15" authorId="0" shapeId="0" xr:uid="{0C4ED61C-F026-4E8C-9795-483176436ACE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AO + Marché W</t>
        </r>
      </text>
    </comment>
    <comment ref="R15" authorId="0" shapeId="0" xr:uid="{BDDCC876-BEE2-42C4-9EA8-14F0F71945D5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Dir Wx 35% (1)</t>
        </r>
      </text>
    </comment>
    <comment ref="S15" authorId="0" shapeId="0" xr:uid="{2FF872FF-B75D-43DD-B7D7-A2086B98AB7A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Dir Wx 35% (2)</t>
        </r>
      </text>
    </comment>
    <comment ref="T15" authorId="0" shapeId="0" xr:uid="{6A50935A-D5EA-4253-BD32-9751DF6148F5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Dir Wx 30 (3) + réu sup 80%</t>
        </r>
      </text>
    </comment>
    <comment ref="L17" authorId="0" shapeId="0" xr:uid="{35EADD59-7B78-43BA-8266-B8B24E917920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ESQ + 50% APS</t>
        </r>
      </text>
    </comment>
    <comment ref="N18" authorId="0" shapeId="0" xr:uid="{AEB54E48-773E-4992-8B11-635ADB3180C8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Relevé</t>
        </r>
      </text>
    </comment>
    <comment ref="Q18" authorId="0" shapeId="0" xr:uid="{DC75CB20-D2E9-4DBA-8632-2393A43D251F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FAISA 100%</t>
        </r>
      </text>
    </comment>
    <comment ref="S18" authorId="0" shapeId="0" xr:uid="{3D9C9D5C-A3D8-4A60-8AEF-BB07C069797B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Auto Adm</t>
        </r>
      </text>
    </comment>
    <comment ref="P19" authorId="0" shapeId="0" xr:uid="{ECD7B14F-04A4-4800-9A79-95BA9002A660}">
      <text>
        <r>
          <rPr>
            <b/>
            <sz val="9"/>
            <color indexed="81"/>
            <rFont val="Tahoma"/>
            <family val="2"/>
          </rPr>
          <t>THIAW CECILE:</t>
        </r>
        <r>
          <rPr>
            <sz val="9"/>
            <color indexed="81"/>
            <rFont val="Tahoma"/>
            <family val="2"/>
          </rPr>
          <t xml:space="preserve">
Auto Adm</t>
        </r>
      </text>
    </comment>
    <comment ref="R21" authorId="0" shapeId="0" xr:uid="{6340D057-49D9-47E3-B01F-F4E6F40F9DEA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avancement 50% du total</t>
        </r>
      </text>
    </comment>
    <comment ref="S21" authorId="0" shapeId="0" xr:uid="{F251F6FB-6833-438F-82E1-896A74042D99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2ème moitiée</t>
        </r>
      </text>
    </comment>
    <comment ref="R22" authorId="0" shapeId="0" xr:uid="{2AF19236-08B7-4219-8C7B-5788B380E2B2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Acompte signature contrat
</t>
        </r>
        <r>
          <rPr>
            <sz val="9"/>
            <color rgb="FF000000"/>
            <rFont val="Tahoma"/>
            <family val="2"/>
          </rPr>
          <t>Facture dépot PC</t>
        </r>
      </text>
    </comment>
    <comment ref="S43" authorId="0" shapeId="0" xr:uid="{374F0528-991E-4584-AD41-956D719BE064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Contrat annulé : facture annulée par avaoir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RATINIER CECILE</author>
  </authors>
  <commentList>
    <comment ref="F10" authorId="0" shapeId="0" xr:uid="{C86FD382-E7E6-4B39-8F95-45B540C95926}">
      <text>
        <r>
          <rPr>
            <b/>
            <sz val="9"/>
            <color indexed="81"/>
            <rFont val="Tahoma"/>
            <family val="2"/>
          </rPr>
          <t>RATINIER CECILE:</t>
        </r>
        <r>
          <rPr>
            <sz val="9"/>
            <color indexed="81"/>
            <rFont val="Tahoma"/>
            <family val="2"/>
          </rPr>
          <t xml:space="preserve">
vir le 10/07/24 236,15</t>
        </r>
      </text>
    </comment>
  </commentList>
</comments>
</file>

<file path=xl/sharedStrings.xml><?xml version="1.0" encoding="utf-8"?>
<sst xmlns="http://schemas.openxmlformats.org/spreadsheetml/2006/main" count="1477" uniqueCount="834">
  <si>
    <t>HT</t>
  </si>
  <si>
    <t>TVA</t>
  </si>
  <si>
    <t>TTC</t>
  </si>
  <si>
    <t>contrat initial</t>
  </si>
  <si>
    <t>Montant contrat signé</t>
  </si>
  <si>
    <t>Montant restant à facturer</t>
  </si>
  <si>
    <t>EN VERT</t>
  </si>
  <si>
    <t>CE QUI EST FACTURÉ</t>
  </si>
  <si>
    <t>EN ROUGE</t>
  </si>
  <si>
    <t>CE QUI VA ÊTRE FACTURÉ</t>
  </si>
  <si>
    <t>CE QUI EST FACTURÉ MAIS NE VEUT PAS ÊTRE PAYÉ PAR LE CLIENT</t>
  </si>
  <si>
    <t>PROSPECTS</t>
  </si>
  <si>
    <t>pondération</t>
  </si>
  <si>
    <t>Sous total prospect</t>
  </si>
  <si>
    <t>Prospects</t>
  </si>
  <si>
    <t>salaire net</t>
  </si>
  <si>
    <t>Rémunération</t>
  </si>
  <si>
    <t>Horaires</t>
  </si>
  <si>
    <t>Charges</t>
  </si>
  <si>
    <t>Prévoyance (Madelin)</t>
  </si>
  <si>
    <t>Jour / an</t>
  </si>
  <si>
    <t>Assurance PRO</t>
  </si>
  <si>
    <t>Cotisation Ordre Archi</t>
  </si>
  <si>
    <t>CFE</t>
  </si>
  <si>
    <t>Protection Juridique</t>
  </si>
  <si>
    <t>Restaurant</t>
  </si>
  <si>
    <t>Frais postaux</t>
  </si>
  <si>
    <t>Abonnement compte Bancaire</t>
  </si>
  <si>
    <t>Site internet + WIX + commercial</t>
  </si>
  <si>
    <t>Téléphone</t>
  </si>
  <si>
    <t>Comptable</t>
  </si>
  <si>
    <t>IK</t>
  </si>
  <si>
    <t>Commission sur vente + autres</t>
  </si>
  <si>
    <t>Sous-traitance / co-traitance</t>
  </si>
  <si>
    <t>CESU</t>
  </si>
  <si>
    <t>IS</t>
  </si>
  <si>
    <t>Année N</t>
  </si>
  <si>
    <t xml:space="preserve"> Ventes Encaissées</t>
  </si>
  <si>
    <t>Ventes à venir</t>
  </si>
  <si>
    <t>Total vente</t>
  </si>
  <si>
    <t>coef</t>
  </si>
  <si>
    <t>valeur du point</t>
  </si>
  <si>
    <t>PPMS 2020</t>
  </si>
  <si>
    <t>salaire de base</t>
  </si>
  <si>
    <t>Brut annuel</t>
  </si>
  <si>
    <t>salaire brut</t>
  </si>
  <si>
    <t>sur 12 mois</t>
  </si>
  <si>
    <t>Santé</t>
  </si>
  <si>
    <t>Sécurité sociale</t>
  </si>
  <si>
    <t>Complémentaire prévoyance</t>
  </si>
  <si>
    <t>Complémentaire santé</t>
  </si>
  <si>
    <t xml:space="preserve">Accident du travail et maladie professionnelles </t>
  </si>
  <si>
    <t>Retraite</t>
  </si>
  <si>
    <t>sécurité social plafonnée</t>
  </si>
  <si>
    <t>sécurité social non plafonnée</t>
  </si>
  <si>
    <t>Complémentaire Tranche 01</t>
  </si>
  <si>
    <t>Famille</t>
  </si>
  <si>
    <t>Assurance chômage</t>
  </si>
  <si>
    <t>APEC</t>
  </si>
  <si>
    <t>Cot statutaires ou prévues par la conv. Coll</t>
  </si>
  <si>
    <t>CSG déduct. IR</t>
  </si>
  <si>
    <t>CSG/CRDS non déduct. IR</t>
  </si>
  <si>
    <t>total cotisation</t>
  </si>
  <si>
    <t>Charges Salariales</t>
  </si>
  <si>
    <t>Patronnales</t>
  </si>
  <si>
    <t>Exonération cotisation HC/HS</t>
  </si>
  <si>
    <t>Réintégration fiscale</t>
  </si>
  <si>
    <t>?</t>
  </si>
  <si>
    <t>net y compris CDG non déductible + CRDS non déductibre et part partonnale de la mutuelle</t>
  </si>
  <si>
    <t>Total Dû</t>
  </si>
  <si>
    <t>Net à payer avant IR</t>
  </si>
  <si>
    <t>prélevement à la source</t>
  </si>
  <si>
    <t>heures / semaine</t>
  </si>
  <si>
    <t>/h</t>
  </si>
  <si>
    <t>semaines</t>
  </si>
  <si>
    <t>Net à payer</t>
  </si>
  <si>
    <t>heures</t>
  </si>
  <si>
    <t>/mois net</t>
  </si>
  <si>
    <t>charges brutes totales salariale</t>
  </si>
  <si>
    <t>SCI AJV</t>
  </si>
  <si>
    <t>Mathias BACHELEY</t>
  </si>
  <si>
    <t>Octobre</t>
  </si>
  <si>
    <t>Novembre</t>
  </si>
  <si>
    <t>Décembre</t>
  </si>
  <si>
    <t>Frais généraux</t>
  </si>
  <si>
    <t>Archicad mise à jour</t>
  </si>
  <si>
    <t>Janvier</t>
  </si>
  <si>
    <t>Février</t>
  </si>
  <si>
    <t>Mars</t>
  </si>
  <si>
    <t>Avril</t>
  </si>
  <si>
    <t>Mai</t>
  </si>
  <si>
    <t>Juin</t>
  </si>
  <si>
    <t>CE QUI EST PAYÉ</t>
  </si>
  <si>
    <t>Septembre</t>
  </si>
  <si>
    <t>EN BLEU</t>
  </si>
  <si>
    <t>Impayés</t>
  </si>
  <si>
    <t>PER - GALYA - GAN Assurance</t>
  </si>
  <si>
    <t>MOECAS</t>
  </si>
  <si>
    <t>GUERIN</t>
  </si>
  <si>
    <t>Location bureau</t>
  </si>
  <si>
    <t>PEAUGER</t>
  </si>
  <si>
    <t>FARSSAC</t>
  </si>
  <si>
    <t>Stéphanie MOUGNIARD</t>
  </si>
  <si>
    <t>MEVEL</t>
  </si>
  <si>
    <t>faisa - maison assos</t>
  </si>
  <si>
    <t>faisa - atelier municipaux</t>
  </si>
  <si>
    <t>PROSPECT - N</t>
  </si>
  <si>
    <t>PROSPECT - N+1</t>
  </si>
  <si>
    <t>MOUGNIARD</t>
  </si>
  <si>
    <t>JULLIEN</t>
  </si>
  <si>
    <t>BONNEFOUS</t>
  </si>
  <si>
    <t>Taux de productivité</t>
  </si>
  <si>
    <t>Journée</t>
  </si>
  <si>
    <t>Juliette GUERIN</t>
  </si>
  <si>
    <t>Juillet 2024 - juin 2025</t>
  </si>
  <si>
    <t>ANNEE N4</t>
  </si>
  <si>
    <t>Objectif N4</t>
  </si>
  <si>
    <t>Arnaud SOZZA</t>
  </si>
  <si>
    <t>F24037</t>
  </si>
  <si>
    <t>STRIPE</t>
  </si>
  <si>
    <t>F24038</t>
  </si>
  <si>
    <t>F24039</t>
  </si>
  <si>
    <t>F24040</t>
  </si>
  <si>
    <t>Aout</t>
  </si>
  <si>
    <t>Juillet</t>
  </si>
  <si>
    <t>à Facturer en N</t>
  </si>
  <si>
    <t>C23001/2</t>
  </si>
  <si>
    <t>LAULT-MONCOMBLE</t>
  </si>
  <si>
    <t>C23005</t>
  </si>
  <si>
    <t>C23004</t>
  </si>
  <si>
    <t>C24001</t>
  </si>
  <si>
    <t>C24004</t>
  </si>
  <si>
    <t>C24006</t>
  </si>
  <si>
    <t>MAIRIE CANALS - Ecole</t>
  </si>
  <si>
    <t>C24007</t>
  </si>
  <si>
    <t>BEGOU</t>
  </si>
  <si>
    <t>M24001</t>
  </si>
  <si>
    <t>RIVIERE</t>
  </si>
  <si>
    <t>FARSSAC 2</t>
  </si>
  <si>
    <t>C24002/2</t>
  </si>
  <si>
    <t>C24002/1</t>
  </si>
  <si>
    <t>Sous-traitance</t>
  </si>
  <si>
    <t>LAULT -MONCOMBLE</t>
  </si>
  <si>
    <t>MEVEL 2</t>
  </si>
  <si>
    <t>Montant facturé (en cours)</t>
  </si>
  <si>
    <t>F24041</t>
  </si>
  <si>
    <t>F24042</t>
  </si>
  <si>
    <t>F24043</t>
  </si>
  <si>
    <t>F24044</t>
  </si>
  <si>
    <t>F24045</t>
  </si>
  <si>
    <t>Benoit HOF</t>
  </si>
  <si>
    <t>Pierre-Jean DUCASSE</t>
  </si>
  <si>
    <t>A24005</t>
  </si>
  <si>
    <t>FA24001</t>
  </si>
  <si>
    <t>Lisa MAURI</t>
  </si>
  <si>
    <t>F24046</t>
  </si>
  <si>
    <t>A24007</t>
  </si>
  <si>
    <t>A24006</t>
  </si>
  <si>
    <t>Assistante administrative</t>
  </si>
  <si>
    <t>Fournitures</t>
  </si>
  <si>
    <t>début 2025</t>
  </si>
  <si>
    <t>location mensuelle archicad</t>
  </si>
  <si>
    <t>240 euros HT</t>
  </si>
  <si>
    <t>HOF</t>
  </si>
  <si>
    <t>DUCASSE</t>
  </si>
  <si>
    <t>MAURI</t>
  </si>
  <si>
    <t>Facturation de l'année HT</t>
  </si>
  <si>
    <t>marge</t>
  </si>
  <si>
    <t>(contrats signés + prospects 50% + MAR)</t>
  </si>
  <si>
    <t>M24002</t>
  </si>
  <si>
    <t>M24003</t>
  </si>
  <si>
    <t>M24004</t>
  </si>
  <si>
    <t>F24047</t>
  </si>
  <si>
    <t>F24048</t>
  </si>
  <si>
    <t>F24049</t>
  </si>
  <si>
    <t>F24050</t>
  </si>
  <si>
    <t>Aurélien PIERRUGUES</t>
  </si>
  <si>
    <t>A24008</t>
  </si>
  <si>
    <t>N24-09-01</t>
  </si>
  <si>
    <t>N24-09-02</t>
  </si>
  <si>
    <t>Projet abandonné</t>
  </si>
  <si>
    <t>C24008</t>
  </si>
  <si>
    <t>RECOULES</t>
  </si>
  <si>
    <t>Annie</t>
  </si>
  <si>
    <t>Gabriel</t>
  </si>
  <si>
    <t>C24005</t>
  </si>
  <si>
    <t>MOECAS - PESSAC</t>
  </si>
  <si>
    <t>M24005</t>
  </si>
  <si>
    <t>M24006</t>
  </si>
  <si>
    <t>M24007</t>
  </si>
  <si>
    <t>M24008</t>
  </si>
  <si>
    <t>M24010</t>
  </si>
  <si>
    <t>N24-10-03</t>
  </si>
  <si>
    <t>N24-10-04</t>
  </si>
  <si>
    <t>N24-10-05</t>
  </si>
  <si>
    <t>N24-10-06</t>
  </si>
  <si>
    <t>N24-10-07</t>
  </si>
  <si>
    <t>Romain NOUGARET</t>
  </si>
  <si>
    <t>Julie GEFFRE</t>
  </si>
  <si>
    <t>Jean-Paul CONZATO</t>
  </si>
  <si>
    <t>Josiane RECOULES</t>
  </si>
  <si>
    <t>N24-10-08</t>
  </si>
  <si>
    <t>BENECH</t>
  </si>
  <si>
    <t>N24-10-09</t>
  </si>
  <si>
    <t>N24-10-10</t>
  </si>
  <si>
    <t>N24-10-11</t>
  </si>
  <si>
    <t>N24-10-12</t>
  </si>
  <si>
    <t>Josiane RECOULES (avoir)</t>
  </si>
  <si>
    <t>N24-10-13</t>
  </si>
  <si>
    <t>Alix DU ROY DE BLICQUY</t>
  </si>
  <si>
    <t>M24009</t>
  </si>
  <si>
    <t>CANALS</t>
  </si>
  <si>
    <t>N24-11-15</t>
  </si>
  <si>
    <t>projet fini</t>
  </si>
  <si>
    <t>Fredéric</t>
  </si>
  <si>
    <t>MARGE NET</t>
  </si>
  <si>
    <t>Informatique</t>
  </si>
  <si>
    <t>PROGRESSION CA</t>
  </si>
  <si>
    <t>N24-11-16</t>
  </si>
  <si>
    <t>N24-11-17</t>
  </si>
  <si>
    <t>Mirel COJOCARU</t>
  </si>
  <si>
    <t>M24011</t>
  </si>
  <si>
    <t>N24-11-18</t>
  </si>
  <si>
    <t>N24-11-19</t>
  </si>
  <si>
    <t>N24-11-20</t>
  </si>
  <si>
    <t>J RECOULES</t>
  </si>
  <si>
    <t>Raphaël DELORT</t>
  </si>
  <si>
    <t>M24012</t>
  </si>
  <si>
    <t>N24-11-21</t>
  </si>
  <si>
    <t>N24-11-22</t>
  </si>
  <si>
    <t>N24-11-23</t>
  </si>
  <si>
    <t>Date</t>
  </si>
  <si>
    <t>Date de valeur</t>
  </si>
  <si>
    <t>Débit</t>
  </si>
  <si>
    <t>Crédit</t>
  </si>
  <si>
    <t>Libellé</t>
  </si>
  <si>
    <t>TRI</t>
  </si>
  <si>
    <t>Marqueurs</t>
  </si>
  <si>
    <t>TOTAL</t>
  </si>
  <si>
    <t>PREVI</t>
  </si>
  <si>
    <t>ECART</t>
  </si>
  <si>
    <t>VIR FACT 2024060003 - THIAW</t>
  </si>
  <si>
    <t>ADMIN</t>
  </si>
  <si>
    <t>VENTE</t>
  </si>
  <si>
    <t>Ventes</t>
  </si>
  <si>
    <t>VIR LOMEDICO SABINE PERSO</t>
  </si>
  <si>
    <t>REM</t>
  </si>
  <si>
    <t>VIR LOMEDICO SABINE - F</t>
  </si>
  <si>
    <t>URSSAF</t>
  </si>
  <si>
    <t>PAIEMENT CB 2706 PARIS CNOA CARTE 2515</t>
  </si>
  <si>
    <t>OA</t>
  </si>
  <si>
    <t>PREV</t>
  </si>
  <si>
    <t>PAIEMENT PSC 2706 GRENADE / INTERMARCHE CARTE 2515</t>
  </si>
  <si>
    <t>ASS</t>
  </si>
  <si>
    <t>VIR SEPA REMUNERATION SL</t>
  </si>
  <si>
    <t>SMABTP</t>
  </si>
  <si>
    <t>4 PRLV SEPA VISEEON</t>
  </si>
  <si>
    <t>COMPTA</t>
  </si>
  <si>
    <t>VIR SOCIETE FRANCAISE DE PROTECTION JUR 2024/29 POUR REGLT DU SINISTRE 202312984</t>
  </si>
  <si>
    <t>PJ</t>
  </si>
  <si>
    <t>PRLV SEPA SWISSLIFE PS</t>
  </si>
  <si>
    <t>PAIEMENT CB 0407 TOULOUSE CEDE BACHE DESCAZAUX CARTE 2515</t>
  </si>
  <si>
    <t>PRLV SEPA URSSAF MIDI PYRENEES</t>
  </si>
  <si>
    <t>FACT SGT24005280598988 DONT TVA 2,60EUR</t>
  </si>
  <si>
    <t>FBQ</t>
  </si>
  <si>
    <t>RESTO</t>
  </si>
  <si>
    <t>PRLV SEPA GROUPAMA PROTECTION J</t>
  </si>
  <si>
    <t>PRLV SEPA SMABTP</t>
  </si>
  <si>
    <t>VIR SOCIETE FRANCAISE DE PROTECTION JUR N FACTURE : 49234 POUR REGLT DU SINISTRE 202312984</t>
  </si>
  <si>
    <t>VIR STRIPE</t>
  </si>
  <si>
    <t>PAIEMENT PSC 1107 RAMONVILLE SA / LE BIKINI CARTE 2515</t>
  </si>
  <si>
    <t>PAIEMENT CB 1607 DUBLIN 2 / DRICRUCIAL CARTE 2515</t>
  </si>
  <si>
    <t>PRLV SEPA BOUYGUES TELECOM 20000121350724 BOUYGUES TELECOM</t>
  </si>
  <si>
    <t>TEL</t>
  </si>
  <si>
    <t>SST</t>
  </si>
  <si>
    <t>VIR PEAUGER JULIEN FACTURE F24040</t>
  </si>
  <si>
    <t>PRLV SEPA DGFIP 220310720800102536146 TVA1-072024-3310CA3</t>
  </si>
  <si>
    <t>VIR RIVIERE JULIEN FACTURE 24001 MAR</t>
  </si>
  <si>
    <t>VIR PEAUGER JULIEN F24041 DEPOT DE PERMIS</t>
  </si>
  <si>
    <t>PAIEMENT PSC 2307 FRONTON BOUL VALENTINO CARTE 2515</t>
  </si>
  <si>
    <t>PAIEMENT CB 2607 BOULOC LE DALEXO CARTE 2515</t>
  </si>
  <si>
    <t>PAIEMENT CB 2707 PARIS CNOA CARTE 2515</t>
  </si>
  <si>
    <t>TOTAL MENSUEL</t>
  </si>
  <si>
    <t>VIR SEPA REMUNERATION SL I27V24214L030710</t>
  </si>
  <si>
    <t>VIR SEPA REMUNERATION SL 2/2 I27V24214L030711</t>
  </si>
  <si>
    <t>PRLV SEPA URSSAF MIDI PYRENEES TD677372407312222324328851183003903 UR 737000000186079505 AOUT24324328851183050824</t>
  </si>
  <si>
    <t>PRLV SEPA VISEEON STR16NAQANEPYLQ9L1FPHRANKEOMNHZUCU VISEEON</t>
  </si>
  <si>
    <t>PRLV SEPA SWISSLIFE PS SIMVSCLI5POL01825525700110419805190 PRE-SWISSLIFE PS-20240805 PAP 018255257 0011</t>
  </si>
  <si>
    <t>VIR FACTURE 2024070002 - THIAW</t>
  </si>
  <si>
    <t>VIR FACT 240167 AVOCATIO</t>
  </si>
  <si>
    <t>PAIEMENT CB 0708 74800 LA ROCH WWW FACTURE NET CARTE 2515</t>
  </si>
  <si>
    <t>FACT SGT24005280692133 DONT TVA 2 60EUR</t>
  </si>
  <si>
    <t>PRLV SEPA GROUPAMA PROTECTION J SM53-0023-2000822100001545000026879 00082210000154500002687963</t>
  </si>
  <si>
    <t>VIR FACTURE - N° F01567</t>
  </si>
  <si>
    <t>PRLV SEPA DGFIP 220310720800102536238 TVA1-082024-3310CA3</t>
  </si>
  <si>
    <t>PRLV SEPA BOUYGUES TELECOM 20000122000824 BOUYGUES TELECOM</t>
  </si>
  <si>
    <t>VIR M BENOIT HOF VIREMENT DE M BENOIT HOF</t>
  </si>
  <si>
    <t>VIR M DUCASSE PIERRE-JEAN REFERENCE NON TRANSMISE VIREMENT DE PIERRE-JEAN DUCASSE</t>
  </si>
  <si>
    <t>VIR M  SYLVAIN LAULT FACTURE F24042 LAULT MONCOMBLE</t>
  </si>
  <si>
    <t>PAIEMENT CB 2608 GRENADE CLEANJET CARTE 2515</t>
  </si>
  <si>
    <t>VIR M  BEGUE GABRIEL OU MME VIREMENT DE M  BEGUE GABRIEL OU MME MAURI LI</t>
  </si>
  <si>
    <t>PAIEMENT CB 2608 PARIS CNOA CARTE 2515</t>
  </si>
  <si>
    <t>VIR STRIPE STRIPE-PHZFITEDCZMKPTDK2Y9KQFARJOP4 STRIPE</t>
  </si>
  <si>
    <t>VIR FACTURE N° 2024080005</t>
  </si>
  <si>
    <t>PRLV SEPA VISEEON</t>
  </si>
  <si>
    <t>VIR MLLE GUERIN JULIETTE</t>
  </si>
  <si>
    <t>PAIEMENT CB 0109 31450 DONNEVI</t>
  </si>
  <si>
    <t>VIR BEGOU CLAUDINE</t>
  </si>
  <si>
    <t>PRLV SEPA URSSAF MIDI PYRENEES TD677372409022046324338851183003927 UR 737000000186079505 SEPT24324338851183050924</t>
  </si>
  <si>
    <t>PRLV SEPA SWISSLIFE PS SIMVSCLI5POL01825525700120398179371 PRE-SWISSLIFE PS-20240905 PAP 018255257 0012</t>
  </si>
  <si>
    <t>VIR MOUGNIARD STEPHANIE OU RGLT FA 2024039 -A24006 MOUGNIARD</t>
  </si>
  <si>
    <t>FACT SGT24005280783687 DONT TVA 2 60EUR</t>
  </si>
  <si>
    <t>PRLV SEPA GROUPAMA PROTECTION J SM53-0024-2000822100001545000026978 00082210000154500002697867</t>
  </si>
  <si>
    <t>PAIEMENT CB 1209 MONTRABE PRINTSHOT CARTE 2515</t>
  </si>
  <si>
    <t>PAIEMENT CB 1809 0805-540-303 APPLE COM/FR CARTE 2515</t>
  </si>
  <si>
    <t>PAIEMENT CB 1909 0805-540-303 APPLE COM/FR CARTE 2515</t>
  </si>
  <si>
    <t>REMBT C A T  00020497305</t>
  </si>
  <si>
    <t>INTERETS C A T  00020497305</t>
  </si>
  <si>
    <t>PAIEMENT CB 2009 0805-540-303 APPLE COM/FR CARTE 2515</t>
  </si>
  <si>
    <t>PAIEMENT CB 1709 BORDEAUX FLOA HIGH TECH CARTE 2515</t>
  </si>
  <si>
    <t>PAIEMENT PSC 1809 CAMPSAS LA TABLE DE MICH CARTE 2515</t>
  </si>
  <si>
    <t>SOUSCR  C A T  00020497307</t>
  </si>
  <si>
    <t>VIR M  SYLVAIN LAULT FACTURE F24042 FACTURE F24042 LAULT MONCOMBLE</t>
  </si>
  <si>
    <t>PRLV SEPA BOUYGUES TELECOM 20000122290924 BOUYGUES TELECOM</t>
  </si>
  <si>
    <t>PAIEMENT CB 2309 0805-540-303 APPLE COM/FR CARTE 2515</t>
  </si>
  <si>
    <t>PAIEMENT CB 2109 SEILH BRENNAN'S BAR CARTE 2515</t>
  </si>
  <si>
    <t>PRLV SEPA GGVIE - PERIN COL GEV BOSG7747383000000001GANSE0000542645 GGVIE - PERIN COL GEV/GALYA RETRAITE INDIVIDUELLE/G7747383000000001</t>
  </si>
  <si>
    <t>PRLV SEPA DGFIP 220310720800104749873 TVA1-092024-3310CA3</t>
  </si>
  <si>
    <t>PAIEMENT CB 2409 15551 TALLINN AGM-SOFTWARE CARTE 2515</t>
  </si>
  <si>
    <t>PAIEMENT CB 2409 STRASBOURG LW-EASYTRANSAC2 CARTE 2515</t>
  </si>
  <si>
    <t>PAIEMENT CB 2509 PARIS CNOA CARTE 2515</t>
  </si>
  <si>
    <t>VIR MLLE GUERIN JULIETTE VIREMENT DE MLLE GUERIN JULIETTE GUERIN JULIETTE FACTURE 24092</t>
  </si>
  <si>
    <t>PAIEMENT PSC 2709 GRENADE LES ZINZINS DU Z CARTE 2515</t>
  </si>
  <si>
    <t>VIR SEPA REMUNERATION SL I27V24275L029539</t>
  </si>
  <si>
    <t>VIR SEPA REMUNERATION SL I27V24275L029540</t>
  </si>
  <si>
    <t>VIR FACTURE AUDIT MR HOF</t>
  </si>
  <si>
    <t>VIR FACTURE AUDIT DUCASSE</t>
  </si>
  <si>
    <t>PAIEMENT CB 0110 31450 DONNEVI MARIUS RENOV CARTE 2515</t>
  </si>
  <si>
    <t>PRLV SEPA VISEEON STR16NAQXE2F0HLQQM6TGRANPWY5PY9VWO VISEEON</t>
  </si>
  <si>
    <t>VIR CESU VOLETMAT</t>
  </si>
  <si>
    <t>PRLV SEPA URSSAF MIDI PYRENEES TD677372410022028324418851183003925 UR 737000000186079505 OCT 24324418851183071024</t>
  </si>
  <si>
    <t>PRLV SEPA SWISSLIFE PS SIMVSCLI5POL01825525700130722887120 PRE-SWISSLIFE PS-20241005 PAP 018255257 0013</t>
  </si>
  <si>
    <t>FACT SGT24005280878668 DONT TVA 2 60EUR</t>
  </si>
  <si>
    <t>PRLV SEPA GROUPAMA PROTECTION J SM53-0025-2000822100001545000027081 00082210000154500002708131</t>
  </si>
  <si>
    <t>PRLV SEPA SMABTP SMABTP LGBCLIH57902NS1E2024P0000548753 SMABTP/CLIH57902N/2024-548753/PRELEVEMENT MENSUEL/MANDAT : H57902N1000</t>
  </si>
  <si>
    <t>VIR INST NICOLAS FRANCHET ENVOYE DEPUIS REVOLUT</t>
  </si>
  <si>
    <t>VIR THIAW 2024090004</t>
  </si>
  <si>
    <t>PAIEMENT PSC 1010 COLOMIERS LE FLORENCE CARTE 2515</t>
  </si>
  <si>
    <t>PRLV SEPA DGFIP 220310720700130230809 IS-102024-2572</t>
  </si>
  <si>
    <t>PAIEMENT PSC 1610 COLOMIERS LA COURONNE CARTE 2515</t>
  </si>
  <si>
    <t>PRLV SEPA BOUYGUES TELECOM 20000125001024 BOUYGUES TELECOM</t>
  </si>
  <si>
    <t>PAIEMENT CB 1410 BORDEAUX FLOA HIGH TECH CARTE 2515</t>
  </si>
  <si>
    <t>VIR RECOULES JOSIANE 1-24-10-4</t>
  </si>
  <si>
    <t>VIR INST MR OU MME P NOUGARET FACTURE N 24-10-3 NOUGARET ROMAIN</t>
  </si>
  <si>
    <t>PRLV SEPA GGVIE - PERIN COL GEV BOSG7747383000000001GANSE0000559180 GGVIE - PERIN COL GEV/GALYA RETRAITE INDIVIDUELLE/G7747383000000001</t>
  </si>
  <si>
    <t>VIR INST M  CONZATO JEAN PAUL</t>
  </si>
  <si>
    <t>VIR M  BENECH JEAN 10057-13-24304348003023 FACTURE N 24 -10-8</t>
  </si>
  <si>
    <t>VIR MME GOMEZ ESTELLE OU M VIREMENT DE MME GOMEZ ESTELLE OU M MATHIAS BACHELEY - ACOMPTE FACTURE24-10-6</t>
  </si>
  <si>
    <t>VIR SEPA REMUNERATION SL I27V24306L028644</t>
  </si>
  <si>
    <t>VIR SEPA REMUNERATION SL I27V24306L028645</t>
  </si>
  <si>
    <t>VIR FACTURE 2024100005</t>
  </si>
  <si>
    <t>FACTURE N 24 10 10 VU43091U1M57PR01</t>
  </si>
  <si>
    <t>VIR FAC20954 - REESO</t>
  </si>
  <si>
    <t>VIR MLLE JULIE GEFFRE OU M A VIREMENT DE MLLE JULIE GEFFRE OU M ACOMPTE</t>
  </si>
  <si>
    <t>PAIEMENT CB 0111 31450 DONNEVI MARIUS RENOV CARTE 2515</t>
  </si>
  <si>
    <t>PRLV SEPA URSSAF MIDI PYRENEES TD677372410302109324428851183003981 UR 737000000186079505 NOV 24324428851183051124</t>
  </si>
  <si>
    <t>PRLV SEPA VISEEON STR16NAR8Q13WKM0HJ2UGRANUDVO72FOBY VISEEON</t>
  </si>
  <si>
    <t>PRLV SEPA SWISSLIFE PS SIMVSCLI5POL01825525700140114731072 PRE-SWISSLIFE PS-20241105 PAP 018255257 0014</t>
  </si>
  <si>
    <t>PAIEMENT CB 0411 08028 BARCELO ILOVEPDF COM CARTE 2515</t>
  </si>
  <si>
    <t>VIR MLLE ALIX DARDARI 032024310368325390000001 ALIX GUILLAUME DU ROY ACCOMPTE</t>
  </si>
  <si>
    <t>VIR MLLE GUERIN JULIETTE FACTURE 24-10-9 VIREMENT DE MLLE GUERIN JULIETTE</t>
  </si>
  <si>
    <t>VIR 0013-1/0013 AUDITEUR MAURI</t>
  </si>
  <si>
    <t>FACT SGT24005280971407 DONT TVA 2 60EUR</t>
  </si>
  <si>
    <t>PRLV SEPA GROUPAMA PROTECTION J SM53-0026-2000822100001545000027179 00082210000154500002717983</t>
  </si>
  <si>
    <t>PAIEMENT CB 0811 33000 BORDEAU LEONARD BY LEGAL CARTE 2515</t>
  </si>
  <si>
    <t>FRAIS PAIE CB OP 238 80 USD</t>
  </si>
  <si>
    <t>PAIEMENT CB 0911 238 80 USD OPTIMIZEPRESS CO CARTE 2515</t>
  </si>
  <si>
    <t>PAIEMENT CB 1111 DUSSELDORF SYNOLOGY C2 - ST CARTE 2515</t>
  </si>
  <si>
    <t>VIR 240336 / AVM7981000 MELUN</t>
  </si>
  <si>
    <t>VIR UBER EAT LES BIENVEILLANTES</t>
  </si>
  <si>
    <t>VIR INST MONSIEUR COJOCARU MIREL OU MADA</t>
  </si>
  <si>
    <t>PAIEMENT CB 1411 MONTA2935936/ QPF DUPUY BS CARTE 2515</t>
  </si>
  <si>
    <t>PAIEMENT CB 1211 BORDEAUX FLOA HIGH TECH CARTE 2515</t>
  </si>
  <si>
    <t>PAIEMENT PSC 1911 CASTELSARRASI FFC CARTE 2515</t>
  </si>
  <si>
    <t>PAIEMENT PSC 1811 RAMONVILLE ST L'ETAPE D'ASIE CARTE 2515</t>
  </si>
  <si>
    <t>PRLV SEPA DGFIP 220310720800106353657 TVA1-112024-3310CA3</t>
  </si>
  <si>
    <t>VIR MME CLAIRE-LISE MEVEL 10057-13-24327018001218 MEVEL</t>
  </si>
  <si>
    <t>PAIEMENT CB 2111 33130 BEGLES HELLOASSO* ADHES CARTE 2515</t>
  </si>
  <si>
    <t>PRLV SEPA GGVIE - PERIN COL GEV BOSG7747383000000001GANSE0000579424 GGVIE - PERIN COL GEV/GALYA RETRAITE INDIVIDUELLE/G7747383000000001</t>
  </si>
  <si>
    <t>PAIEMENT PSC 2511 TOULOUSE MARRONNIERS NFC CARTE 2515</t>
  </si>
  <si>
    <t>PAIEMENT CB 2511 MALAKOFF EDENRED FRANCE CARTE 2515</t>
  </si>
  <si>
    <t>VIR RECOULES JOSIANE 24-11-18</t>
  </si>
  <si>
    <t>VIR SGC MOISSAC 160820040302002024-11-25632 VOL MAT DEVIS NOD24007 - VOL MAT FACTURE NO24 11 15ETUDE FAISABILITE E</t>
  </si>
  <si>
    <t>PAIEMENT CB 2611 PAYLI2441535/ AMAZON PAYMENTS CARTE 2515</t>
  </si>
  <si>
    <t>VIR INST PIERRE-JEAN DUCASSE VIREMENT DE PIERRE-JEAN DUCASSE</t>
  </si>
  <si>
    <t>PAIEMENT PSC 2711 ESCATALENS AU P'TIT BONHEUR CARTE 2515</t>
  </si>
  <si>
    <t>DIVERS</t>
  </si>
  <si>
    <t>PRLV SEPA GGVIE - PERIN GGVIE - PERIN COL GEV/GALYA RETRAITE INDIVIDUELLE</t>
  </si>
  <si>
    <t>A - frais généraux</t>
  </si>
  <si>
    <t>B - Salaires</t>
  </si>
  <si>
    <t>Charges Fixes (A+B)</t>
  </si>
  <si>
    <t xml:space="preserve">C - Charges variables </t>
  </si>
  <si>
    <t>PER</t>
  </si>
  <si>
    <t>FOURN</t>
  </si>
  <si>
    <t>POSTE</t>
  </si>
  <si>
    <t>SITE</t>
  </si>
  <si>
    <t>LOCAL</t>
  </si>
  <si>
    <t>Informatique (LOGICIEL)</t>
  </si>
  <si>
    <t>Banque</t>
  </si>
  <si>
    <t>Site internet</t>
  </si>
  <si>
    <t>AO</t>
  </si>
  <si>
    <t>INFO MATOS</t>
  </si>
  <si>
    <t>LOGICIEL</t>
  </si>
  <si>
    <t>BANQUE</t>
  </si>
  <si>
    <t>LOCATION</t>
  </si>
  <si>
    <t>Fournitures (BUREAU)</t>
  </si>
  <si>
    <t>Divers (TOUT LE RESTE)</t>
  </si>
  <si>
    <t>ASSOS</t>
  </si>
  <si>
    <t>Association / club entreprise</t>
  </si>
  <si>
    <t>RECOUV</t>
  </si>
  <si>
    <t>Recouvrement</t>
  </si>
  <si>
    <t>ÉCART (TTC)</t>
  </si>
  <si>
    <t>TOTAUX (TTC)</t>
  </si>
  <si>
    <t>OBJECTIF CA HT</t>
  </si>
  <si>
    <t>Informatique (MATOS) / 3 ans</t>
  </si>
  <si>
    <t>Total dépenses (A+B+C)</t>
  </si>
  <si>
    <t>PRLV SEPA SMABTP SMABTP  SMABTP/CLIH57902N/2024-440220/PRELEVEMENT MENSUEL/MANDAT : H57902N1000</t>
  </si>
  <si>
    <t>PRLV SEPA GGVIE - PERIN COL GEV GGVIE - PERIN COL GEV/GALYA RETRAITE INDIVIDUELLE/G7747383000000001</t>
  </si>
  <si>
    <t>PRLV SEPA SMABTP SMABTPMABTP/CLIH57902N/2024-491064/PRELEVEMENT MENSUEL/MANDAT : H57902N1000</t>
  </si>
  <si>
    <t>lilian</t>
  </si>
  <si>
    <t>PASCOAL</t>
  </si>
  <si>
    <t>N24-12-24</t>
  </si>
  <si>
    <t>N24-12-25</t>
  </si>
  <si>
    <t>N24-12-26</t>
  </si>
  <si>
    <t>N24-11-14</t>
  </si>
  <si>
    <t>C24009</t>
  </si>
  <si>
    <t>DELORT</t>
  </si>
  <si>
    <t xml:space="preserve">COJOCARU </t>
  </si>
  <si>
    <t>NOUGARET</t>
  </si>
  <si>
    <t>GEFFRE</t>
  </si>
  <si>
    <t>CONZATO</t>
  </si>
  <si>
    <t xml:space="preserve">BACHELEY </t>
  </si>
  <si>
    <t xml:space="preserve">DU ROY </t>
  </si>
  <si>
    <t>Mutuelle</t>
  </si>
  <si>
    <t>N24-12-27</t>
  </si>
  <si>
    <t>N24-12-28</t>
  </si>
  <si>
    <t>N24-12-29</t>
  </si>
  <si>
    <t>DU ROY</t>
  </si>
  <si>
    <t>CA MAR 2024</t>
  </si>
  <si>
    <t>EN JAUNE</t>
  </si>
  <si>
    <t>MAR</t>
  </si>
  <si>
    <t>ARCHI</t>
  </si>
  <si>
    <t>C22013</t>
  </si>
  <si>
    <t>C22015/3</t>
  </si>
  <si>
    <t>M24013</t>
  </si>
  <si>
    <t>MORETTIN</t>
  </si>
  <si>
    <t>N25-01-30</t>
  </si>
  <si>
    <t>VIR SEPA REMUNERATION SL I27V24337L039550</t>
  </si>
  <si>
    <t>VIR SEPA REMUNERATION SL I27V24337L039551</t>
  </si>
  <si>
    <t>PAIEMENT CB 2911 SAINT JEAN DE L'AGENCE CARTE 2515</t>
  </si>
  <si>
    <t>PAIEMENT CB 2911 92 COURBEVOIE INPI VADS CARTE 2515</t>
  </si>
  <si>
    <t>PRLV SEPA VISEEON STR16NARK4GGIER3XPCGFRANMAXKJEH4O1 VISEEON</t>
  </si>
  <si>
    <t>VIR M DELORT RAPHAEL ZZ1HD6D5M9RDOZ9JN ACOMPTE MAR</t>
  </si>
  <si>
    <t>VIR AVOIR GEFFRE 24-11-19</t>
  </si>
  <si>
    <t>VIR THIAW 20241100003</t>
  </si>
  <si>
    <t>VIR FAC00018 SINEAU</t>
  </si>
  <si>
    <t>VIR MHEXPERTISE F01848/49/50/51</t>
  </si>
  <si>
    <t>PAIEMENT CB 3011 NOISIEL NESTLE FRANCE SA CARTE 2515</t>
  </si>
  <si>
    <t>PAIEMENT CB 0112 31450 DONNEVI ABONNEMENT* MARI CARTE 2515</t>
  </si>
  <si>
    <t>VIR MR FARSSAC S OU MLLE MAR VIREMENT DE MR FARSSAC S OU MLLE MA FACTURE 241122</t>
  </si>
  <si>
    <t>PRLV SEPA URSSAF MIDI PYRENEES TD677372412022055324438851183003928 UR 737000000186079505 DEC 24324438851183051224</t>
  </si>
  <si>
    <t>PRLV SEPA SWISSLIFE PS SIMVSCLI5POL01825525700150400570028 PRE-SWISSLIFE PS-20241205 PAP 018255257 0015</t>
  </si>
  <si>
    <t>PAIEMENT CB 0612 COLOMIERS LE COSY CARTE 2515</t>
  </si>
  <si>
    <t>FACT SGT24005281063002 DONT TVA 2 60EUR</t>
  </si>
  <si>
    <t>PRLV SEPA GROUPAMA PROTECTION J SM53-0027-2000822100001545000027281 00082210000154500002728198</t>
  </si>
  <si>
    <t>VIR MLLE GUERIN JULIETTE VIREMENT DE MLLE GUERIN JULIETTE FACTURE 24-11-21</t>
  </si>
  <si>
    <t>PAIEMENT CB 0912 PARIS LE PALAIS DES TH CARTE 2515</t>
  </si>
  <si>
    <t>PAIEMENT PSC 1212 MONTAUBAN LE SAMPA CARTE 2515</t>
  </si>
  <si>
    <t>PAIEMENT CB 1512 33360 CAMBLAN FABULEUSESAUFOYE CARTE 2515</t>
  </si>
  <si>
    <t>VIR BEGOU CLAUDINE 10057-13-24353328005241</t>
  </si>
  <si>
    <t>PAIEMENT CB 1712 GRENADE DDJFC CARTE 2515</t>
  </si>
  <si>
    <t>PAIEMENT CB 1212 BORDEAUX FLOA HIGH TECH CARTE 2515</t>
  </si>
  <si>
    <t>REMBT C A T  00020497306</t>
  </si>
  <si>
    <t>INTERETS C A T  00020497306</t>
  </si>
  <si>
    <t>VIR DEVIS 1932/FR-CAD- ARCHICAD</t>
  </si>
  <si>
    <t>PRLV SEPA BOUYGUES TELECOM 20000131671224 BOUYGUES TELECOM</t>
  </si>
  <si>
    <t>PAIEMENT CB 2012 92 COURBEVOIE INPI VADS CARTE 2515</t>
  </si>
  <si>
    <t>PRLV SEPA DGFIP 220310720800107595877 TVA1-122024-3310CA3</t>
  </si>
  <si>
    <t>PRLV SEPA DIRECTION GENERALE DE 1P067000031072P031001661883 3107289926777700014222 ECH2431031835033072 IMPOT</t>
  </si>
  <si>
    <t>PAIEMENT CB 2912 92 COURBEVOIE INPI VADS CARTE 2515</t>
  </si>
  <si>
    <t>VIR MLLE ALIX DARDARI 032024365727938730000001 DU ROY MAR</t>
  </si>
  <si>
    <t>PRLV SEPA GGVIE - PERIN COL GEV BOSG7747383000000001GANSE0000597144 GGVIE - PERIN COL GEV/GALYA RETRAITE INDIV/G7747383000000001</t>
  </si>
  <si>
    <t>ARCHICAD</t>
  </si>
  <si>
    <t>N25-01-31</t>
  </si>
  <si>
    <t>EPARGNE</t>
  </si>
  <si>
    <t>FORMATION</t>
  </si>
  <si>
    <t>CLE</t>
  </si>
  <si>
    <t>Formation</t>
  </si>
  <si>
    <t>Frais de recouvrement</t>
  </si>
  <si>
    <t>EVA MOTOR</t>
  </si>
  <si>
    <t>RECOULES PA</t>
  </si>
  <si>
    <t>CA MAR 2025</t>
  </si>
  <si>
    <t>N25-01-32</t>
  </si>
  <si>
    <t>GROB Mathieu</t>
  </si>
  <si>
    <t>VIR SEPA REMUNERATION SL I27V25002L038630</t>
  </si>
  <si>
    <t>VIR SEPA REMUNERATION SL I27V25002L038631</t>
  </si>
  <si>
    <t>VIR INST M OU MME PASCOAL JOSE</t>
  </si>
  <si>
    <t>PAIEMENT CB 0101 31450 DONNEVI ABONNEMENT* MARI CARTE 2515</t>
  </si>
  <si>
    <t>PRLV SEPA VISEEON STR16NARVHGXY3RMUESS0RANCMROSFXSID VISEEON</t>
  </si>
  <si>
    <t>VIR FACT 2024120002 - THIAW</t>
  </si>
  <si>
    <t>PRLV SEPA URSSAF MIDI PYRENEES TD677372412311959325118851183004170 UR 737000000186079505 JANV25325118851183060125</t>
  </si>
  <si>
    <t>PRLV SEPA SWISSLIFE PS SIMVSCLI5POL01825525700160945342387 PRE-SWISSLIFE PS-20250105 PAP 018255257 0016</t>
  </si>
  <si>
    <t>VIR INST MR MORETTIN DAVID</t>
  </si>
  <si>
    <t>SOUSCR  C A T  00020497308</t>
  </si>
  <si>
    <t>FACT SGT25005280077295 DONT TVA 2 66EUR</t>
  </si>
  <si>
    <t>PRLV SEPA GROUPAMA PROTECTION J SM53-0028-2000822100001545000027403 00082210000154500002740342</t>
  </si>
  <si>
    <t>PRLV SEPA SMABTP SMABTP LGBCLIH57902NS1E2025P0000028381 SMABTP/CLIH57902N/2025-028381/PRELEVEMENT MENSUEL/MANDAT : H57902N1000</t>
  </si>
  <si>
    <t>VIR SCP BOBO-CHELLE - AFF FAGES</t>
  </si>
  <si>
    <t>PAIEMENT CB 0901 SAINT CYR-EN- EASYFLYER CARTE 2515</t>
  </si>
  <si>
    <t>VIR BEGOU CLAUDINE 10057-13-25013328000646</t>
  </si>
  <si>
    <t>PAIEMENT PSC 1301 BALMA POURQUOI PAS CARTE 2515</t>
  </si>
  <si>
    <t>PAIEMENT CB 1401 MSBILL INFO MICROSOFT*STORE CARTE 2515</t>
  </si>
  <si>
    <t>VIR STRIPE STRIPE-IXQTZCZ58KXCERAEE05EBUE6OKFS STRIPE</t>
  </si>
  <si>
    <t>PAIEMENT CB 1401 MONTAUBAN CED E LECLERC WEB CARTE 2515</t>
  </si>
  <si>
    <t>VIR M DELORT RAPHAEL ZZ1HMK1O49VYUI4T0 MAR</t>
  </si>
  <si>
    <t>PAIEMENT CB 1501 MONTAUBAN CED E LECLERC WEB CARTE 2515</t>
  </si>
  <si>
    <t>PAIEMENT CB 1701 MONTAUBAN LECLERC CARTE 2515</t>
  </si>
  <si>
    <t>PRLV SEPA BOUYGUES TELECOM 20000133560125 BOUYGUES TELECOM</t>
  </si>
  <si>
    <t>PRLV SEPA DGFIP 220310720800108557420 TVA1-012025-3310CA3</t>
  </si>
  <si>
    <t>PAIEMENT PSC 2201 GAILLAC MARIE BLACHERE CARTE 2515</t>
  </si>
  <si>
    <t>PRLV SEPA GGVIE - PERIN COL GEV BOSG7747383000000001GANSE0000630062 GGVIE - PERIN COL GEV/GALYA RETRAITE INDIVIDUELLE/G7747383000000001</t>
  </si>
  <si>
    <t>PAIEMENT PSC 2401 31 TISSEO TISSEO P R CARTE 2515</t>
  </si>
  <si>
    <t>PAIEMENT CB 2401 TOULOUSE MONA PIZZA CARTE 2515</t>
  </si>
  <si>
    <t>PAIEMENT PSC 2701 FENOUILLET SC-AU BUREAU509 CARTE 2515</t>
  </si>
  <si>
    <t>PAIEMENT CB 2801 MONTRABE PRINTSHOT CARTE 2515</t>
  </si>
  <si>
    <t>PAIEMENT CB 2801 DUSSELDORF SYNOLOGY C2 - ST CARTE 2515</t>
  </si>
  <si>
    <t>M24014</t>
  </si>
  <si>
    <t>GABRIELLI</t>
  </si>
  <si>
    <t>LEILA</t>
  </si>
  <si>
    <t>C23004/2</t>
  </si>
  <si>
    <t>BACHELEY</t>
  </si>
  <si>
    <t>2021-22</t>
  </si>
  <si>
    <t>2022-23</t>
  </si>
  <si>
    <t>2023-24</t>
  </si>
  <si>
    <t>Date signature</t>
  </si>
  <si>
    <t>Facturé en N-</t>
  </si>
  <si>
    <t>à facturer en N+</t>
  </si>
  <si>
    <t>2024 CA à déclarer</t>
  </si>
  <si>
    <t>2025 CA à déclarer</t>
  </si>
  <si>
    <t>RÉCAPITULATIF</t>
  </si>
  <si>
    <t>excercice 
en cours</t>
  </si>
  <si>
    <t>VIR SEPA REMUNERATION SL I27V25032L026495</t>
  </si>
  <si>
    <t>VIR SEPA REMUNERATION SL I27V25032L026496</t>
  </si>
  <si>
    <t>VIR VIREFR250042887030225124027</t>
  </si>
  <si>
    <t>PAIEMENT CB 0102 31450 DONNEVI ABONNEMENT* MARI CARTE 2515</t>
  </si>
  <si>
    <t>PAIEMENT PSC 3101 CASTELNAU D E GRES DES ENVIES CARTE 2515</t>
  </si>
  <si>
    <t>PRLV SEPA VISEEON STR16NARHI1P2JKEHCLVDRAN1DM3PLOAQL VISEEON</t>
  </si>
  <si>
    <t>VIR FACTURE F2502001</t>
  </si>
  <si>
    <t>PAIEMENT CB 0302 L UNION BUREAU VALLEE CARTE 2515</t>
  </si>
  <si>
    <t>PRLV SEPA URSSAF MIDI PYRENEES TD677372501312343325128851183004155 UR 737000000186079505 FEV 25325128851183050225</t>
  </si>
  <si>
    <t>PRLV SEPA SWISSLIFE PREVOYANCE SIMVSCLI5POL01825525700170181130192 PRE-SWISSLIFE PS-202</t>
  </si>
  <si>
    <t>RBT SABINE DRIVE SPEED BUSI REACTIV</t>
  </si>
  <si>
    <t>PAIEMENT CB 0402 PARIS CNOA CARTE 2515</t>
  </si>
  <si>
    <t>VIR COMMANDE 2025 ANCV</t>
  </si>
  <si>
    <t>FACT SGT25005280170129 DONT TVA 2 66EUR</t>
  </si>
  <si>
    <t>PRLV SEPA GROUPAMA PROTECTION J SM53-0029-2000822100001545000027515 00082210000154500002751550</t>
  </si>
  <si>
    <t>PRLV SEPA SMABTP SMABTP LGBCLIH57902NS1E2025P0000090915 SMABTP/CLIH57902N/2025-090915/PRELEVEMENT MENSUEL/MANDAT : H57902N1000</t>
  </si>
  <si>
    <t>VIR MLLE GUERIN JULIETTE VIREMENT DE MLLE GUERIN JULIETTE FACTURES 24-12-24 ET 24-12-26</t>
  </si>
  <si>
    <t>VIR AVOCAT FACT N° 250063</t>
  </si>
  <si>
    <t>VIR A250002 - HUISSIER MELUN</t>
  </si>
  <si>
    <t>PAIEMENT PSC 1402 BOULOC LE DALEXO CARTE 2515</t>
  </si>
  <si>
    <t>PAIEMENT CB 1702 PARIS UNSFA CARTE 2515</t>
  </si>
  <si>
    <t>PAIEMENT CB 1702 LUXEMBOURG WIX COM 11629794 CARTE 2515</t>
  </si>
  <si>
    <t>PAIEMENT CB 1702 LUXEMBOURG WIX COM 11039535 CARTE 4810</t>
  </si>
  <si>
    <t>PRLV SEPA DGFIP 220310720800109536604 TVA1-022025-3310CA3</t>
  </si>
  <si>
    <t>PRLV SEPA BOUYGUES TELECOM 20000134970225 BOUYGUES TELECOM</t>
  </si>
  <si>
    <t>PRLV SEPA GGVIE - PERIN COL GEV BOSG7747383000000001GANSE0000650567 GGVIE - PERIN COL GEV/GALYA RETRAITE INDIVIDUELLE/G7747383000000001</t>
  </si>
  <si>
    <t>VIR M  SYLVAIN LAULT 032025056125653580000001 FACTURE N 25-02-34  LAULT MONCOMBLE</t>
  </si>
  <si>
    <t>FRAIS PAIE CB OP 83 88 EUR</t>
  </si>
  <si>
    <t>PAIEMENT CB 2502 83 88 EUR KOALENDAR COM CARTE 2515</t>
  </si>
  <si>
    <t>VIR SOCIETE FRANCAISE DE PRO 1548841 FACTURE N 250063 (MELUN)</t>
  </si>
  <si>
    <t>C25002/1</t>
  </si>
  <si>
    <t>BUREAU</t>
  </si>
  <si>
    <t>Bureau et frais annexes</t>
  </si>
  <si>
    <t>par mois</t>
  </si>
  <si>
    <t>JUILLOT</t>
  </si>
  <si>
    <t>PECHBONNIEU</t>
  </si>
  <si>
    <t>C25001</t>
  </si>
  <si>
    <t>2024-25</t>
  </si>
  <si>
    <t>2025-26</t>
  </si>
  <si>
    <t>N25-02-33</t>
  </si>
  <si>
    <t>N25-02-35</t>
  </si>
  <si>
    <t>N25-02-34</t>
  </si>
  <si>
    <t>N25-02-36</t>
  </si>
  <si>
    <t>N25-03-37</t>
  </si>
  <si>
    <t>N25-03-38</t>
  </si>
  <si>
    <t>N25-03-39</t>
  </si>
  <si>
    <t>VIR SEPA REMUNERATION SL I27V25060L026046</t>
  </si>
  <si>
    <t>VIR SEPA REMUNERATION SL I27V25060L026047</t>
  </si>
  <si>
    <t>PAIEMENT PSC 0203 LABARTHE INAR PRO SUD DISTRI CARTE 2515</t>
  </si>
  <si>
    <t>PRLV SEPA VISEEON STR16NARRMFTYVAP8ZEFZRANOFOEYM0SMF VISEEON</t>
  </si>
  <si>
    <t>PAIEMENT CB 0103 31450 DONNEVI ABONNEMENT* MARI CARTE 2515</t>
  </si>
  <si>
    <t>VIR FACTURE F2502004- THIAW CEC</t>
  </si>
  <si>
    <t>PRLV SEPA URSSAF MIDI PYRENEES TD677372502282144325138851183004145 UR 737000000186079505 MARS25325138851183050325</t>
  </si>
  <si>
    <t>PRLV SEPA SWISSLIFE PREVOYANCE SIMVSCLI5POL01825525700180767158221 PRE-SWISSLIFE PS-202</t>
  </si>
  <si>
    <t>VIR M MATHIAS BACHELEY VIREMENT DE M MATHIAS BACHELEY PAIEMENT FACTURE N 25-02-36 DU 21 FEVRIER 2025</t>
  </si>
  <si>
    <t>VIR INST MR OU MME GABRIELLI DANIEL VIREMENT DE MR OU MME GABRIELLI DANIEL</t>
  </si>
  <si>
    <t>PAIEMENT PSC 0403 GRENADE INTERMARCHE CARTE 2515</t>
  </si>
  <si>
    <t>FACT SGT25005280262369 DONT TVA 2 66EUR</t>
  </si>
  <si>
    <t>PRLV SEPA SMABTP SMABTP LGBCLIH57902NS1E2025P0000152346 SMABTP/CLIH57902N/2025-152346/PRELEVEMENT MENSUEL/MANDAT : H57902N1000</t>
  </si>
  <si>
    <t>PAIEMENT CB 0703 LUXEMBOURG WIX COM CARTE 2515</t>
  </si>
  <si>
    <t>PRLV SEPA GROUPAMA PROTECTION J SM53-0030-2000822100001545000027620 00082210000154500002762033</t>
  </si>
  <si>
    <t>VIR COTISATION REACTIV 2025</t>
  </si>
  <si>
    <t>VIR RECOULES JOSIANE FACT25-02-35ACPTEVOLMATLES10ARPENTS</t>
  </si>
  <si>
    <t>VIR FAC00020 ANNIE SINEAU</t>
  </si>
  <si>
    <t>VIR RECOULES JOSIANE FACT25-02-35 VOLMATSOLDEACPTE1</t>
  </si>
  <si>
    <t>REM CHQ REF19289A04</t>
  </si>
  <si>
    <t>PAIEMENT PSC 1803 MONTAUBAN EDGAR CARTE 2515</t>
  </si>
  <si>
    <t>REMBT C A T  00020497307</t>
  </si>
  <si>
    <t>INTERETS C A T  00020497307</t>
  </si>
  <si>
    <t>PRLV SEPA BOUYGUES TELECOM 20000240180325 BOUYGUES TELECOM</t>
  </si>
  <si>
    <t>PRLV SEPA GGVIE - PERIN COL GEV BOSG7747383000000001GANSE0000667533 GGVIE - PERIN COL GEV/GALYA RETRAITE INDIVIDUELLE/G7747383000000001</t>
  </si>
  <si>
    <t>VIR BEGOU CLAUDINE FACTURE 25-03-38</t>
  </si>
  <si>
    <t>PRÉVISIONNEL</t>
  </si>
  <si>
    <t>RÉEL</t>
  </si>
  <si>
    <t>par an</t>
  </si>
  <si>
    <t>Koalandar</t>
  </si>
  <si>
    <t>Marius</t>
  </si>
  <si>
    <t>Archicad</t>
  </si>
  <si>
    <t>Henrri</t>
  </si>
  <si>
    <t>ILovePDF</t>
  </si>
  <si>
    <t>TOTAL / mois</t>
  </si>
  <si>
    <t>TOTAL / an</t>
  </si>
  <si>
    <t>Optimizpress</t>
  </si>
  <si>
    <t>O2Switch</t>
  </si>
  <si>
    <t>Microsoft</t>
  </si>
  <si>
    <t>ChatGPT</t>
  </si>
  <si>
    <t>Photoshop</t>
  </si>
  <si>
    <t>N25-04-40</t>
  </si>
  <si>
    <t>04/04/20205</t>
  </si>
  <si>
    <t>LOYER</t>
  </si>
  <si>
    <t>ELECTRICITÉ</t>
  </si>
  <si>
    <t xml:space="preserve">INTERNET </t>
  </si>
  <si>
    <t>ASSURANCE LOCAL</t>
  </si>
  <si>
    <t>local 18m2</t>
  </si>
  <si>
    <t>Wix</t>
  </si>
  <si>
    <t>LOGICIEL ABONNEMENT HT</t>
  </si>
  <si>
    <t>a partir de 2030</t>
  </si>
  <si>
    <t>charges par mois</t>
  </si>
  <si>
    <t>total rémun brute</t>
  </si>
  <si>
    <t>Honoraires/h/HT</t>
  </si>
  <si>
    <t>M25003</t>
  </si>
  <si>
    <t>PENCHENAT</t>
  </si>
  <si>
    <t>N25-04-44</t>
  </si>
  <si>
    <t>N25-04-41</t>
  </si>
  <si>
    <t>N25-04-42</t>
  </si>
  <si>
    <t>N25-04-43</t>
  </si>
  <si>
    <t>COJOCARU</t>
  </si>
  <si>
    <t>SAS EVA MOTOR</t>
  </si>
  <si>
    <t>C25003</t>
  </si>
  <si>
    <t>N25-04-45</t>
  </si>
  <si>
    <t>N25-04-46</t>
  </si>
  <si>
    <t>CANIAC</t>
  </si>
  <si>
    <t>N25-04-47</t>
  </si>
  <si>
    <t>M25004</t>
  </si>
  <si>
    <t>N25-04-48</t>
  </si>
  <si>
    <t>(contrats signés + prospects + MAR)</t>
  </si>
  <si>
    <t>N25-05-49</t>
  </si>
  <si>
    <t>DE BEAUMONT</t>
  </si>
  <si>
    <t>GROB</t>
  </si>
  <si>
    <t>SOZZA</t>
  </si>
  <si>
    <t>AJV</t>
  </si>
  <si>
    <t>PIERRUGUES</t>
  </si>
  <si>
    <t>bureau</t>
  </si>
  <si>
    <t>Leila</t>
  </si>
  <si>
    <t>N25-05-50</t>
  </si>
  <si>
    <t>stand by</t>
  </si>
  <si>
    <t>M25005</t>
  </si>
  <si>
    <t>M25006</t>
  </si>
  <si>
    <t>GUY</t>
  </si>
  <si>
    <t>POMERY</t>
  </si>
  <si>
    <t>N25-05-51</t>
  </si>
  <si>
    <t>VIR SEPA REMUNERATION SL I27V25091L000446</t>
  </si>
  <si>
    <t>VIR SEPA REMUNERATION SL I27V25091L000445</t>
  </si>
  <si>
    <t>PAIEMENT CB 3103 31450 DONNEVI ABONNEMENT* MARI CARTE 2515</t>
  </si>
  <si>
    <t>VIR MME CLAIRE-LISE MEVEL 10057-13-25092018002515</t>
  </si>
  <si>
    <t>PAIEMENT PSC 0104 BRESSOLS LA RIVE RESTO CARTE 2515</t>
  </si>
  <si>
    <t>SOUSCR  C A T  00020497309</t>
  </si>
  <si>
    <t>PRLV SEPA VISEEON STR16NAS3NJDMVF3KOIDPRANHOJVIHW6K2 VISEEON</t>
  </si>
  <si>
    <t>VIR CECILE MARS 2025 - F2503006</t>
  </si>
  <si>
    <t>VIR FACTURE LD2A - 1141-2426</t>
  </si>
  <si>
    <t>VIR LEILA FACT 2504003</t>
  </si>
  <si>
    <t>REMBT C A T  00020497308</t>
  </si>
  <si>
    <t>INTERETS C A T  00020497308</t>
  </si>
  <si>
    <t>PRLV SEPA URSSAF MIDI PYRENEES TD677372504022030325218851183004143 UR 737000000186079505 AVR 25325218851183070425</t>
  </si>
  <si>
    <t>PRLV SEPA SWISSLIFE PREVOYANCE SIMVSCLI5POL01825525700190781168124 PRE-SWISSLIFE PS-202</t>
  </si>
  <si>
    <t>PAIEMENT PSC 0404 GRENADE NAPOLI CARTE 2515</t>
  </si>
  <si>
    <t>FACT SGT25005280359163 DONT TVA 2 66EUR</t>
  </si>
  <si>
    <t>PRLV SEPA GROUPAMA PROTECTION J SM53-0031-2000822100001545000027725 00082210000154500002772595</t>
  </si>
  <si>
    <t>PRLV SEPA SMABTP SMABTP LGBCLIH57902NS1E2025P0000213342 SMABTP/CLIH57902N/2025-213342/PRELEVEMENT MENSUEL/MANDAT : H57902N1000</t>
  </si>
  <si>
    <t>VIR INST MME FERRAROS FANNY DEJEUNER FANNY REACTIV</t>
  </si>
  <si>
    <t>VIR INST MME - M  PENCHENAT FRANCOISE PE</t>
  </si>
  <si>
    <t>VIR INST PAYPAL INSTANT TRANSFER</t>
  </si>
  <si>
    <t>PAIEMENT CB 1404 HELP UBER COM UBER *EATS CARTE 2515</t>
  </si>
  <si>
    <t>PAIEMENT PSC 1504 LABASTIDE ST LA PANETIERE CARTE 2515</t>
  </si>
  <si>
    <t>VIR PAYPAL EUROPE S A R L  E YYR1041593363377 PP 9430 PP/YYR1041593363377</t>
  </si>
  <si>
    <t>FRAIS PAIE CB OP 99 00 USD</t>
  </si>
  <si>
    <t>PAIEMENT CB 1604 99 00 USD TURBOSQUIDSHUTTE PAYWEB2515</t>
  </si>
  <si>
    <t>PAIEMENT CB 1704 PAYLI2441 AMAZON PAYMENTS PAYWEB2515</t>
  </si>
  <si>
    <t>FRAIS PAIE CB OP 198 00 USD</t>
  </si>
  <si>
    <t>PAIEMENT CB 1804 198 00 USD TURBOSQUIDSHUTTE PAYWEB2515</t>
  </si>
  <si>
    <t>VIR LOMEDICO-PATHOHUM22042025</t>
  </si>
  <si>
    <t>VIR INST MR JUILLOT AYMERIC FACTURE-25-04-40-JUILLOT</t>
  </si>
  <si>
    <t>PRLV SEPA DGFIP 220310720800112104426 TVA1-042025-3310CA3</t>
  </si>
  <si>
    <t>PRLV SEPA GGVIE - PERIN COL GEV BOSG7747383000000001GANSE0000684060 GGVIE - PERIN COL GEV/GALYA RETRAITE INDIVIDUELLE/G7747383000000001</t>
  </si>
  <si>
    <t>VIR FACTURE 25-04-167 - CAMLITI</t>
  </si>
  <si>
    <t>RBT SABINE SPEED BUSINESS REACTIV</t>
  </si>
  <si>
    <t>PAIEMENT CB 2504 SAINT JORY MALOUA CARTE 2515</t>
  </si>
  <si>
    <t>VIR EVA MOTOR VIR SEPA 25/04/2025 14 15 48-00001 VRMT EURL VOL MAT</t>
  </si>
  <si>
    <t>SOUSCR  C A T  00020497310</t>
  </si>
  <si>
    <t>VIR FAC- F02203 - MORETTIN</t>
  </si>
  <si>
    <t>VIR FACT -F02202 - GABRIELLI</t>
  </si>
  <si>
    <t>VIR BEGOU CLAUDINE 25-04-47</t>
  </si>
  <si>
    <t>VIR INST M CANIAC SEBASTIEN VIREMENT DE POTIERS</t>
  </si>
  <si>
    <t>PAIEMENT PSC 2804 CROIX AUCHAN TOULOUSE CARTE 2515</t>
  </si>
  <si>
    <t>RBT DEJ REACTIV VU51202Q2EN60701</t>
  </si>
  <si>
    <t>N25-05-52</t>
  </si>
  <si>
    <t>M25007</t>
  </si>
  <si>
    <t>M25008</t>
  </si>
  <si>
    <t>HENRY</t>
  </si>
  <si>
    <t>GUILLARD</t>
  </si>
  <si>
    <t>N25-05-53</t>
  </si>
  <si>
    <t>N25-05-54</t>
  </si>
  <si>
    <t>N25-05-55</t>
  </si>
  <si>
    <t>N25-05-56</t>
  </si>
  <si>
    <t>N25-05-58</t>
  </si>
  <si>
    <t>N25-05-59</t>
  </si>
  <si>
    <t>N25-05-60</t>
  </si>
  <si>
    <t>N25-05-61</t>
  </si>
  <si>
    <t>N25-05-62</t>
  </si>
  <si>
    <t>VIR SEPA REMUNERATION SL I27V25122L000626</t>
  </si>
  <si>
    <t>VIR SEPA REMUNERATION SL I27V25122L000625</t>
  </si>
  <si>
    <t>VIR STRIPE TECHNOLOGY EUROPE 10057-13-25122518016737 STRIPE U7E7O6</t>
  </si>
  <si>
    <t>PRLV SEPA VISEEON STR16NASECCE7JYXCHTIDRANMUQKZH9DYW VISEEON</t>
  </si>
  <si>
    <t>PRLV SEPA SWISSLIFE PREVOYANCE SIMVSCLI5POL01825525700200658902174 PRE-SWISSLIFE PS-202</t>
  </si>
  <si>
    <t>PRLV SEPA URSSAF MIDI PYRENEES TD677372504292136325228851183004149 UR 737000000186079505 MAI 25325228851183050525</t>
  </si>
  <si>
    <t>PAIEMENT CB 3004 31450 DONNEVI ABONNEMENT* MARI CARTE 2515</t>
  </si>
  <si>
    <t>PAIEMENT PSC 0605 GRENADE LES ZINZINS DU Z CARTE 2515</t>
  </si>
  <si>
    <t>VIR INST MR JUILLOT AYMERIC PAYEMENT ARCHITECTE</t>
  </si>
  <si>
    <t>FACT SGT25005280453271 DONT TVA 2 66EUR</t>
  </si>
  <si>
    <t>PRLV SEPA GROUPAMA PROTECTION J SM53-0032-2000822100001545000027828 00082210000154500002782894</t>
  </si>
  <si>
    <t>PRLV SEPA SMABTP SMABTP LGBCLIH57902NS1E2025P0000274260 SMABTP/CLIH57902N/2025-274260/PRELEVEMENT MENSUEL/MANDAT : H57902N1000</t>
  </si>
  <si>
    <t>VIR FACTURE F25040008</t>
  </si>
  <si>
    <t>PAIEMENT CB 1205 SAINT DENIS WEEZEVENT CARTE 2515</t>
  </si>
  <si>
    <t>PAIEMENT PSC 1305 LABASTIDE ST LA PANETIERE CARTE 2515</t>
  </si>
  <si>
    <t>PAIEMENT PSC 1305 MONTAUBAN EDGAR CARTE 2515</t>
  </si>
  <si>
    <t>VIR FACT 2505006 - LEILA</t>
  </si>
  <si>
    <t>CHEQUE 4010148</t>
  </si>
  <si>
    <t>PRLV SEPA DGFIP 220310720800113130443 TVA1-052025-3310CA3</t>
  </si>
  <si>
    <t>VIR INST MME POMERY GRANT JULIE VIREMENT DE MME POMERY GRANT JULIE</t>
  </si>
  <si>
    <t>PAIEMENT CB 2005 MONTRABE PRINTSHOT PAYWEB2515</t>
  </si>
  <si>
    <t>PRLV SEPA GGVIE - PERIN COL GEV BOSG7747383000000001GANSE0000704956 GGVIE - PERIN COL GEV/GALYA RETRAITE INDIVIDUELLE/G7747383000000001</t>
  </si>
  <si>
    <t>VIR EVA MOTOR 25-04-48 EURL VOLMAT / FACT 25-04-48</t>
  </si>
  <si>
    <t>PAIEMENT CB 2305 08028 BAR ILOVEPDF COM PAYWEB2515</t>
  </si>
  <si>
    <t>VIR BEGOU CLAUDINE F 25-05-60</t>
  </si>
  <si>
    <t>VIR INST MR GUILLARD MATHIEU OU FACTURE NUM 25-05-28 ACOMPTE ACCOMPAGNEM</t>
  </si>
  <si>
    <t>VIR INST FACTURE 2505007 VU514833BD7NGN01</t>
  </si>
  <si>
    <t>PAIEMENT PSC 2705 MONTAUBAN LE JARDIN IL TA CARTE 2515</t>
  </si>
  <si>
    <t>CHEQUE 4010149</t>
  </si>
  <si>
    <t>VIR MME POMERY GRANT JULIE VIREMENT DE MME POMERY GRANT JULIE FAC 25 05 51 SOLDE</t>
  </si>
  <si>
    <t>PAIEMENT PSC 2805 VILLENEUVE LE LE PASEO CARTE 2515</t>
  </si>
  <si>
    <t>PAIEMENT PSC 2905 BLAGNAC CEDEX E LECLERC CARTE 2515</t>
  </si>
  <si>
    <t>LILIAN</t>
  </si>
  <si>
    <t>N25-06-63</t>
  </si>
  <si>
    <t>LD2A</t>
  </si>
  <si>
    <t>Cotisation Ordre /UNSFA</t>
  </si>
  <si>
    <t>N25-06-64</t>
  </si>
  <si>
    <t>CHARGES - TF</t>
  </si>
  <si>
    <t>Comptable + juridique</t>
  </si>
  <si>
    <t>N25-06-65</t>
  </si>
  <si>
    <t>n° Facture</t>
  </si>
  <si>
    <t>Réglé le</t>
  </si>
  <si>
    <t>MHE1567</t>
  </si>
  <si>
    <t>MHE1661</t>
  </si>
  <si>
    <t>N25-06-66</t>
  </si>
  <si>
    <t>N25-06-67</t>
  </si>
  <si>
    <t>N25-06-68</t>
  </si>
  <si>
    <t>N25-06-69</t>
  </si>
  <si>
    <t>CA facturé</t>
  </si>
  <si>
    <t>VIR SEPA REMUNERATION SL I27V25153L000639</t>
  </si>
  <si>
    <t>VIR SEPA REMUNERATION SL I27V25153L000638</t>
  </si>
  <si>
    <t>VIR INST MR MORETTIN DAVID RENOVATION ENERGETIQUE MORETTIN</t>
  </si>
  <si>
    <t>PAIEMENT CB 3105 LUXEMBOURG WIX COM 11809112 CARTE 2515</t>
  </si>
  <si>
    <t>PAIEMENT CB 3105 31450 DONNEVI ABONNEMENT* MARI CARTE 2515</t>
  </si>
  <si>
    <t>PRLV SEPA VISEEON STR16NASQEGII1JLFBXOORANFNR48EOG6J VISEEON</t>
  </si>
  <si>
    <t>VIR MME HENRY LISA REFERENCE NON TRANSMISE VIREMENT DE LISA HENRY</t>
  </si>
  <si>
    <t>PRLV SEPA URSSAF MIDI PYRENEES TD677372506022059325238851183004064 UR 737000000186079505 JUIN25325238851183050625</t>
  </si>
  <si>
    <t>PRLV SEPA SWISSLIFE PREVOYANCE SIMVSCLI5POL01825525700210232447042 PRE-SWISSLIFE PS-202</t>
  </si>
  <si>
    <t>VIR M CANIAC SEBASTIEN VIREMENT DE POTIERS</t>
  </si>
  <si>
    <t>PAIEMENT PSC 0306 TOULOUSE AU GAI PECHEUR CARTE 2515</t>
  </si>
  <si>
    <t>VIR FACTURE F02204 - NOUGARET</t>
  </si>
  <si>
    <t>VIR FACTURE F2506009 - THIAW MA</t>
  </si>
  <si>
    <t>PAIEMENT PSC 0506 VILLENEUVE LE LE PASEO CARTE 2515</t>
  </si>
  <si>
    <t>FACT SGT25005280548298 DONT TVA 2 66EUR</t>
  </si>
  <si>
    <t>PRLV SEPA GPJ 0008221000015452793306</t>
  </si>
  <si>
    <t>PRLV SEPA SMABTP SMABTP LGBCLIH57902NS1E2025P0000330802 SMABTP/CLIH57902N/2025-330802/PRELEVEMENT MENSUEL/MANDAT : H57902N1000</t>
  </si>
  <si>
    <t>VIR DE LILIAN DUVAL ATELIER D VU51622HQJQ9HC01</t>
  </si>
  <si>
    <t>VIR FACTURE 2506008</t>
  </si>
  <si>
    <t>VIR M  BENECH JEAN 10057-13-25167068175704</t>
  </si>
  <si>
    <t>VIR BEGOU CLAUDINE FACTURE 25-06-68</t>
  </si>
  <si>
    <t>PRLV SEPA BOUYGUES TELECOM 20000142390625 BOUYGUES TELECOM</t>
  </si>
  <si>
    <t>PAIEMENT CB 2306 BLAGNAC LA FAIM DES HAR CARTE 2515</t>
  </si>
  <si>
    <t>PRLV SEPA GGVIE - PERIN COL GEV BOSG7747383000000001GANSE0000724784 GGVIE - PERIN COL GEV/GALYA RETRAITE INDIVIDUELLE/G7747383000000001</t>
  </si>
  <si>
    <t>PRLV SEPA DGFIP 220310720800114377221 TVA1-062025-3310CA3</t>
  </si>
  <si>
    <t>PAIEMENT CB 2306 0532800017 BLOON PARIS CARTE 2515</t>
  </si>
  <si>
    <t>PAIEMENT PSC 2406 MONTAUBAN EDGAR CARTE 2515</t>
  </si>
  <si>
    <t>VIR INST M  COULON ALBERT MME PENCHENAT FRANCOISE</t>
  </si>
  <si>
    <t>VIR INST MME CLAIRE-LISE CHARLES</t>
  </si>
  <si>
    <t>CHEQUE 4010150</t>
  </si>
  <si>
    <t>PAIEMENT PSC 2706 VILLENEUVE-LE CANTINE ET GAME CARTE 2515</t>
  </si>
  <si>
    <t>Protection Juridique / Cotisations</t>
  </si>
  <si>
    <t>Protection Juridique / Rembours</t>
  </si>
  <si>
    <t>Placement</t>
  </si>
  <si>
    <t>Retour + interets</t>
  </si>
  <si>
    <t>Depenses</t>
  </si>
  <si>
    <t>Recettes</t>
  </si>
  <si>
    <t>Club d'entreprises / Dépenses</t>
  </si>
  <si>
    <t>Club d'entreprises / remboursements</t>
  </si>
  <si>
    <t>Perçu</t>
  </si>
  <si>
    <t>Ventes / Avoirs</t>
  </si>
  <si>
    <t>CA HT TOTAL 2024</t>
  </si>
  <si>
    <t>CA HT partiel 2025</t>
  </si>
  <si>
    <t>N25-05-57</t>
  </si>
  <si>
    <t>ICF ATLANTIQUE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</si>
</sst>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 * #,##0.00_)\ &quot;€&quot;_ ;_ * \(#,##0.00\)\ &quot;€&quot;_ ;_ * &quot;-&quot;??_)\ &quot;€&quot;_ ;_ @_ "/>
    <numFmt numFmtId="43" formatCode="_ * #,##0.00_)_ ;_ * \(#,##0.00\)_ ;_ * &quot;-&quot;??_)_ ;_ @_ "/>
    <numFmt numFmtId="164" formatCode="#,##0.00\ [$€-40C];[Red]\-#,##0.00\ [$€-40C]"/>
    <numFmt numFmtId="165" formatCode="_ * #,##0_)_ ;_ * \(#,##0\)_ ;_ * &quot;-&quot;??_)_ ;_ @_ "/>
    <numFmt numFmtId="166" formatCode="_ * #,##0.000_)\ &quot;€&quot;_ ;_ * \(#,##0.000\)\ &quot;€&quot;_ ;_ * &quot;-&quot;???_)\ &quot;€&quot;_ ;_ @_ "/>
    <numFmt numFmtId="167" formatCode="0.000%"/>
    <numFmt numFmtId="168" formatCode="_ * #,##0.00_)\ _€_ ;_ * \(#,##0.00\)\ _€_ ;_ * &quot;-&quot;??_)\ _€_ ;_ @_ "/>
    <numFmt numFmtId="169" formatCode="_ * #,##0_)\ _€_ ;_ * \(#,##0\)\ _€_ ;_ * &quot;-&quot;??_)\ _€_ ;_ @_ "/>
    <numFmt numFmtId="170" formatCode="_ * #,##0.00_)\ &quot;€&quot;_ ;_ * \(#,##0.00\)\ &quot;€&quot;_ ;_ * &quot;-&quot;???_)\ &quot;€&quot;_ ;_ @_ "/>
    <numFmt numFmtId="171" formatCode="0.0%"/>
    <numFmt numFmtId="172" formatCode="#,##0.00\ &quot;€&quot;"/>
    <numFmt numFmtId="173" formatCode="_ * #,##0_)\ &quot;€&quot;_ ;_ * \(#,##0\)\ &quot;€&quot;_ ;_ * &quot;-&quot;??_)\ &quot;€&quot;_ ;_ @_ "/>
    <numFmt numFmtId="174" formatCode="#,##0\ [$€-40C];[Red]\-#,##0\ [$€-40C]"/>
    <numFmt numFmtId="175" formatCode="0.0000%"/>
  </numFmts>
  <fonts count="136" x14ac:knownFonts="1">
    <font>
      <sz val="12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20"/>
      <color theme="0"/>
      <name val="Calibri"/>
      <family val="2"/>
    </font>
    <font>
      <sz val="12"/>
      <name val="Arial"/>
      <family val="2"/>
    </font>
    <font>
      <b/>
      <sz val="12"/>
      <color rgb="FF000000"/>
      <name val="Calibri"/>
      <family val="2"/>
    </font>
    <font>
      <sz val="14"/>
      <color rgb="FF000000"/>
      <name val="Calibri"/>
      <family val="2"/>
    </font>
    <font>
      <sz val="12"/>
      <color rgb="FF000000"/>
      <name val="Calibri"/>
      <family val="2"/>
    </font>
    <font>
      <sz val="14"/>
      <color theme="1"/>
      <name val="Calibri"/>
      <family val="2"/>
    </font>
    <font>
      <strike/>
      <sz val="14"/>
      <color rgb="FF000000"/>
      <name val="Calibri"/>
      <family val="2"/>
    </font>
    <font>
      <sz val="12"/>
      <color theme="4"/>
      <name val="Calibri"/>
      <family val="2"/>
    </font>
    <font>
      <b/>
      <sz val="14"/>
      <color theme="1"/>
      <name val="Calibri"/>
      <family val="2"/>
    </font>
    <font>
      <b/>
      <u/>
      <sz val="12"/>
      <color rgb="FF000000"/>
      <name val="Calibri"/>
      <family val="2"/>
    </font>
    <font>
      <b/>
      <u/>
      <sz val="20"/>
      <color theme="0"/>
      <name val="Calibri"/>
      <family val="2"/>
    </font>
    <font>
      <sz val="10"/>
      <color theme="1"/>
      <name val="Arial"/>
      <family val="2"/>
    </font>
    <font>
      <b/>
      <i/>
      <sz val="12"/>
      <color rgb="FF000000"/>
      <name val="Calibri"/>
      <family val="2"/>
    </font>
    <font>
      <sz val="16"/>
      <color rgb="FF000000"/>
      <name val="Calibri"/>
      <family val="2"/>
    </font>
    <font>
      <sz val="12"/>
      <color theme="7"/>
      <name val="Calibri"/>
      <family val="2"/>
    </font>
    <font>
      <sz val="12"/>
      <color rgb="FF000000"/>
      <name val="Arial"/>
      <family val="2"/>
    </font>
    <font>
      <sz val="12"/>
      <color theme="1"/>
      <name val="Calibri"/>
      <family val="2"/>
    </font>
    <font>
      <i/>
      <sz val="12"/>
      <color rgb="FF000000"/>
      <name val="Calibri"/>
      <family val="2"/>
    </font>
    <font>
      <i/>
      <sz val="12"/>
      <color theme="4"/>
      <name val="Calibri"/>
      <family val="2"/>
    </font>
    <font>
      <i/>
      <sz val="12"/>
      <color rgb="FFB3B3B3"/>
      <name val="Calibri"/>
      <family val="2"/>
    </font>
    <font>
      <strike/>
      <sz val="12"/>
      <color rgb="FF000000"/>
      <name val="Calibri"/>
      <family val="2"/>
    </font>
    <font>
      <sz val="10"/>
      <color rgb="FF000000"/>
      <name val="Calibri"/>
      <family val="2"/>
    </font>
    <font>
      <sz val="12"/>
      <color rgb="FFFF0000"/>
      <name val="Calibri"/>
      <family val="2"/>
    </font>
    <font>
      <b/>
      <sz val="22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Arial"/>
      <family val="2"/>
    </font>
    <font>
      <sz val="12"/>
      <color rgb="FF92D050"/>
      <name val="Calibri"/>
      <family val="2"/>
    </font>
    <font>
      <sz val="12"/>
      <color rgb="FFFFD965"/>
      <name val="Calibri"/>
      <family val="2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b/>
      <sz val="14"/>
      <color theme="4"/>
      <name val="Calibri"/>
      <family val="2"/>
    </font>
    <font>
      <b/>
      <sz val="12"/>
      <color theme="1"/>
      <name val="Calibri"/>
      <family val="2"/>
    </font>
    <font>
      <sz val="12"/>
      <color rgb="FF000000"/>
      <name val="Arial"/>
      <family val="2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trike/>
      <sz val="12"/>
      <color rgb="FF000000"/>
      <name val="Calibri"/>
      <family val="2"/>
    </font>
    <font>
      <sz val="18"/>
      <color rgb="FF000000"/>
      <name val="Arial"/>
      <family val="2"/>
      <scheme val="minor"/>
    </font>
    <font>
      <i/>
      <sz val="16"/>
      <color theme="2" tint="-0.499984740745262"/>
      <name val="Calibri"/>
      <family val="2"/>
    </font>
    <font>
      <sz val="16"/>
      <color rgb="FF000000"/>
      <name val="Arial"/>
      <family val="2"/>
      <scheme val="minor"/>
    </font>
    <font>
      <sz val="16"/>
      <color theme="4"/>
      <name val="Calibri"/>
      <family val="2"/>
    </font>
    <font>
      <sz val="16"/>
      <color theme="1"/>
      <name val="Calibri"/>
      <family val="2"/>
    </font>
    <font>
      <b/>
      <sz val="16"/>
      <color rgb="FF000000"/>
      <name val="Calibri"/>
      <family val="2"/>
    </font>
    <font>
      <strike/>
      <sz val="16"/>
      <color rgb="FF000000"/>
      <name val="Calibri"/>
      <family val="2"/>
    </font>
    <font>
      <strike/>
      <sz val="16"/>
      <color theme="4"/>
      <name val="Calibri"/>
      <family val="2"/>
    </font>
    <font>
      <sz val="16"/>
      <color rgb="FFFF0000"/>
      <name val="Calibri"/>
      <family val="2"/>
    </font>
    <font>
      <sz val="16"/>
      <color theme="9"/>
      <name val="Calibri"/>
      <family val="2"/>
    </font>
    <font>
      <sz val="16"/>
      <color theme="4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8"/>
      <color rgb="FF000000"/>
      <name val="Calibri"/>
      <family val="2"/>
    </font>
    <font>
      <b/>
      <sz val="18"/>
      <color theme="1"/>
      <name val="Calibri"/>
      <family val="2"/>
    </font>
    <font>
      <sz val="18"/>
      <color rgb="FF000000"/>
      <name val="Calibri"/>
      <family val="2"/>
    </font>
    <font>
      <sz val="16"/>
      <color theme="9"/>
      <name val="Arial"/>
      <family val="2"/>
      <scheme val="minor"/>
    </font>
    <font>
      <sz val="16"/>
      <color rgb="FFFF0000"/>
      <name val="Arial"/>
      <family val="2"/>
      <scheme val="minor"/>
    </font>
    <font>
      <sz val="16"/>
      <color rgb="FFFFC000"/>
      <name val="Calibri"/>
      <family val="2"/>
    </font>
    <font>
      <sz val="16"/>
      <color rgb="FFFFC00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4"/>
      <color theme="0"/>
      <name val="Calibri"/>
      <family val="2"/>
    </font>
    <font>
      <b/>
      <i/>
      <sz val="12"/>
      <color theme="4"/>
      <name val="Calibri"/>
      <family val="2"/>
    </font>
    <font>
      <sz val="12"/>
      <name val="Calibri"/>
      <family val="2"/>
    </font>
    <font>
      <sz val="16"/>
      <color rgb="FF567B96"/>
      <name val="Calibri"/>
      <family val="2"/>
    </font>
    <font>
      <b/>
      <sz val="26"/>
      <color rgb="FFFF5F5F"/>
      <name val="Calibri"/>
      <family val="2"/>
    </font>
    <font>
      <b/>
      <sz val="24"/>
      <color rgb="FFFF5F5F"/>
      <name val="Calibri"/>
      <family val="2"/>
    </font>
    <font>
      <b/>
      <sz val="16"/>
      <color rgb="FF567B96"/>
      <name val="Arial"/>
      <family val="2"/>
      <scheme val="minor"/>
    </font>
    <font>
      <b/>
      <sz val="24"/>
      <color rgb="FF567B96"/>
      <name val="Calibri"/>
      <family val="2"/>
    </font>
    <font>
      <sz val="14"/>
      <color theme="0"/>
      <name val="Arial"/>
      <family val="2"/>
      <scheme val="minor"/>
    </font>
    <font>
      <sz val="14"/>
      <color rgb="FF000000"/>
      <name val="Arial"/>
      <family val="2"/>
      <scheme val="minor"/>
    </font>
    <font>
      <b/>
      <i/>
      <sz val="18"/>
      <color rgb="FF000000"/>
      <name val="Calibri"/>
      <family val="2"/>
    </font>
    <font>
      <b/>
      <sz val="16"/>
      <color rgb="FF567B96"/>
      <name val="Calibri"/>
      <family val="2"/>
    </font>
    <font>
      <sz val="8"/>
      <name val="Arial"/>
      <family val="2"/>
      <scheme val="minor"/>
    </font>
    <font>
      <b/>
      <sz val="12"/>
      <color rgb="FFFF5F5F"/>
      <name val="Arial"/>
      <family val="2"/>
      <scheme val="minor"/>
    </font>
    <font>
      <sz val="16"/>
      <color theme="0" tint="-0.249977111117893"/>
      <name val="Calibri"/>
      <family val="2"/>
    </font>
    <font>
      <b/>
      <sz val="16"/>
      <color theme="0" tint="-0.249977111117893"/>
      <name val="Calibri"/>
      <family val="2"/>
    </font>
    <font>
      <b/>
      <sz val="12"/>
      <color rgb="FF00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rgb="FFFF5F5F"/>
      <name val="Arial"/>
      <family val="2"/>
    </font>
    <font>
      <b/>
      <sz val="11"/>
      <color rgb="FF567B96"/>
      <name val="Arial"/>
      <family val="2"/>
      <scheme val="minor"/>
    </font>
    <font>
      <sz val="12"/>
      <color theme="2" tint="-0.34998626667073579"/>
      <name val="Arial (Corps)"/>
    </font>
    <font>
      <sz val="11"/>
      <color theme="2" tint="-0.34998626667073579"/>
      <name val="Arial (Corps)"/>
    </font>
    <font>
      <sz val="12"/>
      <color rgb="FFFF5F5F"/>
      <name val="Calibri"/>
      <family val="2"/>
    </font>
    <font>
      <b/>
      <sz val="14"/>
      <color rgb="FF00B0F0"/>
      <name val="Calibri"/>
      <family val="2"/>
    </font>
    <font>
      <sz val="12"/>
      <color rgb="FF00B0F0"/>
      <name val="Calibri"/>
      <family val="2"/>
    </font>
    <font>
      <b/>
      <sz val="14"/>
      <color rgb="FFFF5F5F"/>
      <name val="Calibri"/>
      <family val="2"/>
    </font>
    <font>
      <b/>
      <sz val="14"/>
      <color rgb="FF00B050"/>
      <name val="Calibri"/>
      <family val="2"/>
    </font>
    <font>
      <sz val="12"/>
      <color rgb="FF00B050"/>
      <name val="Calibri"/>
      <family val="2"/>
    </font>
    <font>
      <sz val="10"/>
      <color theme="0" tint="-0.249977111117893"/>
      <name val="Arial"/>
      <family val="2"/>
      <scheme val="minor"/>
    </font>
    <font>
      <i/>
      <sz val="10"/>
      <color theme="0" tint="-0.249977111117893"/>
      <name val="Calibri"/>
      <family val="2"/>
    </font>
    <font>
      <sz val="12"/>
      <color rgb="FF000000"/>
      <name val="Arial"/>
      <family val="2"/>
      <scheme val="minor"/>
    </font>
    <font>
      <b/>
      <sz val="18"/>
      <color theme="0"/>
      <name val="Calibri"/>
      <family val="2"/>
    </font>
    <font>
      <sz val="16"/>
      <color theme="0" tint="-0.14999847407452621"/>
      <name val="Calibri"/>
      <family val="2"/>
    </font>
    <font>
      <b/>
      <sz val="22"/>
      <color rgb="FF567B96"/>
      <name val="Arial"/>
      <family val="2"/>
      <scheme val="minor"/>
    </font>
    <font>
      <sz val="16"/>
      <color theme="0" tint="-0.34998626667073579"/>
      <name val="Calibri"/>
      <family val="2"/>
    </font>
    <font>
      <sz val="16"/>
      <color theme="0" tint="-0.249977111117893"/>
      <name val="Arial"/>
      <family val="2"/>
      <scheme val="minor"/>
    </font>
    <font>
      <b/>
      <sz val="16"/>
      <color theme="2"/>
      <name val="Calibri"/>
      <family val="2"/>
    </font>
    <font>
      <b/>
      <strike/>
      <sz val="16"/>
      <color theme="2"/>
      <name val="Calibri"/>
      <family val="2"/>
    </font>
    <font>
      <sz val="24"/>
      <name val="Arial"/>
      <family val="2"/>
    </font>
    <font>
      <sz val="22"/>
      <color rgb="FFFF5F5F"/>
      <name val="Calibri"/>
      <family val="2"/>
    </font>
    <font>
      <sz val="18"/>
      <color rgb="FF567B96"/>
      <name val="Calibri"/>
      <family val="2"/>
    </font>
    <font>
      <b/>
      <sz val="18"/>
      <color theme="5"/>
      <name val="Calibri"/>
      <family val="2"/>
    </font>
    <font>
      <sz val="18"/>
      <color theme="4"/>
      <name val="Calibri"/>
      <family val="2"/>
    </font>
    <font>
      <sz val="18"/>
      <color rgb="FF92D050"/>
      <name val="Calibri"/>
      <family val="2"/>
    </font>
    <font>
      <sz val="18"/>
      <color rgb="FFFF0000"/>
      <name val="Calibri"/>
      <family val="2"/>
    </font>
    <font>
      <b/>
      <sz val="18"/>
      <color rgb="FFFF0000"/>
      <name val="Calibri"/>
      <family val="2"/>
    </font>
    <font>
      <sz val="24"/>
      <name val="Calibri"/>
      <family val="2"/>
    </font>
    <font>
      <b/>
      <i/>
      <sz val="18"/>
      <color rgb="FF567B96"/>
      <name val="Calibri"/>
      <family val="2"/>
    </font>
    <font>
      <sz val="10"/>
      <color rgb="FFBFBFBF"/>
      <name val="Arial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rgb="FF000000"/>
      <name val="Calibri"/>
      <family val="2"/>
    </font>
    <font>
      <sz val="14"/>
      <color rgb="FFA6A6A6"/>
      <name val="Arial"/>
      <family val="2"/>
      <scheme val="minor"/>
    </font>
    <font>
      <sz val="10"/>
      <color rgb="FF000000"/>
      <name val="Arial"/>
      <family val="2"/>
      <scheme val="minor"/>
    </font>
    <font>
      <sz val="11"/>
      <color rgb="FFA6A6A6"/>
      <name val="Arial"/>
      <family val="2"/>
      <scheme val="minor"/>
    </font>
    <font>
      <sz val="11"/>
      <color rgb="FF000000"/>
      <name val="Calibri"/>
      <family val="2"/>
    </font>
    <font>
      <b/>
      <i/>
      <sz val="14"/>
      <color rgb="FFFF5F5F"/>
      <name val="Calibri"/>
      <family val="2"/>
    </font>
    <font>
      <b/>
      <sz val="26"/>
      <color rgb="FF000000"/>
      <name val="Calibri"/>
      <family val="2"/>
    </font>
    <font>
      <b/>
      <sz val="22"/>
      <color theme="0"/>
      <name val="Calibri"/>
      <family val="2"/>
    </font>
    <font>
      <b/>
      <sz val="24"/>
      <color theme="1"/>
      <name val="Calibri"/>
      <family val="2"/>
    </font>
    <font>
      <sz val="16"/>
      <color rgb="FF00B050"/>
      <name val="Calibri"/>
      <family val="2"/>
    </font>
    <font>
      <sz val="12"/>
      <color rgb="FF567B96"/>
      <name val="Arial"/>
      <family val="2"/>
      <scheme val="minor"/>
    </font>
    <font>
      <b/>
      <sz val="28"/>
      <color rgb="FFFF5F5F"/>
      <name val="Calibri"/>
      <family val="2"/>
    </font>
    <font>
      <sz val="12"/>
      <color theme="0" tint="-0.249977111117893"/>
      <name val="Arial"/>
      <family val="2"/>
      <scheme val="minor"/>
    </font>
    <font>
      <sz val="14"/>
      <color theme="0" tint="-0.249977111117893"/>
      <name val="Arial"/>
      <family val="2"/>
      <scheme val="minor"/>
    </font>
    <font>
      <sz val="8"/>
      <name val="Arial"/>
      <family val="2"/>
      <scheme val="minor"/>
    </font>
    <font>
      <b/>
      <sz val="16"/>
      <color theme="0" tint="-0.34998626667073579"/>
      <name val="Calibri"/>
      <family val="2"/>
    </font>
    <font>
      <sz val="11"/>
      <color rgb="FF000000"/>
      <name val="Arial"/>
      <family val="2"/>
      <scheme val="minor"/>
    </font>
    <font>
      <sz val="11"/>
      <color theme="0" tint="-0.249977111117893"/>
      <name val="Arial"/>
      <family val="2"/>
      <scheme val="minor"/>
    </font>
    <font>
      <sz val="11"/>
      <color theme="2"/>
      <name val="Arial"/>
      <family val="2"/>
      <scheme val="minor"/>
    </font>
    <font>
      <b/>
      <sz val="11"/>
      <color theme="2"/>
      <name val="Arial"/>
      <family val="2"/>
      <scheme val="minor"/>
    </font>
    <font>
      <sz val="12"/>
      <color theme="2"/>
      <name val="Arial"/>
      <family val="2"/>
      <scheme val="minor"/>
    </font>
    <font>
      <b/>
      <sz val="12"/>
      <color theme="2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00FF00"/>
        <bgColor rgb="FF00FF00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rgb="FFFFFF00"/>
      </patternFill>
    </fill>
    <fill>
      <patternFill patternType="solid">
        <fgColor rgb="FFD9E2F3"/>
        <bgColor rgb="FFD9E2F3"/>
      </patternFill>
    </fill>
    <fill>
      <patternFill patternType="solid">
        <fgColor rgb="FFFBE4D5"/>
        <bgColor rgb="FFFBE4D5"/>
      </patternFill>
    </fill>
    <fill>
      <patternFill patternType="solid">
        <fgColor rgb="FF44546A"/>
        <bgColor rgb="FF44546A"/>
      </patternFill>
    </fill>
    <fill>
      <patternFill patternType="solid">
        <fgColor rgb="FFFFFF00"/>
        <bgColor indexed="64"/>
      </patternFill>
    </fill>
    <fill>
      <patternFill patternType="solid">
        <fgColor rgb="FFB8D7ED"/>
        <bgColor indexed="64"/>
      </patternFill>
    </fill>
    <fill>
      <patternFill patternType="solid">
        <fgColor rgb="FF567B96"/>
        <bgColor indexed="64"/>
      </patternFill>
    </fill>
    <fill>
      <patternFill patternType="solid">
        <fgColor rgb="FFFF5F5F"/>
        <bgColor rgb="FFFF0000"/>
      </patternFill>
    </fill>
    <fill>
      <patternFill patternType="solid">
        <fgColor rgb="FFB8D7ED"/>
        <bgColor rgb="FFFFFF99"/>
      </patternFill>
    </fill>
    <fill>
      <patternFill patternType="solid">
        <fgColor rgb="FFFF5F5F"/>
        <bgColor indexed="64"/>
      </patternFill>
    </fill>
    <fill>
      <patternFill patternType="solid">
        <fgColor rgb="FFB8D7ED"/>
        <bgColor rgb="FFFFCC99"/>
      </patternFill>
    </fill>
    <fill>
      <patternFill patternType="solid">
        <fgColor rgb="FFFF5F5F"/>
        <bgColor rgb="FFCCCCCC"/>
      </patternFill>
    </fill>
    <fill>
      <patternFill patternType="solid">
        <fgColor theme="0"/>
        <bgColor rgb="FFFFFF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DBE2F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rgb="FF567B96"/>
      </left>
      <right/>
      <top/>
      <bottom/>
      <diagonal/>
    </border>
    <border>
      <left style="medium">
        <color rgb="FF567B96"/>
      </left>
      <right/>
      <top/>
      <bottom style="medium">
        <color rgb="FF567B96"/>
      </bottom>
      <diagonal/>
    </border>
    <border>
      <left style="medium">
        <color rgb="FF567B96"/>
      </left>
      <right/>
      <top style="medium">
        <color rgb="FF567B96"/>
      </top>
      <bottom/>
      <diagonal/>
    </border>
    <border>
      <left style="medium">
        <color rgb="FF567B96"/>
      </left>
      <right style="medium">
        <color rgb="FF567B96"/>
      </right>
      <top style="medium">
        <color rgb="FF567B96"/>
      </top>
      <bottom/>
      <diagonal/>
    </border>
    <border>
      <left/>
      <right/>
      <top style="medium">
        <color rgb="FF567B9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5F5F"/>
      </left>
      <right/>
      <top/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567B96"/>
      </left>
      <right style="medium">
        <color rgb="FF567B96"/>
      </right>
      <top/>
      <bottom/>
      <diagonal/>
    </border>
    <border>
      <left style="medium">
        <color rgb="FF567B96"/>
      </left>
      <right style="medium">
        <color rgb="FF567B96"/>
      </right>
      <top/>
      <bottom style="medium">
        <color rgb="FF567B96"/>
      </bottom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 style="medium">
        <color rgb="FF567B96"/>
      </left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 style="dotted">
        <color rgb="FF567B96"/>
      </left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 style="medium">
        <color rgb="FF567B96"/>
      </bottom>
      <diagonal/>
    </border>
    <border>
      <left style="dotted">
        <color rgb="FF567B96"/>
      </left>
      <right style="medium">
        <color rgb="FF567B96"/>
      </right>
      <top style="dotted">
        <color rgb="FF567B96"/>
      </top>
      <bottom style="medium">
        <color rgb="FF567B96"/>
      </bottom>
      <diagonal/>
    </border>
    <border>
      <left style="medium">
        <color rgb="FF567B96"/>
      </left>
      <right/>
      <top style="medium">
        <color rgb="FF000000"/>
      </top>
      <bottom/>
      <diagonal/>
    </border>
    <border>
      <left/>
      <right style="medium">
        <color rgb="FF567B96"/>
      </right>
      <top style="medium">
        <color rgb="FF000000"/>
      </top>
      <bottom/>
      <diagonal/>
    </border>
    <border>
      <left style="medium">
        <color rgb="FF567B96"/>
      </left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 style="medium">
        <color rgb="FF567B96"/>
      </left>
      <right style="medium">
        <color rgb="FF567B96"/>
      </right>
      <top style="dotted">
        <color rgb="FF567B96"/>
      </top>
      <bottom style="medium">
        <color rgb="FF567B96"/>
      </bottom>
      <diagonal/>
    </border>
    <border>
      <left/>
      <right style="dotted">
        <color rgb="FF567B96"/>
      </right>
      <top style="dotted">
        <color rgb="FF567B96"/>
      </top>
      <bottom style="medium">
        <color rgb="FF567B96"/>
      </bottom>
      <diagonal/>
    </border>
    <border>
      <left/>
      <right/>
      <top style="dotted">
        <color rgb="FF567B96"/>
      </top>
      <bottom style="dotted">
        <color rgb="FF567B96"/>
      </bottom>
      <diagonal/>
    </border>
    <border>
      <left/>
      <right/>
      <top style="dotted">
        <color rgb="FF567B96"/>
      </top>
      <bottom style="medium">
        <color rgb="FF567B96"/>
      </bottom>
      <diagonal/>
    </border>
    <border>
      <left style="dotted">
        <color rgb="FF567B96"/>
      </left>
      <right/>
      <top style="dotted">
        <color rgb="FF567B96"/>
      </top>
      <bottom style="dotted">
        <color rgb="FF567B96"/>
      </bottom>
      <diagonal/>
    </border>
    <border>
      <left/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rgb="FF000000"/>
      </bottom>
      <diagonal/>
    </border>
    <border>
      <left/>
      <right/>
      <top style="medium">
        <color indexed="64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medium">
        <color indexed="64"/>
      </bottom>
      <diagonal/>
    </border>
    <border>
      <left/>
      <right/>
      <top style="hair">
        <color rgb="FF000000"/>
      </top>
      <bottom style="medium">
        <color indexed="64"/>
      </bottom>
      <diagonal/>
    </border>
    <border>
      <left/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rgb="FF567B96"/>
      </right>
      <top style="medium">
        <color indexed="64"/>
      </top>
      <bottom style="medium">
        <color indexed="64"/>
      </bottom>
      <diagonal/>
    </border>
    <border>
      <left/>
      <right style="dotted">
        <color rgb="FF567B96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38" fillId="0" borderId="0" applyFont="0" applyFill="0" applyBorder="0" applyAlignment="0" applyProtection="0"/>
    <xf numFmtId="44" fontId="53" fillId="0" borderId="0" applyFont="0" applyFill="0" applyBorder="0" applyAlignment="0" applyProtection="0"/>
    <xf numFmtId="0" fontId="5" fillId="0" borderId="14"/>
    <xf numFmtId="43" fontId="93" fillId="0" borderId="0" applyFont="0" applyFill="0" applyBorder="0" applyAlignment="0" applyProtection="0"/>
  </cellStyleXfs>
  <cellXfs count="542">
    <xf numFmtId="0" fontId="0" fillId="0" borderId="0" xfId="0"/>
    <xf numFmtId="0" fontId="10" fillId="3" borderId="2" xfId="0" applyFont="1" applyFill="1" applyBorder="1"/>
    <xf numFmtId="0" fontId="10" fillId="0" borderId="0" xfId="0" applyFont="1"/>
    <xf numFmtId="0" fontId="9" fillId="0" borderId="0" xfId="0" applyFont="1"/>
    <xf numFmtId="44" fontId="11" fillId="0" borderId="0" xfId="0" applyNumberFormat="1" applyFont="1"/>
    <xf numFmtId="44" fontId="9" fillId="0" borderId="0" xfId="0" applyNumberFormat="1" applyFont="1" applyAlignment="1">
      <alignment horizontal="center" vertical="center"/>
    </xf>
    <xf numFmtId="44" fontId="10" fillId="0" borderId="0" xfId="0" applyNumberFormat="1" applyFont="1"/>
    <xf numFmtId="44" fontId="15" fillId="0" borderId="0" xfId="0" applyNumberFormat="1" applyFont="1"/>
    <xf numFmtId="4" fontId="10" fillId="0" borderId="0" xfId="0" applyNumberFormat="1" applyFont="1"/>
    <xf numFmtId="164" fontId="10" fillId="0" borderId="0" xfId="0" applyNumberFormat="1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/>
    </xf>
    <xf numFmtId="44" fontId="17" fillId="0" borderId="0" xfId="0" applyNumberFormat="1" applyFont="1"/>
    <xf numFmtId="10" fontId="18" fillId="0" borderId="0" xfId="0" applyNumberFormat="1" applyFont="1"/>
    <xf numFmtId="0" fontId="20" fillId="0" borderId="0" xfId="0" applyFont="1"/>
    <xf numFmtId="44" fontId="22" fillId="0" borderId="0" xfId="0" applyNumberFormat="1" applyFont="1"/>
    <xf numFmtId="10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25" fillId="0" borderId="0" xfId="0" applyFont="1"/>
    <xf numFmtId="0" fontId="25" fillId="3" borderId="2" xfId="0" applyFont="1" applyFill="1" applyBorder="1"/>
    <xf numFmtId="0" fontId="23" fillId="0" borderId="0" xfId="0" applyFont="1"/>
    <xf numFmtId="0" fontId="26" fillId="0" borderId="0" xfId="0" applyFont="1"/>
    <xf numFmtId="0" fontId="23" fillId="0" borderId="0" xfId="0" applyFont="1" applyAlignment="1">
      <alignment vertical="center"/>
    </xf>
    <xf numFmtId="0" fontId="23" fillId="3" borderId="2" xfId="0" applyFont="1" applyFill="1" applyBorder="1"/>
    <xf numFmtId="0" fontId="26" fillId="0" borderId="0" xfId="0" applyFont="1" applyAlignment="1">
      <alignment vertical="center"/>
    </xf>
    <xf numFmtId="0" fontId="26" fillId="3" borderId="2" xfId="0" applyFont="1" applyFill="1" applyBorder="1"/>
    <xf numFmtId="164" fontId="8" fillId="0" borderId="0" xfId="0" applyNumberFormat="1" applyFont="1"/>
    <xf numFmtId="0" fontId="18" fillId="0" borderId="4" xfId="0" applyFont="1" applyBorder="1"/>
    <xf numFmtId="0" fontId="8" fillId="5" borderId="1" xfId="0" applyFont="1" applyFill="1" applyBorder="1" applyAlignment="1">
      <alignment horizontal="center"/>
    </xf>
    <xf numFmtId="0" fontId="24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9" fontId="24" fillId="0" borderId="0" xfId="0" applyNumberFormat="1" applyFont="1" applyAlignment="1">
      <alignment vertical="center"/>
    </xf>
    <xf numFmtId="0" fontId="24" fillId="0" borderId="0" xfId="0" applyFont="1"/>
    <xf numFmtId="44" fontId="22" fillId="0" borderId="0" xfId="0" applyNumberFormat="1" applyFont="1" applyAlignment="1">
      <alignment vertical="center"/>
    </xf>
    <xf numFmtId="43" fontId="27" fillId="0" borderId="0" xfId="0" applyNumberFormat="1" applyFont="1"/>
    <xf numFmtId="0" fontId="27" fillId="0" borderId="0" xfId="0" applyFont="1"/>
    <xf numFmtId="44" fontId="13" fillId="0" borderId="0" xfId="0" applyNumberFormat="1" applyFont="1" applyAlignment="1">
      <alignment vertical="center"/>
    </xf>
    <xf numFmtId="9" fontId="10" fillId="0" borderId="0" xfId="0" applyNumberFormat="1" applyFont="1"/>
    <xf numFmtId="44" fontId="10" fillId="0" borderId="0" xfId="0" applyNumberFormat="1" applyFont="1" applyAlignment="1">
      <alignment vertical="center"/>
    </xf>
    <xf numFmtId="44" fontId="28" fillId="0" borderId="0" xfId="0" applyNumberFormat="1" applyFont="1" applyAlignment="1">
      <alignment vertical="center"/>
    </xf>
    <xf numFmtId="0" fontId="29" fillId="0" borderId="0" xfId="0" applyFont="1"/>
    <xf numFmtId="44" fontId="32" fillId="0" borderId="0" xfId="0" applyNumberFormat="1" applyFont="1" applyAlignment="1">
      <alignment vertical="center"/>
    </xf>
    <xf numFmtId="0" fontId="29" fillId="0" borderId="0" xfId="0" applyFont="1" applyAlignment="1">
      <alignment horizontal="center" textRotation="90"/>
    </xf>
    <xf numFmtId="44" fontId="33" fillId="0" borderId="0" xfId="0" applyNumberFormat="1" applyFont="1" applyAlignment="1">
      <alignment vertical="center"/>
    </xf>
    <xf numFmtId="44" fontId="34" fillId="7" borderId="12" xfId="0" applyNumberFormat="1" applyFont="1" applyFill="1" applyBorder="1"/>
    <xf numFmtId="44" fontId="14" fillId="5" borderId="12" xfId="0" applyNumberFormat="1" applyFont="1" applyFill="1" applyBorder="1" applyAlignment="1">
      <alignment horizontal="center"/>
    </xf>
    <xf numFmtId="44" fontId="9" fillId="8" borderId="12" xfId="0" applyNumberFormat="1" applyFont="1" applyFill="1" applyBorder="1"/>
    <xf numFmtId="44" fontId="36" fillId="9" borderId="12" xfId="0" applyNumberFormat="1" applyFont="1" applyFill="1" applyBorder="1" applyAlignment="1">
      <alignment horizontal="center"/>
    </xf>
    <xf numFmtId="44" fontId="9" fillId="0" borderId="12" xfId="0" applyNumberFormat="1" applyFont="1" applyBorder="1"/>
    <xf numFmtId="44" fontId="36" fillId="9" borderId="22" xfId="0" applyNumberFormat="1" applyFont="1" applyFill="1" applyBorder="1" applyAlignment="1">
      <alignment horizontal="center"/>
    </xf>
    <xf numFmtId="44" fontId="34" fillId="6" borderId="12" xfId="0" applyNumberFormat="1" applyFont="1" applyFill="1" applyBorder="1"/>
    <xf numFmtId="1" fontId="22" fillId="0" borderId="23" xfId="0" applyNumberFormat="1" applyFont="1" applyBorder="1"/>
    <xf numFmtId="0" fontId="22" fillId="0" borderId="24" xfId="0" applyFont="1" applyBorder="1"/>
    <xf numFmtId="0" fontId="22" fillId="0" borderId="0" xfId="0" applyFont="1"/>
    <xf numFmtId="0" fontId="22" fillId="0" borderId="25" xfId="0" applyFont="1" applyBorder="1"/>
    <xf numFmtId="0" fontId="22" fillId="0" borderId="13" xfId="0" applyFont="1" applyBorder="1"/>
    <xf numFmtId="44" fontId="21" fillId="0" borderId="0" xfId="0" applyNumberFormat="1" applyFont="1"/>
    <xf numFmtId="2" fontId="22" fillId="0" borderId="15" xfId="0" applyNumberFormat="1" applyFont="1" applyBorder="1"/>
    <xf numFmtId="0" fontId="22" fillId="0" borderId="16" xfId="0" applyFont="1" applyBorder="1"/>
    <xf numFmtId="0" fontId="37" fillId="0" borderId="0" xfId="0" applyFont="1"/>
    <xf numFmtId="44" fontId="35" fillId="2" borderId="1" xfId="0" applyNumberFormat="1" applyFont="1" applyFill="1" applyBorder="1"/>
    <xf numFmtId="166" fontId="22" fillId="0" borderId="0" xfId="0" applyNumberFormat="1" applyFont="1"/>
    <xf numFmtId="10" fontId="21" fillId="0" borderId="0" xfId="0" applyNumberFormat="1" applyFont="1"/>
    <xf numFmtId="167" fontId="21" fillId="0" borderId="0" xfId="0" applyNumberFormat="1" applyFont="1"/>
    <xf numFmtId="2" fontId="22" fillId="0" borderId="0" xfId="0" applyNumberFormat="1" applyFont="1"/>
    <xf numFmtId="9" fontId="22" fillId="0" borderId="0" xfId="0" applyNumberFormat="1" applyFont="1"/>
    <xf numFmtId="0" fontId="22" fillId="8" borderId="1" xfId="0" applyFont="1" applyFill="1" applyBorder="1"/>
    <xf numFmtId="167" fontId="22" fillId="0" borderId="0" xfId="0" applyNumberFormat="1" applyFont="1"/>
    <xf numFmtId="0" fontId="22" fillId="10" borderId="1" xfId="0" applyFont="1" applyFill="1" applyBorder="1"/>
    <xf numFmtId="2" fontId="22" fillId="10" borderId="1" xfId="0" applyNumberFormat="1" applyFont="1" applyFill="1" applyBorder="1"/>
    <xf numFmtId="167" fontId="21" fillId="10" borderId="1" xfId="0" applyNumberFormat="1" applyFont="1" applyFill="1" applyBorder="1"/>
    <xf numFmtId="44" fontId="37" fillId="10" borderId="1" xfId="0" applyNumberFormat="1" applyFont="1" applyFill="1" applyBorder="1"/>
    <xf numFmtId="9" fontId="21" fillId="0" borderId="0" xfId="0" applyNumberFormat="1" applyFont="1"/>
    <xf numFmtId="44" fontId="37" fillId="0" borderId="0" xfId="0" applyNumberFormat="1" applyFont="1"/>
    <xf numFmtId="168" fontId="21" fillId="0" borderId="0" xfId="0" applyNumberFormat="1" applyFont="1" applyAlignment="1">
      <alignment horizontal="right"/>
    </xf>
    <xf numFmtId="168" fontId="21" fillId="0" borderId="0" xfId="0" applyNumberFormat="1" applyFont="1"/>
    <xf numFmtId="44" fontId="37" fillId="8" borderId="1" xfId="0" applyNumberFormat="1" applyFont="1" applyFill="1" applyBorder="1"/>
    <xf numFmtId="0" fontId="28" fillId="8" borderId="1" xfId="0" applyFont="1" applyFill="1" applyBorder="1"/>
    <xf numFmtId="2" fontId="28" fillId="8" borderId="1" xfId="0" applyNumberFormat="1" applyFont="1" applyFill="1" applyBorder="1"/>
    <xf numFmtId="10" fontId="28" fillId="8" borderId="1" xfId="0" applyNumberFormat="1" applyFont="1" applyFill="1" applyBorder="1"/>
    <xf numFmtId="44" fontId="28" fillId="8" borderId="1" xfId="0" applyNumberFormat="1" applyFont="1" applyFill="1" applyBorder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169" fontId="21" fillId="0" borderId="0" xfId="0" applyNumberFormat="1" applyFont="1"/>
    <xf numFmtId="170" fontId="35" fillId="11" borderId="1" xfId="0" applyNumberFormat="1" applyFont="1" applyFill="1" applyBorder="1"/>
    <xf numFmtId="166" fontId="35" fillId="11" borderId="1" xfId="0" applyNumberFormat="1" applyFont="1" applyFill="1" applyBorder="1"/>
    <xf numFmtId="0" fontId="8" fillId="0" borderId="0" xfId="0" applyFont="1" applyAlignment="1">
      <alignment horizontal="center" vertical="center"/>
    </xf>
    <xf numFmtId="44" fontId="39" fillId="0" borderId="0" xfId="0" applyNumberFormat="1" applyFont="1" applyAlignment="1">
      <alignment vertical="center"/>
    </xf>
    <xf numFmtId="44" fontId="40" fillId="0" borderId="0" xfId="0" applyNumberFormat="1" applyFont="1" applyAlignment="1">
      <alignment vertical="center"/>
    </xf>
    <xf numFmtId="44" fontId="24" fillId="0" borderId="0" xfId="0" applyNumberFormat="1" applyFont="1"/>
    <xf numFmtId="44" fontId="41" fillId="0" borderId="0" xfId="0" applyNumberFormat="1" applyFont="1"/>
    <xf numFmtId="0" fontId="19" fillId="0" borderId="0" xfId="0" applyFont="1"/>
    <xf numFmtId="0" fontId="44" fillId="0" borderId="0" xfId="0" applyFont="1"/>
    <xf numFmtId="44" fontId="19" fillId="0" borderId="0" xfId="0" applyNumberFormat="1" applyFont="1"/>
    <xf numFmtId="44" fontId="46" fillId="0" borderId="0" xfId="0" applyNumberFormat="1" applyFont="1"/>
    <xf numFmtId="44" fontId="44" fillId="0" borderId="0" xfId="0" applyNumberFormat="1" applyFont="1"/>
    <xf numFmtId="164" fontId="19" fillId="0" borderId="0" xfId="0" applyNumberFormat="1" applyFont="1"/>
    <xf numFmtId="0" fontId="56" fillId="0" borderId="0" xfId="0" applyFont="1" applyAlignment="1">
      <alignment horizontal="center" vertical="center"/>
    </xf>
    <xf numFmtId="0" fontId="56" fillId="0" borderId="0" xfId="0" applyFont="1"/>
    <xf numFmtId="171" fontId="10" fillId="0" borderId="0" xfId="1" applyNumberFormat="1" applyFont="1"/>
    <xf numFmtId="44" fontId="10" fillId="0" borderId="0" xfId="2" applyFont="1"/>
    <xf numFmtId="0" fontId="51" fillId="0" borderId="28" xfId="0" applyFont="1" applyBorder="1" applyAlignment="1">
      <alignment vertical="center"/>
    </xf>
    <xf numFmtId="0" fontId="50" fillId="0" borderId="31" xfId="0" applyFont="1" applyBorder="1" applyAlignment="1">
      <alignment vertical="center"/>
    </xf>
    <xf numFmtId="0" fontId="50" fillId="0" borderId="14" xfId="0" applyFont="1" applyBorder="1" applyAlignment="1">
      <alignment vertical="center"/>
    </xf>
    <xf numFmtId="0" fontId="58" fillId="0" borderId="14" xfId="0" applyFont="1" applyBorder="1" applyAlignment="1">
      <alignment vertical="center"/>
    </xf>
    <xf numFmtId="0" fontId="59" fillId="0" borderId="31" xfId="0" applyFont="1" applyBorder="1" applyAlignment="1">
      <alignment vertical="center"/>
    </xf>
    <xf numFmtId="0" fontId="59" fillId="0" borderId="14" xfId="0" applyFont="1" applyBorder="1" applyAlignment="1">
      <alignment vertical="center"/>
    </xf>
    <xf numFmtId="0" fontId="60" fillId="0" borderId="14" xfId="0" applyFont="1" applyBorder="1" applyAlignment="1">
      <alignment vertical="center"/>
    </xf>
    <xf numFmtId="44" fontId="0" fillId="0" borderId="0" xfId="0" applyNumberFormat="1"/>
    <xf numFmtId="44" fontId="64" fillId="0" borderId="0" xfId="0" applyNumberFormat="1" applyFont="1" applyAlignment="1">
      <alignment vertical="center"/>
    </xf>
    <xf numFmtId="0" fontId="27" fillId="0" borderId="14" xfId="0" applyFont="1" applyBorder="1" applyAlignment="1">
      <alignment horizontal="left" vertical="center"/>
    </xf>
    <xf numFmtId="44" fontId="17" fillId="0" borderId="14" xfId="0" applyNumberFormat="1" applyFont="1" applyBorder="1" applyAlignment="1">
      <alignment horizontal="left" vertical="center"/>
    </xf>
    <xf numFmtId="0" fontId="30" fillId="0" borderId="14" xfId="0" applyFont="1" applyBorder="1" applyAlignment="1">
      <alignment horizontal="left" vertical="center"/>
    </xf>
    <xf numFmtId="44" fontId="31" fillId="0" borderId="14" xfId="0" applyNumberFormat="1" applyFont="1" applyBorder="1" applyAlignment="1">
      <alignment horizontal="left" vertical="center"/>
    </xf>
    <xf numFmtId="44" fontId="65" fillId="0" borderId="0" xfId="0" applyNumberFormat="1" applyFont="1" applyAlignment="1">
      <alignment vertical="center"/>
    </xf>
    <xf numFmtId="0" fontId="24" fillId="0" borderId="28" xfId="0" applyFont="1" applyBorder="1" applyAlignment="1">
      <alignment horizontal="right" vertical="center"/>
    </xf>
    <xf numFmtId="44" fontId="64" fillId="0" borderId="30" xfId="0" applyNumberFormat="1" applyFont="1" applyBorder="1" applyAlignment="1">
      <alignment vertical="center"/>
    </xf>
    <xf numFmtId="0" fontId="10" fillId="0" borderId="31" xfId="0" applyFont="1" applyBorder="1" applyAlignment="1">
      <alignment vertical="center"/>
    </xf>
    <xf numFmtId="44" fontId="10" fillId="0" borderId="32" xfId="2" applyFont="1" applyBorder="1" applyAlignment="1">
      <alignment vertical="center"/>
    </xf>
    <xf numFmtId="1" fontId="10" fillId="0" borderId="32" xfId="0" applyNumberFormat="1" applyFont="1" applyBorder="1" applyAlignment="1">
      <alignment vertical="center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9" fontId="10" fillId="0" borderId="35" xfId="1" applyFont="1" applyBorder="1" applyAlignment="1">
      <alignment vertical="center"/>
    </xf>
    <xf numFmtId="0" fontId="7" fillId="0" borderId="14" xfId="0" applyFont="1" applyBorder="1"/>
    <xf numFmtId="0" fontId="42" fillId="0" borderId="0" xfId="0" applyFont="1"/>
    <xf numFmtId="0" fontId="9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8" fillId="0" borderId="0" xfId="0" applyFont="1"/>
    <xf numFmtId="44" fontId="8" fillId="5" borderId="1" xfId="2" applyFont="1" applyFill="1" applyBorder="1"/>
    <xf numFmtId="0" fontId="66" fillId="0" borderId="33" xfId="0" applyFont="1" applyBorder="1" applyAlignment="1">
      <alignment vertical="center"/>
    </xf>
    <xf numFmtId="0" fontId="72" fillId="0" borderId="0" xfId="0" applyFont="1"/>
    <xf numFmtId="0" fontId="71" fillId="14" borderId="45" xfId="0" applyFont="1" applyFill="1" applyBorder="1"/>
    <xf numFmtId="10" fontId="73" fillId="0" borderId="0" xfId="0" applyNumberFormat="1" applyFont="1"/>
    <xf numFmtId="44" fontId="19" fillId="0" borderId="0" xfId="0" applyNumberFormat="1" applyFont="1" applyAlignment="1">
      <alignment vertical="center"/>
    </xf>
    <xf numFmtId="0" fontId="42" fillId="0" borderId="0" xfId="0" applyFont="1" applyAlignment="1">
      <alignment horizontal="center" vertical="center"/>
    </xf>
    <xf numFmtId="44" fontId="44" fillId="0" borderId="0" xfId="2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44" fontId="44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right" vertical="center"/>
    </xf>
    <xf numFmtId="9" fontId="19" fillId="0" borderId="0" xfId="1" applyFont="1"/>
    <xf numFmtId="44" fontId="0" fillId="0" borderId="0" xfId="2" applyFont="1"/>
    <xf numFmtId="1" fontId="0" fillId="0" borderId="0" xfId="0" applyNumberFormat="1"/>
    <xf numFmtId="44" fontId="56" fillId="0" borderId="0" xfId="0" applyNumberFormat="1" applyFont="1"/>
    <xf numFmtId="0" fontId="81" fillId="13" borderId="45" xfId="3" applyFont="1" applyFill="1" applyBorder="1" applyAlignment="1">
      <alignment horizontal="center" vertical="center" wrapText="1"/>
    </xf>
    <xf numFmtId="0" fontId="5" fillId="0" borderId="14" xfId="3"/>
    <xf numFmtId="0" fontId="5" fillId="0" borderId="45" xfId="3" applyBorder="1"/>
    <xf numFmtId="17" fontId="80" fillId="0" borderId="45" xfId="3" applyNumberFormat="1" applyFont="1" applyBorder="1" applyAlignment="1">
      <alignment horizontal="center" vertical="center"/>
    </xf>
    <xf numFmtId="17" fontId="80" fillId="0" borderId="37" xfId="3" applyNumberFormat="1" applyFont="1" applyBorder="1" applyAlignment="1">
      <alignment horizontal="center" vertical="center"/>
    </xf>
    <xf numFmtId="17" fontId="80" fillId="0" borderId="14" xfId="3" applyNumberFormat="1" applyFont="1" applyAlignment="1">
      <alignment horizontal="center" vertical="center"/>
    </xf>
    <xf numFmtId="172" fontId="5" fillId="0" borderId="45" xfId="3" applyNumberFormat="1" applyBorder="1"/>
    <xf numFmtId="172" fontId="80" fillId="0" borderId="50" xfId="3" applyNumberFormat="1" applyFont="1" applyBorder="1"/>
    <xf numFmtId="0" fontId="10" fillId="0" borderId="45" xfId="3" applyFont="1" applyBorder="1" applyAlignment="1">
      <alignment vertical="center"/>
    </xf>
    <xf numFmtId="172" fontId="80" fillId="21" borderId="45" xfId="3" applyNumberFormat="1" applyFont="1" applyFill="1" applyBorder="1"/>
    <xf numFmtId="0" fontId="82" fillId="0" borderId="45" xfId="3" applyFont="1" applyBorder="1"/>
    <xf numFmtId="0" fontId="83" fillId="0" borderId="49" xfId="3" applyFont="1" applyBorder="1" applyAlignment="1">
      <alignment horizontal="center" vertical="center" wrapText="1"/>
    </xf>
    <xf numFmtId="0" fontId="84" fillId="0" borderId="14" xfId="3" applyFont="1"/>
    <xf numFmtId="44" fontId="10" fillId="0" borderId="14" xfId="0" applyNumberFormat="1" applyFont="1" applyBorder="1" applyAlignment="1">
      <alignment vertical="center"/>
    </xf>
    <xf numFmtId="44" fontId="24" fillId="0" borderId="0" xfId="2" applyFont="1" applyAlignment="1">
      <alignment vertical="center"/>
    </xf>
    <xf numFmtId="44" fontId="10" fillId="0" borderId="0" xfId="2" applyFont="1" applyAlignment="1">
      <alignment vertical="center"/>
    </xf>
    <xf numFmtId="44" fontId="10" fillId="0" borderId="0" xfId="2" applyFont="1" applyAlignment="1">
      <alignment horizontal="center"/>
    </xf>
    <xf numFmtId="44" fontId="8" fillId="0" borderId="0" xfId="0" applyNumberFormat="1" applyFont="1" applyAlignment="1">
      <alignment vertical="center"/>
    </xf>
    <xf numFmtId="44" fontId="37" fillId="0" borderId="0" xfId="0" applyNumberFormat="1" applyFont="1" applyAlignment="1">
      <alignment horizontal="center" vertical="center"/>
    </xf>
    <xf numFmtId="44" fontId="8" fillId="0" borderId="0" xfId="2" applyFont="1" applyAlignment="1">
      <alignment horizontal="center" vertical="center"/>
    </xf>
    <xf numFmtId="0" fontId="85" fillId="0" borderId="45" xfId="3" applyFont="1" applyBorder="1" applyAlignment="1">
      <alignment vertical="center"/>
    </xf>
    <xf numFmtId="0" fontId="24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44" fontId="10" fillId="13" borderId="0" xfId="0" applyNumberFormat="1" applyFont="1" applyFill="1" applyAlignment="1">
      <alignment vertical="center"/>
    </xf>
    <xf numFmtId="44" fontId="10" fillId="13" borderId="0" xfId="0" applyNumberFormat="1" applyFont="1" applyFill="1"/>
    <xf numFmtId="9" fontId="10" fillId="13" borderId="0" xfId="0" applyNumberFormat="1" applyFont="1" applyFill="1"/>
    <xf numFmtId="0" fontId="10" fillId="13" borderId="0" xfId="0" applyFont="1" applyFill="1"/>
    <xf numFmtId="0" fontId="0" fillId="13" borderId="0" xfId="0" applyFill="1"/>
    <xf numFmtId="44" fontId="86" fillId="0" borderId="17" xfId="0" applyNumberFormat="1" applyFont="1" applyBorder="1" applyAlignment="1">
      <alignment horizontal="center"/>
    </xf>
    <xf numFmtId="0" fontId="87" fillId="0" borderId="0" xfId="0" applyFont="1" applyAlignment="1">
      <alignment vertical="center"/>
    </xf>
    <xf numFmtId="44" fontId="88" fillId="0" borderId="17" xfId="0" applyNumberFormat="1" applyFont="1" applyBorder="1" applyAlignment="1">
      <alignment horizontal="center"/>
    </xf>
    <xf numFmtId="0" fontId="85" fillId="0" borderId="0" xfId="0" applyFont="1" applyAlignment="1">
      <alignment vertical="center"/>
    </xf>
    <xf numFmtId="4" fontId="89" fillId="0" borderId="17" xfId="0" applyNumberFormat="1" applyFont="1" applyBorder="1" applyAlignment="1">
      <alignment horizontal="center"/>
    </xf>
    <xf numFmtId="0" fontId="90" fillId="0" borderId="0" xfId="0" applyFont="1" applyAlignment="1">
      <alignment vertical="center"/>
    </xf>
    <xf numFmtId="44" fontId="89" fillId="0" borderId="19" xfId="0" applyNumberFormat="1" applyFont="1" applyBorder="1"/>
    <xf numFmtId="44" fontId="34" fillId="7" borderId="12" xfId="0" applyNumberFormat="1" applyFont="1" applyFill="1" applyBorder="1" applyAlignment="1">
      <alignment horizontal="center"/>
    </xf>
    <xf numFmtId="0" fontId="91" fillId="0" borderId="0" xfId="0" applyFont="1" applyAlignment="1">
      <alignment vertical="center"/>
    </xf>
    <xf numFmtId="44" fontId="34" fillId="2" borderId="12" xfId="0" applyNumberFormat="1" applyFont="1" applyFill="1" applyBorder="1"/>
    <xf numFmtId="44" fontId="34" fillId="2" borderId="12" xfId="0" applyNumberFormat="1" applyFont="1" applyFill="1" applyBorder="1" applyAlignment="1">
      <alignment horizontal="center"/>
    </xf>
    <xf numFmtId="4" fontId="92" fillId="0" borderId="17" xfId="0" applyNumberFormat="1" applyFont="1" applyBorder="1" applyAlignment="1">
      <alignment horizontal="center" vertical="center"/>
    </xf>
    <xf numFmtId="44" fontId="92" fillId="0" borderId="12" xfId="0" applyNumberFormat="1" applyFont="1" applyBorder="1" applyAlignment="1">
      <alignment horizontal="center" vertical="center"/>
    </xf>
    <xf numFmtId="44" fontId="86" fillId="0" borderId="12" xfId="0" applyNumberFormat="1" applyFont="1" applyBorder="1"/>
    <xf numFmtId="44" fontId="88" fillId="0" borderId="18" xfId="0" applyNumberFormat="1" applyFont="1" applyBorder="1"/>
    <xf numFmtId="172" fontId="80" fillId="21" borderId="45" xfId="3" applyNumberFormat="1" applyFont="1" applyFill="1" applyBorder="1" applyAlignment="1">
      <alignment horizontal="left" vertical="center"/>
    </xf>
    <xf numFmtId="43" fontId="95" fillId="0" borderId="0" xfId="4" applyFont="1"/>
    <xf numFmtId="0" fontId="63" fillId="19" borderId="25" xfId="0" applyFont="1" applyFill="1" applyBorder="1" applyAlignment="1">
      <alignment vertical="center"/>
    </xf>
    <xf numFmtId="0" fontId="63" fillId="19" borderId="14" xfId="0" applyFont="1" applyFill="1" applyBorder="1" applyAlignment="1">
      <alignment vertical="center"/>
    </xf>
    <xf numFmtId="165" fontId="95" fillId="0" borderId="0" xfId="4" applyNumberFormat="1" applyFont="1"/>
    <xf numFmtId="0" fontId="72" fillId="0" borderId="14" xfId="0" applyFont="1" applyBorder="1"/>
    <xf numFmtId="44" fontId="71" fillId="14" borderId="55" xfId="2" applyFont="1" applyFill="1" applyBorder="1"/>
    <xf numFmtId="44" fontId="76" fillId="0" borderId="14" xfId="0" applyNumberFormat="1" applyFont="1" applyBorder="1"/>
    <xf numFmtId="0" fontId="0" fillId="0" borderId="14" xfId="0" applyBorder="1"/>
    <xf numFmtId="44" fontId="45" fillId="0" borderId="44" xfId="0" applyNumberFormat="1" applyFont="1" applyBorder="1" applyAlignment="1">
      <alignment horizontal="center"/>
    </xf>
    <xf numFmtId="44" fontId="46" fillId="0" borderId="8" xfId="0" applyNumberFormat="1" applyFont="1" applyBorder="1" applyAlignment="1">
      <alignment horizontal="center"/>
    </xf>
    <xf numFmtId="44" fontId="46" fillId="0" borderId="54" xfId="0" applyNumberFormat="1" applyFont="1" applyBorder="1" applyAlignment="1">
      <alignment horizontal="center"/>
    </xf>
    <xf numFmtId="44" fontId="19" fillId="0" borderId="54" xfId="0" applyNumberFormat="1" applyFont="1" applyBorder="1" applyAlignment="1">
      <alignment horizontal="center"/>
    </xf>
    <xf numFmtId="44" fontId="77" fillId="0" borderId="54" xfId="0" applyNumberFormat="1" applyFont="1" applyBorder="1" applyAlignment="1">
      <alignment horizontal="center"/>
    </xf>
    <xf numFmtId="44" fontId="66" fillId="0" borderId="54" xfId="0" applyNumberFormat="1" applyFont="1" applyBorder="1" applyAlignment="1">
      <alignment horizontal="center"/>
    </xf>
    <xf numFmtId="44" fontId="50" fillId="0" borderId="54" xfId="0" applyNumberFormat="1" applyFont="1" applyBorder="1" applyAlignment="1">
      <alignment horizontal="center"/>
    </xf>
    <xf numFmtId="0" fontId="0" fillId="0" borderId="54" xfId="0" applyBorder="1"/>
    <xf numFmtId="44" fontId="66" fillId="24" borderId="54" xfId="0" applyNumberFormat="1" applyFont="1" applyFill="1" applyBorder="1" applyAlignment="1">
      <alignment horizontal="center"/>
    </xf>
    <xf numFmtId="44" fontId="50" fillId="24" borderId="54" xfId="0" applyNumberFormat="1" applyFont="1" applyFill="1" applyBorder="1" applyAlignment="1">
      <alignment horizontal="center"/>
    </xf>
    <xf numFmtId="0" fontId="0" fillId="24" borderId="54" xfId="0" applyFill="1" applyBorder="1"/>
    <xf numFmtId="44" fontId="51" fillId="24" borderId="54" xfId="0" applyNumberFormat="1" applyFont="1" applyFill="1" applyBorder="1" applyAlignment="1">
      <alignment horizontal="center"/>
    </xf>
    <xf numFmtId="44" fontId="66" fillId="0" borderId="56" xfId="0" applyNumberFormat="1" applyFont="1" applyBorder="1" applyAlignment="1">
      <alignment horizontal="center"/>
    </xf>
    <xf numFmtId="44" fontId="66" fillId="24" borderId="56" xfId="0" applyNumberFormat="1" applyFont="1" applyFill="1" applyBorder="1" applyAlignment="1">
      <alignment horizontal="center"/>
    </xf>
    <xf numFmtId="44" fontId="77" fillId="0" borderId="58" xfId="0" applyNumberFormat="1" applyFont="1" applyBorder="1" applyAlignment="1">
      <alignment horizontal="center"/>
    </xf>
    <xf numFmtId="44" fontId="46" fillId="0" borderId="61" xfId="0" applyNumberFormat="1" applyFont="1" applyBorder="1" applyAlignment="1">
      <alignment horizontal="center"/>
    </xf>
    <xf numFmtId="44" fontId="46" fillId="0" borderId="62" xfId="0" applyNumberFormat="1" applyFont="1" applyBorder="1" applyAlignment="1">
      <alignment horizontal="center"/>
    </xf>
    <xf numFmtId="44" fontId="46" fillId="0" borderId="57" xfId="0" applyNumberFormat="1" applyFont="1" applyBorder="1" applyAlignment="1">
      <alignment horizontal="center"/>
    </xf>
    <xf numFmtId="44" fontId="19" fillId="0" borderId="58" xfId="0" applyNumberFormat="1" applyFont="1" applyBorder="1" applyAlignment="1">
      <alignment horizontal="center"/>
    </xf>
    <xf numFmtId="44" fontId="77" fillId="0" borderId="57" xfId="0" applyNumberFormat="1" applyFont="1" applyBorder="1" applyAlignment="1">
      <alignment horizontal="center"/>
    </xf>
    <xf numFmtId="44" fontId="66" fillId="0" borderId="57" xfId="0" applyNumberFormat="1" applyFont="1" applyBorder="1" applyAlignment="1">
      <alignment horizontal="center"/>
    </xf>
    <xf numFmtId="44" fontId="50" fillId="0" borderId="58" xfId="0" applyNumberFormat="1" applyFont="1" applyBorder="1" applyAlignment="1">
      <alignment horizontal="center"/>
    </xf>
    <xf numFmtId="44" fontId="66" fillId="24" borderId="57" xfId="0" applyNumberFormat="1" applyFont="1" applyFill="1" applyBorder="1" applyAlignment="1">
      <alignment horizontal="center"/>
    </xf>
    <xf numFmtId="44" fontId="50" fillId="24" borderId="58" xfId="0" applyNumberFormat="1" applyFont="1" applyFill="1" applyBorder="1" applyAlignment="1">
      <alignment horizontal="center"/>
    </xf>
    <xf numFmtId="44" fontId="47" fillId="0" borderId="59" xfId="0" applyNumberFormat="1" applyFont="1" applyBorder="1"/>
    <xf numFmtId="44" fontId="47" fillId="0" borderId="60" xfId="0" applyNumberFormat="1" applyFont="1" applyBorder="1"/>
    <xf numFmtId="0" fontId="0" fillId="0" borderId="43" xfId="0" applyBorder="1" applyAlignment="1">
      <alignment horizontal="right"/>
    </xf>
    <xf numFmtId="165" fontId="19" fillId="0" borderId="63" xfId="0" applyNumberFormat="1" applyFont="1" applyBorder="1" applyAlignment="1">
      <alignment horizontal="right" vertical="center"/>
    </xf>
    <xf numFmtId="0" fontId="77" fillId="0" borderId="63" xfId="0" applyFont="1" applyBorder="1" applyAlignment="1">
      <alignment horizontal="right"/>
    </xf>
    <xf numFmtId="0" fontId="66" fillId="0" borderId="63" xfId="0" applyFont="1" applyBorder="1" applyAlignment="1">
      <alignment horizontal="right"/>
    </xf>
    <xf numFmtId="0" fontId="66" fillId="23" borderId="63" xfId="0" applyFont="1" applyFill="1" applyBorder="1" applyAlignment="1">
      <alignment horizontal="right"/>
    </xf>
    <xf numFmtId="0" fontId="66" fillId="0" borderId="64" xfId="0" applyFont="1" applyBorder="1" applyAlignment="1">
      <alignment horizontal="right"/>
    </xf>
    <xf numFmtId="44" fontId="49" fillId="0" borderId="56" xfId="0" applyNumberFormat="1" applyFont="1" applyBorder="1" applyAlignment="1">
      <alignment horizontal="center"/>
    </xf>
    <xf numFmtId="44" fontId="78" fillId="0" borderId="56" xfId="0" applyNumberFormat="1" applyFont="1" applyBorder="1" applyAlignment="1">
      <alignment horizontal="center"/>
    </xf>
    <xf numFmtId="44" fontId="74" fillId="0" borderId="56" xfId="0" applyNumberFormat="1" applyFont="1" applyBorder="1" applyAlignment="1">
      <alignment horizontal="center"/>
    </xf>
    <xf numFmtId="44" fontId="74" fillId="24" borderId="56" xfId="0" applyNumberFormat="1" applyFont="1" applyFill="1" applyBorder="1" applyAlignment="1">
      <alignment horizontal="center"/>
    </xf>
    <xf numFmtId="0" fontId="19" fillId="0" borderId="43" xfId="0" applyFont="1" applyBorder="1"/>
    <xf numFmtId="0" fontId="48" fillId="0" borderId="63" xfId="0" applyFont="1" applyBorder="1"/>
    <xf numFmtId="0" fontId="77" fillId="0" borderId="63" xfId="0" applyFont="1" applyBorder="1"/>
    <xf numFmtId="0" fontId="66" fillId="0" borderId="63" xfId="0" applyFont="1" applyBorder="1"/>
    <xf numFmtId="0" fontId="66" fillId="24" borderId="63" xfId="0" applyFont="1" applyFill="1" applyBorder="1"/>
    <xf numFmtId="0" fontId="66" fillId="0" borderId="64" xfId="0" applyFont="1" applyBorder="1"/>
    <xf numFmtId="9" fontId="44" fillId="0" borderId="0" xfId="1" applyFont="1"/>
    <xf numFmtId="0" fontId="97" fillId="0" borderId="63" xfId="0" applyFont="1" applyBorder="1" applyAlignment="1">
      <alignment horizontal="right"/>
    </xf>
    <xf numFmtId="0" fontId="97" fillId="24" borderId="63" xfId="0" applyFont="1" applyFill="1" applyBorder="1"/>
    <xf numFmtId="44" fontId="97" fillId="24" borderId="56" xfId="0" applyNumberFormat="1" applyFont="1" applyFill="1" applyBorder="1" applyAlignment="1">
      <alignment horizontal="center"/>
    </xf>
    <xf numFmtId="44" fontId="97" fillId="24" borderId="54" xfId="0" applyNumberFormat="1" applyFont="1" applyFill="1" applyBorder="1" applyAlignment="1">
      <alignment horizontal="center"/>
    </xf>
    <xf numFmtId="44" fontId="97" fillId="24" borderId="58" xfId="0" applyNumberFormat="1" applyFont="1" applyFill="1" applyBorder="1" applyAlignment="1">
      <alignment horizontal="center"/>
    </xf>
    <xf numFmtId="44" fontId="97" fillId="24" borderId="57" xfId="0" applyNumberFormat="1" applyFont="1" applyFill="1" applyBorder="1" applyAlignment="1">
      <alignment horizontal="center"/>
    </xf>
    <xf numFmtId="0" fontId="98" fillId="0" borderId="0" xfId="0" applyFont="1"/>
    <xf numFmtId="0" fontId="0" fillId="0" borderId="45" xfId="0" applyBorder="1"/>
    <xf numFmtId="44" fontId="80" fillId="0" borderId="45" xfId="3" applyNumberFormat="1" applyFont="1" applyBorder="1" applyAlignment="1">
      <alignment horizontal="center" vertical="center"/>
    </xf>
    <xf numFmtId="44" fontId="5" fillId="0" borderId="45" xfId="3" applyNumberFormat="1" applyBorder="1"/>
    <xf numFmtId="44" fontId="22" fillId="0" borderId="0" xfId="2" applyFont="1"/>
    <xf numFmtId="0" fontId="97" fillId="0" borderId="63" xfId="0" applyFont="1" applyBorder="1"/>
    <xf numFmtId="44" fontId="97" fillId="0" borderId="56" xfId="0" applyNumberFormat="1" applyFont="1" applyBorder="1" applyAlignment="1">
      <alignment horizontal="center"/>
    </xf>
    <xf numFmtId="44" fontId="97" fillId="0" borderId="54" xfId="0" applyNumberFormat="1" applyFont="1" applyBorder="1" applyAlignment="1">
      <alignment horizontal="center"/>
    </xf>
    <xf numFmtId="44" fontId="97" fillId="0" borderId="58" xfId="0" applyNumberFormat="1" applyFont="1" applyBorder="1" applyAlignment="1">
      <alignment horizontal="center"/>
    </xf>
    <xf numFmtId="44" fontId="97" fillId="0" borderId="57" xfId="0" applyNumberFormat="1" applyFont="1" applyBorder="1" applyAlignment="1">
      <alignment horizontal="center"/>
    </xf>
    <xf numFmtId="0" fontId="65" fillId="0" borderId="38" xfId="3" applyFont="1" applyBorder="1" applyAlignment="1">
      <alignment vertical="center"/>
    </xf>
    <xf numFmtId="173" fontId="19" fillId="0" borderId="0" xfId="0" applyNumberFormat="1" applyFont="1" applyAlignment="1">
      <alignment horizontal="center" vertical="center"/>
    </xf>
    <xf numFmtId="44" fontId="51" fillId="0" borderId="54" xfId="0" applyNumberFormat="1" applyFont="1" applyBorder="1" applyAlignment="1">
      <alignment horizontal="center"/>
    </xf>
    <xf numFmtId="0" fontId="48" fillId="0" borderId="66" xfId="0" applyFont="1" applyBorder="1"/>
    <xf numFmtId="0" fontId="77" fillId="0" borderId="66" xfId="0" applyFont="1" applyBorder="1"/>
    <xf numFmtId="0" fontId="66" fillId="0" borderId="66" xfId="0" applyFont="1" applyBorder="1"/>
    <xf numFmtId="0" fontId="66" fillId="24" borderId="66" xfId="0" applyFont="1" applyFill="1" applyBorder="1"/>
    <xf numFmtId="0" fontId="97" fillId="24" borderId="66" xfId="0" applyFont="1" applyFill="1" applyBorder="1"/>
    <xf numFmtId="0" fontId="97" fillId="0" borderId="66" xfId="0" applyFont="1" applyBorder="1"/>
    <xf numFmtId="0" fontId="66" fillId="0" borderId="67" xfId="0" applyFont="1" applyBorder="1"/>
    <xf numFmtId="44" fontId="99" fillId="14" borderId="44" xfId="0" applyNumberFormat="1" applyFont="1" applyFill="1" applyBorder="1" applyAlignment="1">
      <alignment horizontal="center"/>
    </xf>
    <xf numFmtId="44" fontId="100" fillId="14" borderId="68" xfId="0" applyNumberFormat="1" applyFont="1" applyFill="1" applyBorder="1" applyAlignment="1">
      <alignment horizontal="center"/>
    </xf>
    <xf numFmtId="44" fontId="99" fillId="14" borderId="68" xfId="0" applyNumberFormat="1" applyFont="1" applyFill="1" applyBorder="1" applyAlignment="1">
      <alignment horizontal="center"/>
    </xf>
    <xf numFmtId="44" fontId="99" fillId="14" borderId="56" xfId="0" applyNumberFormat="1" applyFont="1" applyFill="1" applyBorder="1" applyAlignment="1">
      <alignment horizontal="center"/>
    </xf>
    <xf numFmtId="0" fontId="57" fillId="0" borderId="14" xfId="0" applyFont="1" applyBorder="1" applyAlignment="1">
      <alignment vertical="center"/>
    </xf>
    <xf numFmtId="0" fontId="52" fillId="0" borderId="14" xfId="0" applyFont="1" applyBorder="1" applyAlignment="1">
      <alignment vertical="center"/>
    </xf>
    <xf numFmtId="0" fontId="51" fillId="0" borderId="30" xfId="0" applyFont="1" applyBorder="1" applyAlignment="1">
      <alignment vertical="center"/>
    </xf>
    <xf numFmtId="0" fontId="50" fillId="0" borderId="32" xfId="0" applyFont="1" applyBorder="1" applyAlignment="1">
      <alignment vertical="center"/>
    </xf>
    <xf numFmtId="0" fontId="66" fillId="0" borderId="35" xfId="0" applyFont="1" applyBorder="1" applyAlignment="1">
      <alignment vertical="center"/>
    </xf>
    <xf numFmtId="0" fontId="77" fillId="26" borderId="63" xfId="0" applyFont="1" applyFill="1" applyBorder="1"/>
    <xf numFmtId="0" fontId="66" fillId="26" borderId="63" xfId="0" applyFont="1" applyFill="1" applyBorder="1"/>
    <xf numFmtId="9" fontId="19" fillId="0" borderId="0" xfId="0" applyNumberFormat="1" applyFont="1" applyAlignment="1">
      <alignment vertical="center"/>
    </xf>
    <xf numFmtId="164" fontId="103" fillId="0" borderId="0" xfId="0" applyNumberFormat="1" applyFont="1" applyAlignment="1">
      <alignment vertical="center"/>
    </xf>
    <xf numFmtId="44" fontId="103" fillId="0" borderId="0" xfId="0" applyNumberFormat="1" applyFont="1" applyAlignment="1">
      <alignment vertical="center"/>
    </xf>
    <xf numFmtId="44" fontId="103" fillId="0" borderId="0" xfId="2" applyFont="1" applyAlignment="1">
      <alignment vertical="center"/>
    </xf>
    <xf numFmtId="44" fontId="56" fillId="0" borderId="0" xfId="0" applyNumberFormat="1" applyFont="1" applyAlignment="1">
      <alignment horizontal="center" vertical="center"/>
    </xf>
    <xf numFmtId="44" fontId="103" fillId="0" borderId="14" xfId="0" applyNumberFormat="1" applyFont="1" applyBorder="1" applyAlignment="1">
      <alignment vertical="center"/>
    </xf>
    <xf numFmtId="44" fontId="103" fillId="0" borderId="14" xfId="2" applyFont="1" applyBorder="1" applyAlignment="1">
      <alignment vertical="center"/>
    </xf>
    <xf numFmtId="44" fontId="105" fillId="0" borderId="0" xfId="0" applyNumberFormat="1" applyFont="1" applyAlignment="1">
      <alignment vertical="center"/>
    </xf>
    <xf numFmtId="14" fontId="103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/>
    </xf>
    <xf numFmtId="0" fontId="0" fillId="0" borderId="0" xfId="0" applyAlignment="1">
      <alignment horizontal="left"/>
    </xf>
    <xf numFmtId="44" fontId="56" fillId="0" borderId="14" xfId="0" applyNumberFormat="1" applyFont="1" applyBorder="1" applyAlignment="1">
      <alignment horizontal="center" vertical="center"/>
    </xf>
    <xf numFmtId="0" fontId="56" fillId="0" borderId="14" xfId="0" applyFont="1" applyBorder="1" applyAlignment="1">
      <alignment vertical="center"/>
    </xf>
    <xf numFmtId="44" fontId="104" fillId="0" borderId="14" xfId="0" applyNumberFormat="1" applyFont="1" applyBorder="1" applyAlignment="1">
      <alignment horizontal="center" vertical="center"/>
    </xf>
    <xf numFmtId="44" fontId="56" fillId="0" borderId="14" xfId="0" applyNumberFormat="1" applyFont="1" applyBorder="1" applyAlignment="1">
      <alignment vertical="center"/>
    </xf>
    <xf numFmtId="0" fontId="42" fillId="0" borderId="14" xfId="0" applyFont="1" applyBorder="1"/>
    <xf numFmtId="44" fontId="105" fillId="0" borderId="14" xfId="0" applyNumberFormat="1" applyFont="1" applyBorder="1" applyAlignment="1">
      <alignment horizontal="center" vertical="center"/>
    </xf>
    <xf numFmtId="44" fontId="106" fillId="0" borderId="14" xfId="0" applyNumberFormat="1" applyFont="1" applyBorder="1" applyAlignment="1">
      <alignment horizontal="center" vertical="center"/>
    </xf>
    <xf numFmtId="44" fontId="107" fillId="0" borderId="14" xfId="0" applyNumberFormat="1" applyFont="1" applyBorder="1" applyAlignment="1">
      <alignment horizontal="center" vertical="center"/>
    </xf>
    <xf numFmtId="0" fontId="9" fillId="0" borderId="14" xfId="0" applyFont="1" applyBorder="1"/>
    <xf numFmtId="0" fontId="12" fillId="0" borderId="14" xfId="0" applyFont="1" applyBorder="1"/>
    <xf numFmtId="0" fontId="10" fillId="0" borderId="14" xfId="0" applyFont="1" applyBorder="1"/>
    <xf numFmtId="44" fontId="11" fillId="0" borderId="14" xfId="0" applyNumberFormat="1" applyFont="1" applyBorder="1" applyAlignment="1">
      <alignment horizontal="center"/>
    </xf>
    <xf numFmtId="14" fontId="103" fillId="0" borderId="72" xfId="0" applyNumberFormat="1" applyFont="1" applyBorder="1" applyAlignment="1">
      <alignment horizontal="left" vertical="center"/>
    </xf>
    <xf numFmtId="164" fontId="103" fillId="0" borderId="72" xfId="0" applyNumberFormat="1" applyFont="1" applyBorder="1" applyAlignment="1">
      <alignment vertical="center"/>
    </xf>
    <xf numFmtId="44" fontId="103" fillId="0" borderId="72" xfId="0" applyNumberFormat="1" applyFont="1" applyBorder="1" applyAlignment="1">
      <alignment vertical="center"/>
    </xf>
    <xf numFmtId="44" fontId="56" fillId="0" borderId="72" xfId="0" applyNumberFormat="1" applyFont="1" applyBorder="1" applyAlignment="1">
      <alignment horizontal="center" vertical="center"/>
    </xf>
    <xf numFmtId="0" fontId="0" fillId="0" borderId="72" xfId="0" applyBorder="1"/>
    <xf numFmtId="0" fontId="54" fillId="0" borderId="50" xfId="0" applyFont="1" applyBorder="1" applyAlignment="1">
      <alignment horizontal="right" vertical="center"/>
    </xf>
    <xf numFmtId="0" fontId="54" fillId="0" borderId="74" xfId="0" applyFont="1" applyBorder="1" applyAlignment="1">
      <alignment horizontal="center" vertical="center"/>
    </xf>
    <xf numFmtId="44" fontId="94" fillId="22" borderId="71" xfId="0" applyNumberFormat="1" applyFont="1" applyFill="1" applyBorder="1" applyAlignment="1">
      <alignment vertical="center"/>
    </xf>
    <xf numFmtId="164" fontId="56" fillId="0" borderId="0" xfId="0" applyNumberFormat="1" applyFont="1"/>
    <xf numFmtId="0" fontId="54" fillId="0" borderId="73" xfId="0" applyFont="1" applyBorder="1" applyAlignment="1">
      <alignment horizontal="right" vertical="center"/>
    </xf>
    <xf numFmtId="0" fontId="56" fillId="0" borderId="14" xfId="0" applyFont="1" applyBorder="1"/>
    <xf numFmtId="44" fontId="108" fillId="0" borderId="7" xfId="0" applyNumberFormat="1" applyFont="1" applyBorder="1" applyAlignment="1">
      <alignment horizontal="center" vertical="center"/>
    </xf>
    <xf numFmtId="44" fontId="108" fillId="0" borderId="12" xfId="0" applyNumberFormat="1" applyFont="1" applyBorder="1" applyAlignment="1">
      <alignment horizontal="center" vertical="center"/>
    </xf>
    <xf numFmtId="10" fontId="108" fillId="0" borderId="0" xfId="1" applyNumberFormat="1" applyFont="1" applyAlignment="1">
      <alignment vertical="center"/>
    </xf>
    <xf numFmtId="44" fontId="105" fillId="0" borderId="14" xfId="0" applyNumberFormat="1" applyFont="1" applyBorder="1" applyAlignment="1">
      <alignment vertical="center"/>
    </xf>
    <xf numFmtId="44" fontId="63" fillId="17" borderId="70" xfId="0" applyNumberFormat="1" applyFont="1" applyFill="1" applyBorder="1" applyAlignment="1">
      <alignment horizontal="center" vertical="center"/>
    </xf>
    <xf numFmtId="10" fontId="70" fillId="20" borderId="29" xfId="0" applyNumberFormat="1" applyFont="1" applyFill="1" applyBorder="1" applyAlignment="1">
      <alignment horizontal="right"/>
    </xf>
    <xf numFmtId="10" fontId="70" fillId="20" borderId="30" xfId="0" applyNumberFormat="1" applyFont="1" applyFill="1" applyBorder="1" applyAlignment="1">
      <alignment horizontal="right"/>
    </xf>
    <xf numFmtId="44" fontId="55" fillId="0" borderId="80" xfId="0" applyNumberFormat="1" applyFont="1" applyBorder="1" applyAlignment="1">
      <alignment vertical="center"/>
    </xf>
    <xf numFmtId="44" fontId="55" fillId="0" borderId="36" xfId="0" applyNumberFormat="1" applyFont="1" applyBorder="1" applyAlignment="1">
      <alignment vertical="center"/>
    </xf>
    <xf numFmtId="44" fontId="63" fillId="17" borderId="6" xfId="0" applyNumberFormat="1" applyFont="1" applyFill="1" applyBorder="1" applyAlignment="1">
      <alignment horizontal="center" vertical="center"/>
    </xf>
    <xf numFmtId="44" fontId="56" fillId="0" borderId="14" xfId="0" applyNumberFormat="1" applyFont="1" applyBorder="1"/>
    <xf numFmtId="0" fontId="110" fillId="0" borderId="50" xfId="0" applyFont="1" applyBorder="1" applyAlignment="1">
      <alignment horizontal="right" vertical="center"/>
    </xf>
    <xf numFmtId="44" fontId="110" fillId="0" borderId="80" xfId="0" applyNumberFormat="1" applyFont="1" applyBorder="1" applyAlignment="1">
      <alignment vertical="center"/>
    </xf>
    <xf numFmtId="44" fontId="66" fillId="26" borderId="56" xfId="0" applyNumberFormat="1" applyFont="1" applyFill="1" applyBorder="1" applyAlignment="1">
      <alignment horizontal="center"/>
    </xf>
    <xf numFmtId="0" fontId="111" fillId="0" borderId="14" xfId="0" applyFont="1" applyBorder="1" applyAlignment="1">
      <alignment vertical="center"/>
    </xf>
    <xf numFmtId="44" fontId="8" fillId="0" borderId="0" xfId="2" applyFont="1" applyAlignment="1">
      <alignment horizontal="center"/>
    </xf>
    <xf numFmtId="0" fontId="71" fillId="14" borderId="55" xfId="0" applyFont="1" applyFill="1" applyBorder="1"/>
    <xf numFmtId="172" fontId="5" fillId="29" borderId="45" xfId="3" applyNumberFormat="1" applyFill="1" applyBorder="1"/>
    <xf numFmtId="44" fontId="49" fillId="0" borderId="56" xfId="2" applyFont="1" applyBorder="1" applyAlignment="1">
      <alignment horizontal="center"/>
    </xf>
    <xf numFmtId="44" fontId="77" fillId="0" borderId="69" xfId="2" applyFont="1" applyBorder="1" applyAlignment="1">
      <alignment horizontal="center"/>
    </xf>
    <xf numFmtId="44" fontId="66" fillId="0" borderId="69" xfId="2" applyFont="1" applyBorder="1" applyAlignment="1">
      <alignment horizontal="center"/>
    </xf>
    <xf numFmtId="44" fontId="97" fillId="0" borderId="69" xfId="2" applyFont="1" applyBorder="1" applyAlignment="1">
      <alignment horizontal="center"/>
    </xf>
    <xf numFmtId="44" fontId="66" fillId="27" borderId="69" xfId="2" applyFont="1" applyFill="1" applyBorder="1" applyAlignment="1">
      <alignment horizontal="center"/>
    </xf>
    <xf numFmtId="44" fontId="97" fillId="24" borderId="69" xfId="2" applyFont="1" applyFill="1" applyBorder="1" applyAlignment="1">
      <alignment horizontal="center"/>
    </xf>
    <xf numFmtId="44" fontId="66" fillId="24" borderId="69" xfId="2" applyFont="1" applyFill="1" applyBorder="1" applyAlignment="1">
      <alignment horizontal="center"/>
    </xf>
    <xf numFmtId="44" fontId="66" fillId="0" borderId="58" xfId="2" applyFont="1" applyBorder="1" applyAlignment="1">
      <alignment horizontal="center"/>
    </xf>
    <xf numFmtId="44" fontId="50" fillId="0" borderId="68" xfId="0" applyNumberFormat="1" applyFont="1" applyBorder="1" applyAlignment="1">
      <alignment horizontal="center"/>
    </xf>
    <xf numFmtId="44" fontId="50" fillId="0" borderId="56" xfId="0" applyNumberFormat="1" applyFont="1" applyBorder="1" applyAlignment="1">
      <alignment horizontal="center"/>
    </xf>
    <xf numFmtId="44" fontId="77" fillId="0" borderId="68" xfId="0" applyNumberFormat="1" applyFont="1" applyBorder="1" applyAlignment="1">
      <alignment horizontal="center"/>
    </xf>
    <xf numFmtId="44" fontId="77" fillId="0" borderId="56" xfId="0" applyNumberFormat="1" applyFont="1" applyBorder="1" applyAlignment="1">
      <alignment horizontal="center"/>
    </xf>
    <xf numFmtId="44" fontId="77" fillId="0" borderId="81" xfId="0" applyNumberFormat="1" applyFont="1" applyBorder="1" applyAlignment="1">
      <alignment horizontal="center"/>
    </xf>
    <xf numFmtId="44" fontId="97" fillId="0" borderId="68" xfId="0" applyNumberFormat="1" applyFont="1" applyBorder="1" applyAlignment="1">
      <alignment horizontal="center"/>
    </xf>
    <xf numFmtId="44" fontId="66" fillId="0" borderId="68" xfId="0" applyNumberFormat="1" applyFont="1" applyBorder="1" applyAlignment="1">
      <alignment horizontal="center"/>
    </xf>
    <xf numFmtId="0" fontId="38" fillId="0" borderId="54" xfId="0" applyFont="1" applyBorder="1"/>
    <xf numFmtId="44" fontId="19" fillId="26" borderId="54" xfId="0" applyNumberFormat="1" applyFont="1" applyFill="1" applyBorder="1" applyAlignment="1">
      <alignment horizontal="center"/>
    </xf>
    <xf numFmtId="44" fontId="74" fillId="26" borderId="56" xfId="0" applyNumberFormat="1" applyFont="1" applyFill="1" applyBorder="1" applyAlignment="1">
      <alignment horizontal="center"/>
    </xf>
    <xf numFmtId="44" fontId="66" fillId="26" borderId="54" xfId="0" applyNumberFormat="1" applyFont="1" applyFill="1" applyBorder="1" applyAlignment="1">
      <alignment horizontal="center"/>
    </xf>
    <xf numFmtId="44" fontId="0" fillId="0" borderId="45" xfId="0" applyNumberFormat="1" applyBorder="1"/>
    <xf numFmtId="0" fontId="9" fillId="0" borderId="31" xfId="0" applyFont="1" applyBorder="1"/>
    <xf numFmtId="0" fontId="10" fillId="0" borderId="31" xfId="0" applyFont="1" applyBorder="1"/>
    <xf numFmtId="0" fontId="10" fillId="0" borderId="33" xfId="0" applyFont="1" applyBorder="1"/>
    <xf numFmtId="0" fontId="10" fillId="0" borderId="82" xfId="0" applyFont="1" applyBorder="1"/>
    <xf numFmtId="0" fontId="38" fillId="0" borderId="14" xfId="0" applyFont="1" applyBorder="1"/>
    <xf numFmtId="0" fontId="115" fillId="0" borderId="14" xfId="0" applyFont="1" applyBorder="1"/>
    <xf numFmtId="0" fontId="115" fillId="0" borderId="32" xfId="0" applyFont="1" applyBorder="1"/>
    <xf numFmtId="44" fontId="116" fillId="0" borderId="14" xfId="0" applyNumberFormat="1" applyFont="1" applyBorder="1"/>
    <xf numFmtId="44" fontId="10" fillId="0" borderId="32" xfId="0" applyNumberFormat="1" applyFont="1" applyBorder="1"/>
    <xf numFmtId="0" fontId="117" fillId="0" borderId="14" xfId="0" applyFont="1" applyBorder="1"/>
    <xf numFmtId="44" fontId="116" fillId="0" borderId="83" xfId="0" applyNumberFormat="1" applyFont="1" applyBorder="1"/>
    <xf numFmtId="44" fontId="10" fillId="0" borderId="84" xfId="0" applyNumberFormat="1" applyFont="1" applyBorder="1"/>
    <xf numFmtId="44" fontId="116" fillId="0" borderId="34" xfId="0" applyNumberFormat="1" applyFont="1" applyBorder="1"/>
    <xf numFmtId="44" fontId="10" fillId="0" borderId="35" xfId="0" applyNumberFormat="1" applyFont="1" applyBorder="1"/>
    <xf numFmtId="0" fontId="35" fillId="6" borderId="20" xfId="0" applyFont="1" applyFill="1" applyBorder="1" applyAlignment="1">
      <alignment horizontal="center"/>
    </xf>
    <xf numFmtId="0" fontId="7" fillId="0" borderId="21" xfId="0" applyFont="1" applyBorder="1"/>
    <xf numFmtId="43" fontId="10" fillId="0" borderId="0" xfId="4" applyFont="1"/>
    <xf numFmtId="44" fontId="10" fillId="0" borderId="32" xfId="2" applyFont="1" applyBorder="1"/>
    <xf numFmtId="0" fontId="118" fillId="0" borderId="31" xfId="0" applyFont="1" applyBorder="1"/>
    <xf numFmtId="44" fontId="118" fillId="0" borderId="32" xfId="2" applyFont="1" applyBorder="1"/>
    <xf numFmtId="44" fontId="118" fillId="0" borderId="14" xfId="2" applyFont="1" applyBorder="1"/>
    <xf numFmtId="44" fontId="38" fillId="0" borderId="0" xfId="0" applyNumberFormat="1" applyFont="1"/>
    <xf numFmtId="0" fontId="119" fillId="0" borderId="28" xfId="0" applyFont="1" applyBorder="1" applyAlignment="1">
      <alignment horizontal="right" vertical="center"/>
    </xf>
    <xf numFmtId="44" fontId="119" fillId="0" borderId="30" xfId="0" applyNumberFormat="1" applyFont="1" applyBorder="1" applyAlignment="1">
      <alignment vertical="center"/>
    </xf>
    <xf numFmtId="0" fontId="81" fillId="13" borderId="45" xfId="3" applyFont="1" applyFill="1" applyBorder="1" applyAlignment="1">
      <alignment horizontal="left" vertical="center" wrapText="1"/>
    </xf>
    <xf numFmtId="0" fontId="5" fillId="0" borderId="14" xfId="3" applyAlignment="1">
      <alignment horizontal="left" vertical="center"/>
    </xf>
    <xf numFmtId="174" fontId="67" fillId="0" borderId="14" xfId="0" applyNumberFormat="1" applyFont="1" applyBorder="1" applyAlignment="1">
      <alignment horizontal="center" vertical="center"/>
    </xf>
    <xf numFmtId="44" fontId="63" fillId="0" borderId="14" xfId="2" applyFont="1" applyFill="1" applyBorder="1" applyAlignment="1">
      <alignment horizontal="left" vertical="center"/>
    </xf>
    <xf numFmtId="44" fontId="69" fillId="0" borderId="14" xfId="2" applyFont="1" applyFill="1" applyBorder="1" applyAlignment="1">
      <alignment vertical="center"/>
    </xf>
    <xf numFmtId="44" fontId="63" fillId="0" borderId="14" xfId="2" applyFont="1" applyFill="1" applyBorder="1" applyAlignment="1">
      <alignment vertical="center"/>
    </xf>
    <xf numFmtId="0" fontId="51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59" fillId="0" borderId="32" xfId="0" applyFont="1" applyBorder="1" applyAlignment="1">
      <alignment vertical="center" wrapText="1"/>
    </xf>
    <xf numFmtId="0" fontId="16" fillId="0" borderId="46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74" fontId="120" fillId="0" borderId="14" xfId="0" applyNumberFormat="1" applyFont="1" applyBorder="1" applyAlignment="1">
      <alignment horizontal="center" vertical="center"/>
    </xf>
    <xf numFmtId="4" fontId="121" fillId="30" borderId="70" xfId="0" applyNumberFormat="1" applyFont="1" applyFill="1" applyBorder="1" applyAlignment="1">
      <alignment horizontal="center" vertical="center"/>
    </xf>
    <xf numFmtId="44" fontId="122" fillId="0" borderId="70" xfId="2" applyFont="1" applyFill="1" applyBorder="1" applyAlignment="1">
      <alignment horizontal="center" vertical="center"/>
    </xf>
    <xf numFmtId="44" fontId="123" fillId="0" borderId="54" xfId="0" applyNumberFormat="1" applyFont="1" applyBorder="1" applyAlignment="1">
      <alignment horizontal="center"/>
    </xf>
    <xf numFmtId="44" fontId="47" fillId="0" borderId="65" xfId="0" applyNumberFormat="1" applyFont="1" applyBorder="1"/>
    <xf numFmtId="44" fontId="74" fillId="0" borderId="85" xfId="0" applyNumberFormat="1" applyFont="1" applyBorder="1" applyAlignment="1">
      <alignment horizontal="center"/>
    </xf>
    <xf numFmtId="44" fontId="74" fillId="0" borderId="86" xfId="0" applyNumberFormat="1" applyFont="1" applyBorder="1" applyAlignment="1">
      <alignment horizontal="center"/>
    </xf>
    <xf numFmtId="44" fontId="74" fillId="0" borderId="84" xfId="0" applyNumberFormat="1" applyFont="1" applyBorder="1" applyAlignment="1">
      <alignment horizontal="center"/>
    </xf>
    <xf numFmtId="44" fontId="9" fillId="0" borderId="12" xfId="2" applyFont="1" applyBorder="1"/>
    <xf numFmtId="165" fontId="10" fillId="0" borderId="82" xfId="4" applyNumberFormat="1" applyFont="1" applyBorder="1"/>
    <xf numFmtId="0" fontId="10" fillId="0" borderId="83" xfId="0" applyFont="1" applyBorder="1"/>
    <xf numFmtId="44" fontId="22" fillId="0" borderId="83" xfId="0" applyNumberFormat="1" applyFont="1" applyBorder="1"/>
    <xf numFmtId="10" fontId="10" fillId="0" borderId="83" xfId="0" applyNumberFormat="1" applyFont="1" applyBorder="1"/>
    <xf numFmtId="173" fontId="0" fillId="0" borderId="0" xfId="0" applyNumberFormat="1"/>
    <xf numFmtId="0" fontId="124" fillId="0" borderId="0" xfId="0" applyFont="1"/>
    <xf numFmtId="4" fontId="68" fillId="16" borderId="70" xfId="0" applyNumberFormat="1" applyFont="1" applyFill="1" applyBorder="1" applyAlignment="1">
      <alignment horizontal="center" vertical="center"/>
    </xf>
    <xf numFmtId="174" fontId="125" fillId="16" borderId="70" xfId="0" applyNumberFormat="1" applyFont="1" applyFill="1" applyBorder="1" applyAlignment="1">
      <alignment vertical="center"/>
    </xf>
    <xf numFmtId="44" fontId="103" fillId="0" borderId="0" xfId="2" applyFont="1" applyFill="1" applyAlignment="1">
      <alignment vertical="center"/>
    </xf>
    <xf numFmtId="44" fontId="17" fillId="0" borderId="14" xfId="0" applyNumberFormat="1" applyFont="1" applyBorder="1"/>
    <xf numFmtId="0" fontId="118" fillId="0" borderId="14" xfId="0" applyFont="1" applyBorder="1"/>
    <xf numFmtId="44" fontId="0" fillId="0" borderId="14" xfId="2" applyFont="1" applyBorder="1"/>
    <xf numFmtId="44" fontId="10" fillId="0" borderId="14" xfId="2" applyFont="1" applyBorder="1"/>
    <xf numFmtId="44" fontId="10" fillId="0" borderId="14" xfId="0" applyNumberFormat="1" applyFont="1" applyBorder="1"/>
    <xf numFmtId="44" fontId="50" fillId="0" borderId="69" xfId="0" applyNumberFormat="1" applyFont="1" applyBorder="1" applyAlignment="1">
      <alignment horizontal="center"/>
    </xf>
    <xf numFmtId="43" fontId="77" fillId="0" borderId="0" xfId="4" applyFont="1"/>
    <xf numFmtId="44" fontId="78" fillId="14" borderId="68" xfId="0" applyNumberFormat="1" applyFont="1" applyFill="1" applyBorder="1" applyAlignment="1">
      <alignment horizontal="center"/>
    </xf>
    <xf numFmtId="0" fontId="126" fillId="0" borderId="54" xfId="0" applyFont="1" applyBorder="1"/>
    <xf numFmtId="44" fontId="127" fillId="14" borderId="55" xfId="2" applyFont="1" applyFill="1" applyBorder="1"/>
    <xf numFmtId="0" fontId="127" fillId="14" borderId="45" xfId="0" applyFont="1" applyFill="1" applyBorder="1"/>
    <xf numFmtId="0" fontId="126" fillId="0" borderId="0" xfId="0" applyFont="1"/>
    <xf numFmtId="44" fontId="78" fillId="26" borderId="56" xfId="0" applyNumberFormat="1" applyFont="1" applyFill="1" applyBorder="1" applyAlignment="1">
      <alignment horizontal="center"/>
    </xf>
    <xf numFmtId="14" fontId="66" fillId="24" borderId="66" xfId="0" applyNumberFormat="1" applyFont="1" applyFill="1" applyBorder="1"/>
    <xf numFmtId="14" fontId="97" fillId="24" borderId="66" xfId="0" applyNumberFormat="1" applyFont="1" applyFill="1" applyBorder="1"/>
    <xf numFmtId="44" fontId="129" fillId="14" borderId="68" xfId="0" applyNumberFormat="1" applyFont="1" applyFill="1" applyBorder="1" applyAlignment="1">
      <alignment horizontal="center"/>
    </xf>
    <xf numFmtId="16" fontId="0" fillId="0" borderId="0" xfId="0" applyNumberFormat="1"/>
    <xf numFmtId="44" fontId="79" fillId="0" borderId="0" xfId="2" applyFont="1"/>
    <xf numFmtId="9" fontId="0" fillId="0" borderId="0" xfId="1" applyFont="1"/>
    <xf numFmtId="44" fontId="66" fillId="24" borderId="58" xfId="0" applyNumberFormat="1" applyFont="1" applyFill="1" applyBorder="1" applyAlignment="1">
      <alignment horizontal="center"/>
    </xf>
    <xf numFmtId="0" fontId="4" fillId="0" borderId="45" xfId="3" applyFont="1" applyBorder="1" applyAlignment="1">
      <alignment horizontal="left" vertical="center"/>
    </xf>
    <xf numFmtId="2" fontId="80" fillId="21" borderId="45" xfId="3" applyNumberFormat="1" applyFont="1" applyFill="1" applyBorder="1"/>
    <xf numFmtId="0" fontId="85" fillId="31" borderId="45" xfId="3" applyFont="1" applyFill="1" applyBorder="1" applyAlignment="1">
      <alignment vertical="center"/>
    </xf>
    <xf numFmtId="0" fontId="4" fillId="12" borderId="45" xfId="3" applyFont="1" applyFill="1" applyBorder="1" applyAlignment="1">
      <alignment horizontal="left" vertical="center"/>
    </xf>
    <xf numFmtId="44" fontId="66" fillId="0" borderId="58" xfId="0" applyNumberFormat="1" applyFont="1" applyBorder="1" applyAlignment="1">
      <alignment horizontal="center"/>
    </xf>
    <xf numFmtId="44" fontId="79" fillId="0" borderId="0" xfId="0" applyNumberFormat="1" applyFont="1"/>
    <xf numFmtId="44" fontId="34" fillId="7" borderId="18" xfId="0" applyNumberFormat="1" applyFont="1" applyFill="1" applyBorder="1"/>
    <xf numFmtId="9" fontId="22" fillId="0" borderId="14" xfId="0" applyNumberFormat="1" applyFont="1" applyBorder="1" applyAlignment="1">
      <alignment horizontal="right"/>
    </xf>
    <xf numFmtId="175" fontId="0" fillId="0" borderId="14" xfId="2" applyNumberFormat="1" applyFont="1" applyFill="1" applyBorder="1"/>
    <xf numFmtId="14" fontId="4" fillId="0" borderId="45" xfId="3" applyNumberFormat="1" applyFont="1" applyBorder="1"/>
    <xf numFmtId="172" fontId="4" fillId="0" borderId="45" xfId="3" applyNumberFormat="1" applyFont="1" applyBorder="1"/>
    <xf numFmtId="0" fontId="4" fillId="0" borderId="45" xfId="3" applyFont="1" applyBorder="1" applyAlignment="1">
      <alignment wrapText="1"/>
    </xf>
    <xf numFmtId="0" fontId="4" fillId="0" borderId="14" xfId="3" applyFont="1"/>
    <xf numFmtId="2" fontId="4" fillId="0" borderId="45" xfId="3" applyNumberFormat="1" applyFont="1" applyBorder="1"/>
    <xf numFmtId="14" fontId="130" fillId="0" borderId="45" xfId="0" applyNumberFormat="1" applyFont="1" applyBorder="1"/>
    <xf numFmtId="0" fontId="130" fillId="0" borderId="45" xfId="0" applyFont="1" applyBorder="1"/>
    <xf numFmtId="0" fontId="130" fillId="0" borderId="45" xfId="0" applyFont="1" applyBorder="1" applyAlignment="1">
      <alignment wrapText="1"/>
    </xf>
    <xf numFmtId="2" fontId="130" fillId="0" borderId="45" xfId="0" applyNumberFormat="1" applyFont="1" applyBorder="1"/>
    <xf numFmtId="0" fontId="131" fillId="0" borderId="0" xfId="0" applyFont="1" applyAlignment="1">
      <alignment vertical="center"/>
    </xf>
    <xf numFmtId="0" fontId="4" fillId="0" borderId="14" xfId="3" applyFont="1" applyAlignment="1">
      <alignment wrapText="1"/>
    </xf>
    <xf numFmtId="14" fontId="4" fillId="0" borderId="14" xfId="3" applyNumberFormat="1" applyFont="1"/>
    <xf numFmtId="0" fontId="118" fillId="0" borderId="14" xfId="3" applyFont="1" applyAlignment="1">
      <alignment vertical="center"/>
    </xf>
    <xf numFmtId="0" fontId="4" fillId="21" borderId="45" xfId="3" applyFont="1" applyFill="1" applyBorder="1" applyAlignment="1">
      <alignment wrapText="1"/>
    </xf>
    <xf numFmtId="2" fontId="4" fillId="28" borderId="45" xfId="3" applyNumberFormat="1" applyFont="1" applyFill="1" applyBorder="1"/>
    <xf numFmtId="0" fontId="4" fillId="26" borderId="45" xfId="3" applyFont="1" applyFill="1" applyBorder="1" applyAlignment="1">
      <alignment horizontal="left" vertical="center"/>
    </xf>
    <xf numFmtId="0" fontId="4" fillId="0" borderId="14" xfId="3" applyFont="1" applyAlignment="1">
      <alignment horizontal="left" vertical="center"/>
    </xf>
    <xf numFmtId="14" fontId="0" fillId="0" borderId="0" xfId="0" applyNumberFormat="1"/>
    <xf numFmtId="9" fontId="9" fillId="8" borderId="12" xfId="1" applyFont="1" applyFill="1" applyBorder="1"/>
    <xf numFmtId="172" fontId="5" fillId="32" borderId="45" xfId="3" applyNumberFormat="1" applyFill="1" applyBorder="1"/>
    <xf numFmtId="172" fontId="10" fillId="32" borderId="45" xfId="3" applyNumberFormat="1" applyFont="1" applyFill="1" applyBorder="1" applyAlignment="1">
      <alignment vertical="center"/>
    </xf>
    <xf numFmtId="0" fontId="3" fillId="0" borderId="45" xfId="3" applyFont="1" applyBorder="1" applyAlignment="1">
      <alignment horizontal="left" vertical="center"/>
    </xf>
    <xf numFmtId="14" fontId="0" fillId="0" borderId="45" xfId="0" applyNumberFormat="1" applyBorder="1"/>
    <xf numFmtId="0" fontId="2" fillId="0" borderId="45" xfId="3" applyFont="1" applyBorder="1" applyAlignment="1">
      <alignment horizontal="left" vertical="center"/>
    </xf>
    <xf numFmtId="0" fontId="85" fillId="12" borderId="45" xfId="3" applyFont="1" applyFill="1" applyBorder="1" applyAlignment="1">
      <alignment vertical="center"/>
    </xf>
    <xf numFmtId="0" fontId="10" fillId="12" borderId="45" xfId="3" applyFont="1" applyFill="1" applyBorder="1" applyAlignment="1">
      <alignment vertical="center"/>
    </xf>
    <xf numFmtId="172" fontId="0" fillId="0" borderId="0" xfId="0" applyNumberFormat="1"/>
    <xf numFmtId="0" fontId="2" fillId="12" borderId="45" xfId="3" applyFont="1" applyFill="1" applyBorder="1" applyAlignment="1">
      <alignment horizontal="left" vertical="center"/>
    </xf>
    <xf numFmtId="172" fontId="79" fillId="32" borderId="0" xfId="0" applyNumberFormat="1" applyFont="1" applyFill="1"/>
    <xf numFmtId="172" fontId="79" fillId="0" borderId="70" xfId="0" applyNumberFormat="1" applyFont="1" applyBorder="1"/>
    <xf numFmtId="172" fontId="4" fillId="0" borderId="14" xfId="3" applyNumberFormat="1" applyFont="1"/>
    <xf numFmtId="2" fontId="4" fillId="0" borderId="14" xfId="3" applyNumberFormat="1" applyFont="1"/>
    <xf numFmtId="0" fontId="85" fillId="0" borderId="37" xfId="3" applyFont="1" applyBorder="1" applyAlignment="1">
      <alignment vertical="center"/>
    </xf>
    <xf numFmtId="172" fontId="132" fillId="33" borderId="45" xfId="3" applyNumberFormat="1" applyFont="1" applyFill="1" applyBorder="1"/>
    <xf numFmtId="172" fontId="133" fillId="33" borderId="50" xfId="3" applyNumberFormat="1" applyFont="1" applyFill="1" applyBorder="1"/>
    <xf numFmtId="44" fontId="132" fillId="33" borderId="45" xfId="3" applyNumberFormat="1" applyFont="1" applyFill="1" applyBorder="1"/>
    <xf numFmtId="0" fontId="38" fillId="25" borderId="0" xfId="0" applyFont="1" applyFill="1"/>
    <xf numFmtId="44" fontId="134" fillId="33" borderId="0" xfId="2" applyFont="1" applyFill="1"/>
    <xf numFmtId="172" fontId="135" fillId="33" borderId="70" xfId="0" applyNumberFormat="1" applyFont="1" applyFill="1" applyBorder="1"/>
    <xf numFmtId="0" fontId="65" fillId="0" borderId="14" xfId="3" applyFont="1" applyAlignment="1">
      <alignment vertical="center"/>
    </xf>
    <xf numFmtId="0" fontId="84" fillId="12" borderId="14" xfId="3" applyFont="1" applyFill="1"/>
    <xf numFmtId="0" fontId="1" fillId="0" borderId="45" xfId="3" applyFont="1" applyBorder="1" applyAlignment="1">
      <alignment horizontal="left" vertical="center"/>
    </xf>
    <xf numFmtId="0" fontId="79" fillId="0" borderId="0" xfId="0" applyFont="1" applyAlignment="1">
      <alignment horizontal="center"/>
    </xf>
    <xf numFmtId="44" fontId="96" fillId="0" borderId="42" xfId="2" applyFont="1" applyBorder="1" applyAlignment="1">
      <alignment horizontal="center" vertical="center"/>
    </xf>
    <xf numFmtId="44" fontId="96" fillId="0" borderId="40" xfId="2" applyFont="1" applyBorder="1" applyAlignment="1">
      <alignment horizontal="center" vertical="center"/>
    </xf>
    <xf numFmtId="44" fontId="96" fillId="0" borderId="41" xfId="2" applyFont="1" applyBorder="1" applyAlignment="1">
      <alignment horizontal="center" vertical="center"/>
    </xf>
    <xf numFmtId="10" fontId="96" fillId="0" borderId="43" xfId="1" applyNumberFormat="1" applyFont="1" applyBorder="1" applyAlignment="1">
      <alignment horizontal="center" vertical="center"/>
    </xf>
    <xf numFmtId="10" fontId="96" fillId="0" borderId="52" xfId="1" applyNumberFormat="1" applyFont="1" applyBorder="1" applyAlignment="1">
      <alignment horizontal="center" vertical="center"/>
    </xf>
    <xf numFmtId="10" fontId="96" fillId="0" borderId="53" xfId="1" applyNumberFormat="1" applyFont="1" applyBorder="1" applyAlignment="1">
      <alignment horizontal="center" vertical="center"/>
    </xf>
    <xf numFmtId="44" fontId="96" fillId="0" borderId="43" xfId="2" applyFont="1" applyBorder="1" applyAlignment="1">
      <alignment horizontal="center" vertical="center"/>
    </xf>
    <xf numFmtId="44" fontId="96" fillId="0" borderId="52" xfId="2" applyFont="1" applyBorder="1" applyAlignment="1">
      <alignment horizontal="center" vertical="center"/>
    </xf>
    <xf numFmtId="44" fontId="96" fillId="0" borderId="53" xfId="2" applyFont="1" applyBorder="1" applyAlignment="1">
      <alignment horizontal="center" vertical="center"/>
    </xf>
    <xf numFmtId="173" fontId="96" fillId="0" borderId="42" xfId="2" applyNumberFormat="1" applyFont="1" applyBorder="1" applyAlignment="1">
      <alignment horizontal="center" vertical="center"/>
    </xf>
    <xf numFmtId="173" fontId="96" fillId="0" borderId="40" xfId="2" applyNumberFormat="1" applyFont="1" applyBorder="1" applyAlignment="1">
      <alignment horizontal="center" vertical="center"/>
    </xf>
    <xf numFmtId="173" fontId="96" fillId="0" borderId="41" xfId="2" applyNumberFormat="1" applyFont="1" applyBorder="1" applyAlignment="1">
      <alignment horizontal="center" vertical="center"/>
    </xf>
    <xf numFmtId="4" fontId="43" fillId="0" borderId="26" xfId="0" applyNumberFormat="1" applyFont="1" applyBorder="1" applyAlignment="1">
      <alignment horizontal="right" vertical="center"/>
    </xf>
    <xf numFmtId="0" fontId="43" fillId="0" borderId="27" xfId="0" applyFont="1" applyBorder="1" applyAlignment="1">
      <alignment horizontal="right" vertical="center"/>
    </xf>
    <xf numFmtId="173" fontId="6" fillId="6" borderId="31" xfId="0" applyNumberFormat="1" applyFont="1" applyFill="1" applyBorder="1" applyAlignment="1">
      <alignment horizontal="center" vertical="center"/>
    </xf>
    <xf numFmtId="173" fontId="6" fillId="6" borderId="14" xfId="0" applyNumberFormat="1" applyFont="1" applyFill="1" applyBorder="1" applyAlignment="1">
      <alignment horizontal="center" vertical="center"/>
    </xf>
    <xf numFmtId="173" fontId="6" fillId="6" borderId="11" xfId="0" applyNumberFormat="1" applyFont="1" applyFill="1" applyBorder="1" applyAlignment="1">
      <alignment horizontal="center" vertical="center"/>
    </xf>
    <xf numFmtId="173" fontId="6" fillId="6" borderId="39" xfId="0" applyNumberFormat="1" applyFont="1" applyFill="1" applyBorder="1" applyAlignment="1">
      <alignment horizontal="center" vertical="center"/>
    </xf>
    <xf numFmtId="173" fontId="6" fillId="6" borderId="21" xfId="0" applyNumberFormat="1" applyFont="1" applyFill="1" applyBorder="1" applyAlignment="1">
      <alignment horizontal="center" vertical="center"/>
    </xf>
    <xf numFmtId="173" fontId="6" fillId="6" borderId="10" xfId="0" applyNumberFormat="1" applyFont="1" applyFill="1" applyBorder="1" applyAlignment="1">
      <alignment horizontal="center" vertical="center"/>
    </xf>
    <xf numFmtId="173" fontId="6" fillId="7" borderId="47" xfId="0" applyNumberFormat="1" applyFont="1" applyFill="1" applyBorder="1" applyAlignment="1">
      <alignment horizontal="center" vertical="center"/>
    </xf>
    <xf numFmtId="173" fontId="6" fillId="7" borderId="29" xfId="0" applyNumberFormat="1" applyFont="1" applyFill="1" applyBorder="1" applyAlignment="1">
      <alignment horizontal="center" vertical="center"/>
    </xf>
    <xf numFmtId="173" fontId="6" fillId="7" borderId="48" xfId="0" applyNumberFormat="1" applyFont="1" applyFill="1" applyBorder="1" applyAlignment="1">
      <alignment horizontal="center" vertical="center"/>
    </xf>
    <xf numFmtId="173" fontId="6" fillId="7" borderId="9" xfId="0" applyNumberFormat="1" applyFont="1" applyFill="1" applyBorder="1" applyAlignment="1">
      <alignment horizontal="center" vertical="center"/>
    </xf>
    <xf numFmtId="173" fontId="6" fillId="7" borderId="21" xfId="0" applyNumberFormat="1" applyFont="1" applyFill="1" applyBorder="1" applyAlignment="1">
      <alignment horizontal="center" vertical="center"/>
    </xf>
    <xf numFmtId="173" fontId="6" fillId="7" borderId="10" xfId="0" applyNumberFormat="1" applyFont="1" applyFill="1" applyBorder="1" applyAlignment="1">
      <alignment horizontal="center" vertical="center"/>
    </xf>
    <xf numFmtId="173" fontId="6" fillId="2" borderId="47" xfId="0" applyNumberFormat="1" applyFont="1" applyFill="1" applyBorder="1" applyAlignment="1">
      <alignment horizontal="center" vertical="center"/>
    </xf>
    <xf numFmtId="173" fontId="6" fillId="2" borderId="29" xfId="0" applyNumberFormat="1" applyFont="1" applyFill="1" applyBorder="1" applyAlignment="1">
      <alignment horizontal="center" vertical="center"/>
    </xf>
    <xf numFmtId="173" fontId="6" fillId="2" borderId="48" xfId="0" applyNumberFormat="1" applyFont="1" applyFill="1" applyBorder="1" applyAlignment="1">
      <alignment horizontal="center" vertical="center"/>
    </xf>
    <xf numFmtId="173" fontId="6" fillId="2" borderId="9" xfId="0" applyNumberFormat="1" applyFont="1" applyFill="1" applyBorder="1" applyAlignment="1">
      <alignment horizontal="center" vertical="center"/>
    </xf>
    <xf numFmtId="173" fontId="6" fillId="2" borderId="21" xfId="0" applyNumberFormat="1" applyFont="1" applyFill="1" applyBorder="1" applyAlignment="1">
      <alignment horizontal="center" vertical="center"/>
    </xf>
    <xf numFmtId="173" fontId="6" fillId="2" borderId="10" xfId="0" applyNumberFormat="1" applyFont="1" applyFill="1" applyBorder="1" applyAlignment="1">
      <alignment horizontal="center" vertical="center"/>
    </xf>
    <xf numFmtId="0" fontId="71" fillId="14" borderId="14" xfId="0" applyFont="1" applyFill="1" applyBorder="1" applyAlignment="1">
      <alignment horizontal="center"/>
    </xf>
    <xf numFmtId="0" fontId="43" fillId="0" borderId="51" xfId="0" applyFont="1" applyBorder="1" applyAlignment="1">
      <alignment horizontal="right" vertical="center"/>
    </xf>
    <xf numFmtId="0" fontId="56" fillId="0" borderId="31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32" xfId="0" applyFont="1" applyBorder="1" applyAlignment="1">
      <alignment horizontal="center" vertical="center"/>
    </xf>
    <xf numFmtId="0" fontId="56" fillId="0" borderId="33" xfId="0" applyFont="1" applyBorder="1" applyAlignment="1">
      <alignment horizontal="center" vertical="center"/>
    </xf>
    <xf numFmtId="0" fontId="56" fillId="0" borderId="34" xfId="0" applyFont="1" applyBorder="1" applyAlignment="1">
      <alignment horizontal="center" vertical="center"/>
    </xf>
    <xf numFmtId="0" fontId="56" fillId="0" borderId="35" xfId="0" applyFont="1" applyBorder="1" applyAlignment="1">
      <alignment horizontal="center" vertical="center"/>
    </xf>
    <xf numFmtId="164" fontId="109" fillId="0" borderId="26" xfId="0" applyNumberFormat="1" applyFont="1" applyBorder="1" applyAlignment="1">
      <alignment horizontal="center" vertical="center" textRotation="90" wrapText="1"/>
    </xf>
    <xf numFmtId="164" fontId="109" fillId="0" borderId="51" xfId="0" applyNumberFormat="1" applyFont="1" applyBorder="1" applyAlignment="1">
      <alignment horizontal="center" vertical="center" textRotation="90" wrapText="1"/>
    </xf>
    <xf numFmtId="164" fontId="109" fillId="0" borderId="27" xfId="0" applyNumberFormat="1" applyFont="1" applyBorder="1" applyAlignment="1">
      <alignment horizontal="center" vertical="center" textRotation="90" wrapText="1"/>
    </xf>
    <xf numFmtId="164" fontId="109" fillId="0" borderId="26" xfId="0" applyNumberFormat="1" applyFont="1" applyBorder="1" applyAlignment="1">
      <alignment horizontal="center" vertical="center" textRotation="90"/>
    </xf>
    <xf numFmtId="164" fontId="109" fillId="0" borderId="51" xfId="0" applyNumberFormat="1" applyFont="1" applyBorder="1" applyAlignment="1">
      <alignment horizontal="center" vertical="center" textRotation="90"/>
    </xf>
    <xf numFmtId="164" fontId="109" fillId="0" borderId="27" xfId="0" applyNumberFormat="1" applyFont="1" applyBorder="1" applyAlignment="1">
      <alignment horizontal="center" vertical="center" textRotation="90"/>
    </xf>
    <xf numFmtId="0" fontId="63" fillId="15" borderId="75" xfId="0" applyFont="1" applyFill="1" applyBorder="1" applyAlignment="1">
      <alignment horizontal="center" vertical="center"/>
    </xf>
    <xf numFmtId="0" fontId="101" fillId="17" borderId="76" xfId="0" applyFont="1" applyFill="1" applyBorder="1"/>
    <xf numFmtId="0" fontId="102" fillId="18" borderId="77" xfId="0" applyFont="1" applyFill="1" applyBorder="1" applyAlignment="1">
      <alignment horizontal="center"/>
    </xf>
    <xf numFmtId="0" fontId="102" fillId="18" borderId="78" xfId="0" applyFont="1" applyFill="1" applyBorder="1" applyAlignment="1">
      <alignment horizontal="center"/>
    </xf>
    <xf numFmtId="0" fontId="102" fillId="18" borderId="79" xfId="0" applyFont="1" applyFill="1" applyBorder="1" applyAlignment="1">
      <alignment horizontal="center"/>
    </xf>
    <xf numFmtId="0" fontId="8" fillId="0" borderId="21" xfId="0" applyFont="1" applyBorder="1" applyAlignment="1">
      <alignment horizontal="center" vertical="center"/>
    </xf>
    <xf numFmtId="0" fontId="114" fillId="0" borderId="28" xfId="0" applyFont="1" applyBorder="1" applyAlignment="1">
      <alignment horizontal="center"/>
    </xf>
    <xf numFmtId="0" fontId="114" fillId="0" borderId="29" xfId="0" applyFont="1" applyBorder="1" applyAlignment="1">
      <alignment horizontal="center"/>
    </xf>
    <xf numFmtId="0" fontId="114" fillId="0" borderId="48" xfId="0" applyFont="1" applyBorder="1" applyAlignment="1">
      <alignment horizontal="center"/>
    </xf>
    <xf numFmtId="0" fontId="114" fillId="0" borderId="14" xfId="0" applyFont="1" applyBorder="1" applyAlignment="1">
      <alignment horizontal="center"/>
    </xf>
    <xf numFmtId="0" fontId="84" fillId="12" borderId="38" xfId="3" applyFont="1" applyFill="1" applyBorder="1" applyAlignment="1">
      <alignment horizontal="left" vertical="center"/>
    </xf>
    <xf numFmtId="0" fontId="84" fillId="25" borderId="14" xfId="3" applyFont="1" applyFill="1" applyAlignment="1">
      <alignment horizontal="left" vertical="center"/>
    </xf>
    <xf numFmtId="0" fontId="84" fillId="0" borderId="14" xfId="3" applyFont="1" applyAlignment="1">
      <alignment horizontal="left" vertical="center"/>
    </xf>
    <xf numFmtId="0" fontId="84" fillId="0" borderId="38" xfId="3" applyFont="1" applyBorder="1" applyAlignment="1">
      <alignment horizontal="left" vertical="center"/>
    </xf>
    <xf numFmtId="14" fontId="80" fillId="21" borderId="45" xfId="3" applyNumberFormat="1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 vertical="center"/>
    </xf>
    <xf numFmtId="0" fontId="7" fillId="0" borderId="4" xfId="0" applyFont="1" applyBorder="1"/>
    <xf numFmtId="0" fontId="7" fillId="0" borderId="5" xfId="0" applyFont="1" applyBorder="1"/>
    <xf numFmtId="0" fontId="35" fillId="6" borderId="20" xfId="0" applyFont="1" applyFill="1" applyBorder="1" applyAlignment="1">
      <alignment horizontal="center"/>
    </xf>
    <xf numFmtId="0" fontId="7" fillId="0" borderId="21" xfId="0" applyFont="1" applyBorder="1"/>
    <xf numFmtId="44" fontId="42" fillId="0" borderId="0" xfId="0" applyNumberFormat="1" applyFont="1"/>
    <xf numFmtId="0" fontId="42" fillId="0" borderId="0" xfId="0" applyFont="1" applyFill="1"/>
  </cellXfs>
  <cellStyles count="5">
    <cellStyle name="Milliers" xfId="4" builtinId="3"/>
    <cellStyle name="Monétaire" xfId="2" builtinId="4"/>
    <cellStyle name="Normal" xfId="0" builtinId="0"/>
    <cellStyle name="Normal 2" xfId="3" xr:uid="{191F132A-FB0E-4FCA-9A2F-F5A5689C1D2B}"/>
    <cellStyle name="Pourcentage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D9E2F2"/>
        </patternFill>
      </fill>
    </dxf>
  </dxfs>
  <tableStyles count="0" defaultTableStyle="TableStyleMedium2" defaultPivotStyle="PivotStyleLight16"/>
  <colors>
    <mruColors>
      <color rgb="FF567B96"/>
      <color rgb="FFFF5F5F"/>
      <color rgb="FFDAE3F3"/>
      <color rgb="FFD9E2F2"/>
      <color rgb="FFB8D7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CA</a:t>
            </a:r>
            <a:r>
              <a:rPr lang="fr-FR" baseline="0"/>
              <a:t> - VOLETMAT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8950456951331228E-2"/>
          <c:y val="0.17777777777777778"/>
          <c:w val="0.87300711659539565"/>
          <c:h val="0.7204629629629629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CA!$B$5:$F$5</c:f>
              <c:numCache>
                <c:formatCode>_("€"* #,##0.00_);_("€"* \(#,##0.00\);_("€"*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93621.41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1-8745-8F2D-5F958DA9AF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04971920"/>
        <c:axId val="1005069632"/>
      </c:barChart>
      <c:catAx>
        <c:axId val="1004971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5069632"/>
        <c:crosses val="autoZero"/>
        <c:auto val="1"/>
        <c:lblAlgn val="ctr"/>
        <c:lblOffset val="100"/>
        <c:noMultiLvlLbl val="0"/>
      </c:catAx>
      <c:valAx>
        <c:axId val="10050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497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7</xdr:row>
      <xdr:rowOff>5557</xdr:rowOff>
    </xdr:from>
    <xdr:to>
      <xdr:col>8</xdr:col>
      <xdr:colOff>873125</xdr:colOff>
      <xdr:row>20</xdr:row>
      <xdr:rowOff>65882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1B5098A-4023-50E0-9FAE-FF9D1C2B4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8F95-3B12-B348-86DD-F98078F2336B}">
  <sheetPr codeName="Feuil1"/>
  <dimension ref="B2:I6"/>
  <sheetViews>
    <sheetView zoomScale="160" zoomScaleNormal="160" workbookViewId="0">
      <selection activeCell="K8" sqref="K8"/>
    </sheetView>
  </sheetViews>
  <sheetFormatPr baseColWidth="10" defaultRowHeight="16" x14ac:dyDescent="0.2"/>
  <cols>
    <col min="2" max="4" width="11.5703125" bestFit="1" customWidth="1"/>
    <col min="5" max="5" width="11.7109375" bestFit="1" customWidth="1"/>
  </cols>
  <sheetData>
    <row r="2" spans="2:9" x14ac:dyDescent="0.2">
      <c r="B2" s="473" t="s">
        <v>217</v>
      </c>
      <c r="C2" s="473"/>
      <c r="D2" s="473"/>
      <c r="E2" s="473"/>
      <c r="F2" s="473"/>
      <c r="G2" s="473"/>
      <c r="H2" s="473"/>
      <c r="I2" s="473"/>
    </row>
    <row r="4" spans="2:9" x14ac:dyDescent="0.2">
      <c r="B4" s="127" t="s">
        <v>541</v>
      </c>
      <c r="C4" s="127" t="s">
        <v>542</v>
      </c>
      <c r="D4" s="127" t="s">
        <v>543</v>
      </c>
      <c r="E4" s="127" t="s">
        <v>588</v>
      </c>
      <c r="F4" s="127" t="s">
        <v>589</v>
      </c>
    </row>
    <row r="5" spans="2:9" x14ac:dyDescent="0.2">
      <c r="B5" s="108" t="e">
        <f>#REF!</f>
        <v>#REF!</v>
      </c>
      <c r="C5" s="108" t="e">
        <f>#REF!</f>
        <v>#REF!</v>
      </c>
      <c r="D5" s="108" t="e">
        <f>#REF!</f>
        <v>#REF!</v>
      </c>
      <c r="E5" s="108">
        <f>'facturation 24-25'!C5</f>
        <v>93621.41</v>
      </c>
      <c r="F5" s="108"/>
    </row>
    <row r="6" spans="2:9" x14ac:dyDescent="0.2">
      <c r="B6" s="108"/>
      <c r="C6" s="420" t="e">
        <f>C5/B5</f>
        <v>#REF!</v>
      </c>
      <c r="D6" s="420" t="e">
        <f>D5/C5</f>
        <v>#REF!</v>
      </c>
      <c r="E6" s="420" t="e">
        <f>E5/D5</f>
        <v>#REF!</v>
      </c>
      <c r="F6" s="420">
        <f>F5/E5</f>
        <v>0</v>
      </c>
    </row>
  </sheetData>
  <mergeCells count="1">
    <mergeCell ref="B2:I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E895-4DE6-439B-AAFD-53FA638ED939}">
  <sheetPr>
    <tabColor rgb="FFFFC000"/>
  </sheetPr>
  <dimension ref="A1:Y83"/>
  <sheetViews>
    <sheetView zoomScale="60" zoomScaleNormal="60" workbookViewId="0">
      <pane xSplit="3" ySplit="4" topLeftCell="D10" activePane="bottomRight" state="frozen"/>
      <selection pane="topRight" activeCell="D1" sqref="D1"/>
      <selection pane="bottomLeft" activeCell="A5" sqref="A5"/>
      <selection pane="bottomRight" activeCell="T17" sqref="T17"/>
    </sheetView>
  </sheetViews>
  <sheetFormatPr baseColWidth="10" defaultRowHeight="16" x14ac:dyDescent="0.2"/>
  <cols>
    <col min="1" max="1" width="7.7109375" customWidth="1"/>
    <col min="2" max="2" width="23.7109375" bestFit="1" customWidth="1"/>
    <col min="3" max="3" width="49.85546875" customWidth="1"/>
    <col min="4" max="4" width="19.85546875" customWidth="1"/>
    <col min="5" max="5" width="15.5703125" customWidth="1"/>
    <col min="6" max="6" width="17.28515625" customWidth="1"/>
    <col min="7" max="7" width="19.140625" customWidth="1"/>
    <col min="8" max="8" width="17.28515625" bestFit="1" customWidth="1"/>
    <col min="9" max="9" width="14.7109375" customWidth="1"/>
    <col min="10" max="10" width="17.85546875" customWidth="1"/>
    <col min="11" max="11" width="17.85546875" bestFit="1" customWidth="1"/>
    <col min="12" max="12" width="15.42578125" customWidth="1"/>
    <col min="13" max="13" width="15.5703125" customWidth="1"/>
    <col min="14" max="14" width="22.5703125" customWidth="1"/>
    <col min="15" max="17" width="14.7109375" customWidth="1"/>
    <col min="18" max="18" width="16.5703125" customWidth="1"/>
    <col min="19" max="19" width="15.140625" bestFit="1" customWidth="1"/>
    <col min="20" max="20" width="14.7109375" customWidth="1"/>
    <col min="21" max="21" width="15.42578125" bestFit="1" customWidth="1"/>
    <col min="22" max="22" width="14.7109375" customWidth="1"/>
    <col min="23" max="23" width="19.5703125" bestFit="1" customWidth="1"/>
    <col min="25" max="25" width="23.5703125" customWidth="1"/>
  </cols>
  <sheetData>
    <row r="1" spans="1:25" ht="31" x14ac:dyDescent="0.2"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0" t="s">
        <v>166</v>
      </c>
      <c r="M1" s="191"/>
      <c r="N1" s="191"/>
      <c r="O1" s="191"/>
      <c r="P1" s="191"/>
      <c r="Q1" s="191"/>
      <c r="R1" s="191"/>
      <c r="S1" s="191"/>
      <c r="T1" s="191"/>
      <c r="U1" s="2"/>
      <c r="V1" s="2"/>
      <c r="W1" s="2"/>
    </row>
    <row r="2" spans="1:25" ht="22" thickBot="1" x14ac:dyDescent="0.3">
      <c r="A2" s="94"/>
      <c r="B2" s="125"/>
      <c r="C2" s="3"/>
      <c r="D2" s="3"/>
      <c r="E2" s="4"/>
      <c r="F2" s="4"/>
      <c r="G2" s="4"/>
      <c r="H2" s="4"/>
      <c r="I2" s="4"/>
      <c r="J2" s="4"/>
      <c r="K2" s="4"/>
      <c r="L2" s="4"/>
      <c r="M2" s="4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5" ht="21" x14ac:dyDescent="0.25">
      <c r="A3" s="94"/>
      <c r="B3" s="223"/>
      <c r="C3" s="233"/>
      <c r="D3" s="197" t="s">
        <v>544</v>
      </c>
      <c r="E3" s="197" t="s">
        <v>3</v>
      </c>
      <c r="F3" s="197" t="s">
        <v>545</v>
      </c>
      <c r="G3" s="266" t="s">
        <v>125</v>
      </c>
      <c r="H3" s="197" t="s">
        <v>546</v>
      </c>
      <c r="I3" s="212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213"/>
      <c r="U3" s="506" t="s">
        <v>141</v>
      </c>
      <c r="V3" s="506"/>
      <c r="X3" s="127" t="s">
        <v>780</v>
      </c>
      <c r="Y3" s="127" t="s">
        <v>781</v>
      </c>
    </row>
    <row r="4" spans="1:25" ht="21" x14ac:dyDescent="0.25">
      <c r="A4" s="94"/>
      <c r="B4" s="224"/>
      <c r="C4" s="234"/>
      <c r="D4" s="259"/>
      <c r="E4" s="229"/>
      <c r="F4" s="229"/>
      <c r="G4" s="267"/>
      <c r="H4" s="329"/>
      <c r="I4" s="214" t="s">
        <v>124</v>
      </c>
      <c r="J4" s="199" t="s">
        <v>123</v>
      </c>
      <c r="K4" s="199" t="s">
        <v>93</v>
      </c>
      <c r="L4" s="200" t="s">
        <v>81</v>
      </c>
      <c r="M4" s="200" t="s">
        <v>82</v>
      </c>
      <c r="N4" s="200" t="s">
        <v>83</v>
      </c>
      <c r="O4" s="200" t="s">
        <v>86</v>
      </c>
      <c r="P4" s="200" t="s">
        <v>87</v>
      </c>
      <c r="Q4" s="345" t="s">
        <v>88</v>
      </c>
      <c r="R4" s="200" t="s">
        <v>89</v>
      </c>
      <c r="S4" s="200" t="s">
        <v>90</v>
      </c>
      <c r="T4" s="215" t="s">
        <v>91</v>
      </c>
      <c r="U4" s="193"/>
      <c r="V4" s="130"/>
    </row>
    <row r="5" spans="1:25" ht="21" x14ac:dyDescent="0.25">
      <c r="A5" s="189"/>
      <c r="B5" s="225" t="s">
        <v>452</v>
      </c>
      <c r="C5" s="275" t="s">
        <v>108</v>
      </c>
      <c r="D5" s="260"/>
      <c r="E5" s="230">
        <v>10292.4</v>
      </c>
      <c r="F5" s="230">
        <f>E5-G5</f>
        <v>8416.7999999999993</v>
      </c>
      <c r="G5" s="268">
        <f t="shared" ref="G5:G45" si="0">SUM(I5:T5)</f>
        <v>1875.6</v>
      </c>
      <c r="H5" s="330">
        <f t="shared" ref="H5:H22" si="1">E5-F5-G5</f>
        <v>0</v>
      </c>
      <c r="I5" s="216">
        <v>1875.6</v>
      </c>
      <c r="J5" s="201"/>
      <c r="K5" s="201"/>
      <c r="L5" s="201"/>
      <c r="M5" s="201"/>
      <c r="N5" s="201"/>
      <c r="O5" s="201"/>
      <c r="P5" s="201"/>
      <c r="Q5" s="201"/>
      <c r="R5" s="201"/>
      <c r="S5" s="201"/>
      <c r="T5" s="211"/>
      <c r="U5" s="194"/>
      <c r="V5" s="131"/>
      <c r="W5" s="246" t="s">
        <v>213</v>
      </c>
    </row>
    <row r="6" spans="1:25" ht="21" x14ac:dyDescent="0.25">
      <c r="A6" s="189"/>
      <c r="B6" s="226" t="s">
        <v>453</v>
      </c>
      <c r="C6" s="276" t="s">
        <v>109</v>
      </c>
      <c r="D6" s="261"/>
      <c r="E6" s="231">
        <f>21900*0.9</f>
        <v>19710</v>
      </c>
      <c r="F6" s="346">
        <f>1800*0.9</f>
        <v>1620</v>
      </c>
      <c r="G6" s="268">
        <f>SUM(I6:T6)</f>
        <v>1620</v>
      </c>
      <c r="H6" s="331">
        <f t="shared" si="1"/>
        <v>16470</v>
      </c>
      <c r="I6" s="217"/>
      <c r="J6" s="203"/>
      <c r="K6" s="202">
        <f>(3600/2)*0.9</f>
        <v>1620</v>
      </c>
      <c r="L6" s="204"/>
      <c r="M6" s="204"/>
      <c r="N6" s="204"/>
      <c r="O6" s="203"/>
      <c r="T6" s="203"/>
      <c r="U6" s="194">
        <v>1500</v>
      </c>
      <c r="V6" s="131" t="s">
        <v>538</v>
      </c>
      <c r="W6" s="92"/>
    </row>
    <row r="7" spans="1:25" ht="21" x14ac:dyDescent="0.25">
      <c r="A7" s="189"/>
      <c r="B7" s="226" t="s">
        <v>126</v>
      </c>
      <c r="C7" s="276" t="s">
        <v>110</v>
      </c>
      <c r="D7" s="261"/>
      <c r="E7" s="231">
        <f>16900*0.85</f>
        <v>14365</v>
      </c>
      <c r="F7" s="231">
        <v>8450</v>
      </c>
      <c r="G7" s="268">
        <f t="shared" si="0"/>
        <v>0</v>
      </c>
      <c r="H7" s="331">
        <f t="shared" si="1"/>
        <v>5915</v>
      </c>
      <c r="I7" s="217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18"/>
      <c r="U7" s="194"/>
      <c r="V7" s="131"/>
      <c r="W7" s="92"/>
    </row>
    <row r="8" spans="1:25" ht="21" x14ac:dyDescent="0.25">
      <c r="A8" s="189"/>
      <c r="B8" s="226" t="s">
        <v>129</v>
      </c>
      <c r="C8" s="276" t="s">
        <v>127</v>
      </c>
      <c r="D8" s="261"/>
      <c r="E8" s="231">
        <v>3500</v>
      </c>
      <c r="F8" s="231">
        <v>1500</v>
      </c>
      <c r="G8" s="268">
        <f t="shared" si="0"/>
        <v>2000</v>
      </c>
      <c r="H8" s="331">
        <f t="shared" si="1"/>
        <v>0</v>
      </c>
      <c r="I8" s="217">
        <v>1000</v>
      </c>
      <c r="J8" s="202">
        <v>1000</v>
      </c>
      <c r="K8" s="203"/>
      <c r="L8" s="203"/>
      <c r="M8" s="203"/>
      <c r="N8" s="203"/>
      <c r="O8" s="203"/>
      <c r="P8" s="203"/>
      <c r="Q8" s="203"/>
      <c r="R8" s="203"/>
      <c r="S8" s="203"/>
      <c r="T8" s="218"/>
      <c r="U8" s="194"/>
      <c r="V8" s="131"/>
      <c r="W8" s="92"/>
    </row>
    <row r="9" spans="1:25" s="413" customFormat="1" ht="21" x14ac:dyDescent="0.25">
      <c r="A9" s="408"/>
      <c r="B9" s="225" t="s">
        <v>128</v>
      </c>
      <c r="C9" s="235" t="s">
        <v>101</v>
      </c>
      <c r="D9" s="260"/>
      <c r="E9" s="230">
        <v>2970</v>
      </c>
      <c r="F9" s="230">
        <v>810</v>
      </c>
      <c r="G9" s="409">
        <f>SUM(I9:T9)</f>
        <v>1080</v>
      </c>
      <c r="H9" s="330">
        <f t="shared" si="1"/>
        <v>1080</v>
      </c>
      <c r="I9" s="216"/>
      <c r="J9" s="201"/>
      <c r="K9" s="410"/>
      <c r="L9" s="410"/>
      <c r="M9" s="201">
        <v>1080</v>
      </c>
      <c r="N9" s="201"/>
      <c r="O9" s="201"/>
      <c r="P9" s="201"/>
      <c r="Q9" s="201"/>
      <c r="R9" s="201"/>
      <c r="S9" s="201"/>
      <c r="T9" s="211"/>
      <c r="U9" s="411"/>
      <c r="V9" s="412"/>
      <c r="W9" s="246" t="s">
        <v>676</v>
      </c>
    </row>
    <row r="10" spans="1:25" s="413" customFormat="1" ht="21" x14ac:dyDescent="0.25">
      <c r="A10" s="408"/>
      <c r="B10" s="225" t="s">
        <v>130</v>
      </c>
      <c r="C10" s="235" t="s">
        <v>98</v>
      </c>
      <c r="D10" s="260"/>
      <c r="E10" s="230">
        <f>11100*0.9</f>
        <v>9990</v>
      </c>
      <c r="F10" s="414">
        <f>1200+900+1500</f>
        <v>3600</v>
      </c>
      <c r="G10" s="409">
        <f t="shared" si="0"/>
        <v>6309.17</v>
      </c>
      <c r="H10" s="330">
        <f t="shared" si="1"/>
        <v>80.829999999999927</v>
      </c>
      <c r="I10" s="216"/>
      <c r="J10" s="201">
        <f>(1500*0.9)-360</f>
        <v>990</v>
      </c>
      <c r="K10" s="201">
        <f>(300+300)*0.9</f>
        <v>540</v>
      </c>
      <c r="L10" s="201">
        <f>2400*0.9</f>
        <v>2160</v>
      </c>
      <c r="M10" s="201">
        <f>2400*0.9</f>
        <v>2160</v>
      </c>
      <c r="N10" s="201">
        <f>(600*0.9)-80.83</f>
        <v>459.17</v>
      </c>
      <c r="O10" s="201"/>
      <c r="P10" s="201"/>
      <c r="Q10" s="201"/>
      <c r="R10" s="201"/>
      <c r="S10" s="201"/>
      <c r="T10" s="211"/>
      <c r="U10" s="411"/>
      <c r="V10" s="412"/>
      <c r="W10" s="246" t="s">
        <v>213</v>
      </c>
    </row>
    <row r="11" spans="1:25" ht="21" x14ac:dyDescent="0.25">
      <c r="A11" s="189"/>
      <c r="B11" s="225" t="s">
        <v>140</v>
      </c>
      <c r="C11" s="235" t="s">
        <v>100</v>
      </c>
      <c r="D11" s="260"/>
      <c r="E11" s="230">
        <f>3992+800</f>
        <v>4792</v>
      </c>
      <c r="F11" s="230">
        <v>4192</v>
      </c>
      <c r="G11" s="268">
        <f t="shared" si="0"/>
        <v>600</v>
      </c>
      <c r="H11" s="330">
        <f t="shared" si="1"/>
        <v>0</v>
      </c>
      <c r="I11" s="216">
        <v>600</v>
      </c>
      <c r="J11" s="201"/>
      <c r="K11" s="201"/>
      <c r="L11" s="201"/>
      <c r="M11" s="201"/>
      <c r="N11" s="201"/>
      <c r="O11" s="201"/>
      <c r="P11" s="201"/>
      <c r="Q11" s="341"/>
      <c r="R11" s="341"/>
      <c r="S11" s="201"/>
      <c r="T11" s="211"/>
      <c r="U11" s="194"/>
      <c r="V11" s="131"/>
      <c r="W11" s="246" t="s">
        <v>213</v>
      </c>
    </row>
    <row r="12" spans="1:25" ht="21" x14ac:dyDescent="0.25">
      <c r="A12" s="189"/>
      <c r="B12" s="225" t="s">
        <v>139</v>
      </c>
      <c r="C12" s="235" t="s">
        <v>100</v>
      </c>
      <c r="D12" s="260"/>
      <c r="E12" s="230">
        <v>1200</v>
      </c>
      <c r="F12" s="230"/>
      <c r="G12" s="268">
        <f t="shared" si="0"/>
        <v>1200</v>
      </c>
      <c r="H12" s="330">
        <f t="shared" si="1"/>
        <v>0</v>
      </c>
      <c r="I12" s="216">
        <v>1200</v>
      </c>
      <c r="J12" s="201"/>
      <c r="K12" s="201"/>
      <c r="L12" s="201"/>
      <c r="M12" s="201"/>
      <c r="N12" s="201"/>
      <c r="O12" s="201"/>
      <c r="P12" s="339"/>
      <c r="Q12" s="201"/>
      <c r="R12" s="201"/>
      <c r="S12" s="340"/>
      <c r="T12" s="211"/>
      <c r="U12" s="194"/>
      <c r="V12" s="131"/>
      <c r="W12" s="246" t="s">
        <v>213</v>
      </c>
    </row>
    <row r="13" spans="1:25" ht="21" x14ac:dyDescent="0.25">
      <c r="A13" s="189"/>
      <c r="B13" s="226" t="s">
        <v>131</v>
      </c>
      <c r="C13" s="236" t="s">
        <v>103</v>
      </c>
      <c r="D13" s="261"/>
      <c r="E13" s="231">
        <v>4600</v>
      </c>
      <c r="F13" s="231">
        <v>1300</v>
      </c>
      <c r="G13" s="268">
        <f t="shared" si="0"/>
        <v>3300</v>
      </c>
      <c r="H13" s="331">
        <f t="shared" si="1"/>
        <v>0</v>
      </c>
      <c r="I13" s="217"/>
      <c r="J13" s="203"/>
      <c r="K13" s="203"/>
      <c r="L13" s="204"/>
      <c r="M13" s="202">
        <v>1200</v>
      </c>
      <c r="N13" s="204"/>
      <c r="P13" s="337"/>
      <c r="Q13" s="202">
        <v>1200</v>
      </c>
      <c r="R13" s="203"/>
      <c r="S13" s="203"/>
      <c r="T13" s="426">
        <v>900</v>
      </c>
      <c r="U13" s="194"/>
      <c r="V13" s="194"/>
      <c r="W13" s="92"/>
    </row>
    <row r="14" spans="1:25" ht="21" x14ac:dyDescent="0.25">
      <c r="A14" s="189"/>
      <c r="B14" s="226" t="s">
        <v>132</v>
      </c>
      <c r="C14" s="236" t="s">
        <v>133</v>
      </c>
      <c r="D14" s="261"/>
      <c r="E14" s="231">
        <v>6700</v>
      </c>
      <c r="F14" s="231"/>
      <c r="G14" s="268">
        <f t="shared" si="0"/>
        <v>6700</v>
      </c>
      <c r="H14" s="331">
        <f t="shared" si="1"/>
        <v>0</v>
      </c>
      <c r="I14" s="217"/>
      <c r="J14" s="203"/>
      <c r="K14" s="203"/>
      <c r="L14" s="203"/>
      <c r="M14" s="202">
        <v>6700</v>
      </c>
      <c r="N14" s="203"/>
      <c r="O14" s="203"/>
      <c r="P14" s="337"/>
      <c r="Q14" s="253"/>
      <c r="R14" s="203"/>
      <c r="S14" s="338"/>
      <c r="T14" s="218"/>
      <c r="U14" s="194">
        <v>1500</v>
      </c>
      <c r="V14" s="194" t="s">
        <v>429</v>
      </c>
      <c r="W14" s="92"/>
    </row>
    <row r="15" spans="1:25" ht="21" x14ac:dyDescent="0.25">
      <c r="A15" s="189"/>
      <c r="B15" s="226" t="s">
        <v>134</v>
      </c>
      <c r="C15" s="236" t="s">
        <v>135</v>
      </c>
      <c r="D15" s="261"/>
      <c r="E15" s="231">
        <f>10935+3200</f>
        <v>14135</v>
      </c>
      <c r="F15" s="231"/>
      <c r="G15" s="268">
        <f t="shared" si="0"/>
        <v>12865</v>
      </c>
      <c r="H15" s="331">
        <f t="shared" si="1"/>
        <v>1270</v>
      </c>
      <c r="I15" s="217"/>
      <c r="J15" s="202">
        <f>1050*0.9</f>
        <v>945</v>
      </c>
      <c r="K15" s="203"/>
      <c r="L15" s="204"/>
      <c r="M15" s="204"/>
      <c r="N15" s="202">
        <f>2100*0.9</f>
        <v>1890</v>
      </c>
      <c r="O15" s="202">
        <f>700*0.9</f>
        <v>630</v>
      </c>
      <c r="P15" s="196"/>
      <c r="Q15" s="347">
        <f>2100*0.9+700*0.9</f>
        <v>2520</v>
      </c>
      <c r="R15" s="202">
        <v>1512</v>
      </c>
      <c r="S15" s="209">
        <v>1512</v>
      </c>
      <c r="T15" s="202">
        <f>1296+2560</f>
        <v>3856</v>
      </c>
      <c r="U15" s="194"/>
      <c r="V15" s="194"/>
      <c r="W15" s="92"/>
    </row>
    <row r="16" spans="1:25" ht="21" x14ac:dyDescent="0.25">
      <c r="A16" s="189"/>
      <c r="B16" s="240" t="s">
        <v>181</v>
      </c>
      <c r="C16" s="251" t="s">
        <v>182</v>
      </c>
      <c r="D16" s="264"/>
      <c r="E16" s="252">
        <v>1500</v>
      </c>
      <c r="F16" s="252"/>
      <c r="G16" s="268">
        <f>SUM(I16:T16)</f>
        <v>1500</v>
      </c>
      <c r="H16" s="332">
        <f t="shared" si="1"/>
        <v>0</v>
      </c>
      <c r="I16" s="255"/>
      <c r="J16" s="253"/>
      <c r="K16" s="253"/>
      <c r="L16" s="253">
        <v>750</v>
      </c>
      <c r="M16" s="253">
        <v>750</v>
      </c>
      <c r="N16" s="253"/>
      <c r="O16" s="253"/>
      <c r="P16" s="342"/>
      <c r="Q16" s="204"/>
      <c r="R16" s="253"/>
      <c r="S16" s="252"/>
      <c r="T16" s="254"/>
      <c r="U16" s="194">
        <v>750</v>
      </c>
      <c r="V16" s="194" t="s">
        <v>183</v>
      </c>
      <c r="W16" s="92"/>
    </row>
    <row r="17" spans="1:25" ht="21" x14ac:dyDescent="0.25">
      <c r="A17" s="189"/>
      <c r="B17" s="226" t="s">
        <v>185</v>
      </c>
      <c r="C17" s="236" t="s">
        <v>186</v>
      </c>
      <c r="D17" s="261"/>
      <c r="E17" s="209">
        <v>10230.75</v>
      </c>
      <c r="F17" s="209"/>
      <c r="G17" s="268">
        <f>SUM(I17:Y17)</f>
        <v>11025</v>
      </c>
      <c r="H17" s="331">
        <f t="shared" si="1"/>
        <v>-794.25</v>
      </c>
      <c r="I17" s="217"/>
      <c r="J17" s="203"/>
      <c r="K17" s="203"/>
      <c r="L17" s="202">
        <v>4375</v>
      </c>
      <c r="M17" s="204"/>
      <c r="N17" s="204"/>
      <c r="P17" s="196"/>
      <c r="Q17" s="344"/>
      <c r="S17" s="202"/>
      <c r="T17" s="202">
        <f>'facturation 24-25'!D85</f>
        <v>6650</v>
      </c>
      <c r="U17" s="194"/>
      <c r="V17" s="194"/>
      <c r="W17" s="92"/>
      <c r="Y17" s="203"/>
    </row>
    <row r="18" spans="1:25" ht="21" x14ac:dyDescent="0.25">
      <c r="A18" s="189"/>
      <c r="B18" s="226" t="s">
        <v>435</v>
      </c>
      <c r="C18" s="236" t="s">
        <v>430</v>
      </c>
      <c r="D18" s="261"/>
      <c r="E18" s="209">
        <v>2500</v>
      </c>
      <c r="F18" s="209"/>
      <c r="G18" s="268">
        <f>SUM(I18:T18)</f>
        <v>2500</v>
      </c>
      <c r="H18" s="331">
        <f t="shared" si="1"/>
        <v>0</v>
      </c>
      <c r="I18" s="217"/>
      <c r="J18" s="203"/>
      <c r="K18" s="203"/>
      <c r="L18" s="203"/>
      <c r="M18" s="203"/>
      <c r="N18" s="202">
        <v>750</v>
      </c>
      <c r="O18" s="203"/>
      <c r="P18" s="337"/>
      <c r="Q18" s="202">
        <v>1400</v>
      </c>
      <c r="S18" s="202">
        <v>350</v>
      </c>
      <c r="T18" s="218"/>
      <c r="U18" s="194">
        <v>750</v>
      </c>
      <c r="V18" s="194" t="s">
        <v>674</v>
      </c>
      <c r="W18" s="92"/>
    </row>
    <row r="19" spans="1:25" ht="21" x14ac:dyDescent="0.25">
      <c r="A19" s="189"/>
      <c r="B19" s="226" t="s">
        <v>539</v>
      </c>
      <c r="C19" s="236" t="s">
        <v>127</v>
      </c>
      <c r="D19" s="261"/>
      <c r="E19" s="209">
        <v>12900</v>
      </c>
      <c r="F19" s="209"/>
      <c r="G19" s="268">
        <f t="shared" ref="G19:G22" si="2">SUM(I19:T19)</f>
        <v>900</v>
      </c>
      <c r="H19" s="331">
        <f t="shared" si="1"/>
        <v>12000</v>
      </c>
      <c r="I19" s="217"/>
      <c r="J19" s="203"/>
      <c r="K19" s="203"/>
      <c r="L19" s="203"/>
      <c r="M19" s="203"/>
      <c r="N19" s="203"/>
      <c r="O19" s="202"/>
      <c r="P19" s="343">
        <v>900</v>
      </c>
      <c r="Q19" s="203"/>
      <c r="R19" s="203"/>
      <c r="S19" s="338"/>
      <c r="T19" s="218"/>
      <c r="U19" s="194"/>
      <c r="V19" s="194"/>
      <c r="W19" s="92"/>
    </row>
    <row r="20" spans="1:25" ht="21" x14ac:dyDescent="0.25">
      <c r="A20" s="189"/>
      <c r="B20" s="226" t="s">
        <v>581</v>
      </c>
      <c r="C20" s="236" t="s">
        <v>500</v>
      </c>
      <c r="D20" s="261"/>
      <c r="E20" s="324">
        <v>8640</v>
      </c>
      <c r="F20" s="209"/>
      <c r="G20" s="268">
        <f t="shared" si="2"/>
        <v>3700</v>
      </c>
      <c r="H20" s="331">
        <f t="shared" si="1"/>
        <v>4940</v>
      </c>
      <c r="I20" s="217"/>
      <c r="J20" s="203"/>
      <c r="K20" s="203"/>
      <c r="L20" s="203"/>
      <c r="M20" s="203"/>
      <c r="N20" s="203"/>
      <c r="O20" s="203"/>
      <c r="P20" s="202">
        <v>3700</v>
      </c>
      <c r="Q20" s="203"/>
      <c r="R20" s="203"/>
      <c r="S20" s="203"/>
      <c r="T20" s="218"/>
      <c r="U20" s="194"/>
      <c r="V20" s="131"/>
      <c r="W20" s="92"/>
    </row>
    <row r="21" spans="1:25" ht="21" x14ac:dyDescent="0.25">
      <c r="A21" s="189"/>
      <c r="B21" s="226" t="s">
        <v>587</v>
      </c>
      <c r="C21" s="236" t="s">
        <v>585</v>
      </c>
      <c r="D21" s="261"/>
      <c r="E21" s="324">
        <v>875</v>
      </c>
      <c r="F21" s="209"/>
      <c r="G21" s="268">
        <f t="shared" si="2"/>
        <v>875</v>
      </c>
      <c r="H21" s="331">
        <f t="shared" si="1"/>
        <v>0</v>
      </c>
      <c r="I21" s="217"/>
      <c r="J21" s="203"/>
      <c r="K21" s="203"/>
      <c r="L21" s="203"/>
      <c r="M21" s="203"/>
      <c r="N21" s="203"/>
      <c r="O21" s="203"/>
      <c r="P21" s="258"/>
      <c r="Q21" s="203"/>
      <c r="R21" s="202">
        <v>437.5</v>
      </c>
      <c r="S21" s="202">
        <v>437.5</v>
      </c>
      <c r="T21" s="407"/>
      <c r="U21" s="194">
        <v>500</v>
      </c>
      <c r="V21" s="327" t="s">
        <v>674</v>
      </c>
      <c r="W21" s="92"/>
    </row>
    <row r="22" spans="1:25" ht="21" x14ac:dyDescent="0.25">
      <c r="A22" s="189"/>
      <c r="B22" s="226" t="s">
        <v>659</v>
      </c>
      <c r="C22" s="236" t="s">
        <v>658</v>
      </c>
      <c r="D22" s="261"/>
      <c r="E22" s="324">
        <v>12000</v>
      </c>
      <c r="F22" s="209"/>
      <c r="G22" s="268">
        <f t="shared" si="2"/>
        <v>10500</v>
      </c>
      <c r="H22" s="331">
        <f t="shared" si="1"/>
        <v>1500</v>
      </c>
      <c r="I22" s="217"/>
      <c r="J22" s="203"/>
      <c r="K22" s="203"/>
      <c r="L22" s="203"/>
      <c r="M22" s="203"/>
      <c r="N22" s="203"/>
      <c r="O22" s="203"/>
      <c r="P22" s="258"/>
      <c r="Q22" s="203"/>
      <c r="R22" s="202">
        <f>3150+7350</f>
        <v>10500</v>
      </c>
      <c r="S22" s="387"/>
      <c r="T22" s="218"/>
      <c r="U22" s="194"/>
      <c r="V22" s="327"/>
      <c r="W22" s="92"/>
    </row>
    <row r="23" spans="1:25" ht="21" x14ac:dyDescent="0.25">
      <c r="A23" s="189"/>
      <c r="B23" s="226"/>
      <c r="C23" s="236" t="s">
        <v>671</v>
      </c>
      <c r="D23" s="261"/>
      <c r="E23" s="324">
        <v>500</v>
      </c>
      <c r="F23" s="209"/>
      <c r="G23" s="268"/>
      <c r="H23" s="331"/>
      <c r="I23" s="217">
        <v>500</v>
      </c>
      <c r="J23" s="203"/>
      <c r="K23" s="203"/>
      <c r="L23" s="203"/>
      <c r="M23" s="203"/>
      <c r="N23" s="203"/>
      <c r="O23" s="203"/>
      <c r="P23" s="258"/>
      <c r="Q23" s="203"/>
      <c r="R23" s="203"/>
      <c r="S23" s="203"/>
      <c r="T23" s="218"/>
      <c r="U23" s="194"/>
      <c r="V23" s="327"/>
      <c r="W23" s="92"/>
    </row>
    <row r="24" spans="1:25" ht="21" x14ac:dyDescent="0.25">
      <c r="A24" s="189"/>
      <c r="B24" s="226"/>
      <c r="C24" s="236"/>
      <c r="D24" s="261"/>
      <c r="E24" s="324"/>
      <c r="F24" s="209"/>
      <c r="G24" s="268"/>
      <c r="H24" s="331"/>
      <c r="I24" s="217"/>
      <c r="J24" s="203"/>
      <c r="K24" s="203"/>
      <c r="L24" s="203"/>
      <c r="M24" s="203"/>
      <c r="N24" s="203"/>
      <c r="O24" s="203"/>
      <c r="P24" s="258"/>
      <c r="Q24" s="203"/>
      <c r="R24" s="203"/>
      <c r="S24" s="203"/>
      <c r="T24" s="218"/>
      <c r="U24" s="194"/>
      <c r="V24" s="327"/>
      <c r="W24" s="92"/>
    </row>
    <row r="25" spans="1:25" ht="21" x14ac:dyDescent="0.25">
      <c r="A25" s="189"/>
      <c r="B25" s="226"/>
      <c r="C25" s="236"/>
      <c r="D25" s="261"/>
      <c r="E25" s="324"/>
      <c r="F25" s="209"/>
      <c r="G25" s="268"/>
      <c r="H25" s="331"/>
      <c r="I25" s="217"/>
      <c r="J25" s="203"/>
      <c r="K25" s="203"/>
      <c r="L25" s="203"/>
      <c r="M25" s="203"/>
      <c r="N25" s="203"/>
      <c r="O25" s="203"/>
      <c r="P25" s="258"/>
      <c r="Q25" s="203"/>
      <c r="R25" s="203"/>
      <c r="S25" s="203"/>
      <c r="T25" s="218"/>
      <c r="U25" s="194"/>
      <c r="V25" s="327"/>
      <c r="W25" s="92"/>
    </row>
    <row r="26" spans="1:25" ht="21" x14ac:dyDescent="0.25">
      <c r="A26" s="189"/>
      <c r="B26" s="227" t="s">
        <v>136</v>
      </c>
      <c r="C26" s="237" t="s">
        <v>137</v>
      </c>
      <c r="D26" s="262"/>
      <c r="E26" s="232">
        <f>(2324)/1.2</f>
        <v>1936.6666666666667</v>
      </c>
      <c r="F26" s="232"/>
      <c r="G26" s="268">
        <f t="shared" si="0"/>
        <v>833.33</v>
      </c>
      <c r="H26" s="333">
        <f>E26-F26-G26</f>
        <v>1103.3366666666666</v>
      </c>
      <c r="I26" s="219">
        <v>833.33</v>
      </c>
      <c r="J26" s="206"/>
      <c r="K26" s="207"/>
      <c r="L26" s="206"/>
      <c r="M26" s="206"/>
      <c r="N26" s="207"/>
      <c r="O26" s="206"/>
      <c r="P26" s="206"/>
      <c r="Q26" s="206"/>
      <c r="R26" s="206"/>
      <c r="S26" s="206"/>
      <c r="T26" s="220"/>
      <c r="U26" s="194">
        <v>416.67</v>
      </c>
      <c r="V26" s="194" t="s">
        <v>184</v>
      </c>
      <c r="X26" s="92" t="s">
        <v>782</v>
      </c>
      <c r="Y26" s="448">
        <v>45523</v>
      </c>
    </row>
    <row r="27" spans="1:25" ht="21" x14ac:dyDescent="0.25">
      <c r="A27" s="189"/>
      <c r="B27" s="226" t="s">
        <v>169</v>
      </c>
      <c r="C27" s="237" t="s">
        <v>165</v>
      </c>
      <c r="D27" s="262"/>
      <c r="E27" s="210">
        <v>1958.33</v>
      </c>
      <c r="F27" s="210"/>
      <c r="G27" s="268">
        <f t="shared" si="0"/>
        <v>1500</v>
      </c>
      <c r="H27" s="333">
        <f t="shared" ref="H27:H28" si="3">E27-F27-G27</f>
        <v>458.32999999999993</v>
      </c>
      <c r="I27" s="219"/>
      <c r="J27" s="205">
        <v>833.33</v>
      </c>
      <c r="K27" s="206"/>
      <c r="L27" s="206"/>
      <c r="M27" s="205">
        <v>666.67</v>
      </c>
      <c r="N27" s="206"/>
      <c r="O27" s="206"/>
      <c r="P27" s="206"/>
      <c r="Q27" s="206"/>
      <c r="R27" s="206"/>
      <c r="S27" s="206"/>
      <c r="T27" s="206"/>
      <c r="U27" s="194">
        <v>605</v>
      </c>
      <c r="V27" s="194" t="s">
        <v>214</v>
      </c>
      <c r="X27" s="92"/>
    </row>
    <row r="28" spans="1:25" ht="21" x14ac:dyDescent="0.25">
      <c r="A28" s="189"/>
      <c r="B28" s="226" t="s">
        <v>170</v>
      </c>
      <c r="C28" s="237" t="s">
        <v>164</v>
      </c>
      <c r="D28" s="262"/>
      <c r="E28" s="210">
        <v>1958.33</v>
      </c>
      <c r="F28" s="210"/>
      <c r="G28" s="268">
        <f t="shared" si="0"/>
        <v>1500</v>
      </c>
      <c r="H28" s="333">
        <f t="shared" si="3"/>
        <v>458.32999999999993</v>
      </c>
      <c r="I28" s="219"/>
      <c r="J28" s="205">
        <v>833.33</v>
      </c>
      <c r="K28" s="206"/>
      <c r="L28" s="206"/>
      <c r="M28" s="205">
        <v>666.67</v>
      </c>
      <c r="N28" s="206"/>
      <c r="O28" s="206"/>
      <c r="P28" s="206"/>
      <c r="Q28" s="206"/>
      <c r="R28" s="206"/>
      <c r="S28" s="206"/>
      <c r="T28" s="206"/>
      <c r="U28" s="194">
        <v>458.33</v>
      </c>
      <c r="V28" s="194" t="s">
        <v>184</v>
      </c>
      <c r="X28" s="92" t="s">
        <v>783</v>
      </c>
      <c r="Y28" s="448">
        <v>45567</v>
      </c>
    </row>
    <row r="29" spans="1:25" ht="21" x14ac:dyDescent="0.25">
      <c r="A29" s="189"/>
      <c r="B29" s="240" t="s">
        <v>171</v>
      </c>
      <c r="C29" s="241" t="s">
        <v>163</v>
      </c>
      <c r="D29" s="263"/>
      <c r="E29" s="242">
        <v>833.33</v>
      </c>
      <c r="F29" s="242"/>
      <c r="G29" s="268">
        <f t="shared" si="0"/>
        <v>833.33</v>
      </c>
      <c r="H29" s="334">
        <v>0</v>
      </c>
      <c r="I29" s="245"/>
      <c r="J29" s="243">
        <v>833.33</v>
      </c>
      <c r="K29" s="243"/>
      <c r="L29" s="243"/>
      <c r="M29" s="243"/>
      <c r="N29" s="243"/>
      <c r="O29" s="243"/>
      <c r="P29" s="243"/>
      <c r="Q29" s="243"/>
      <c r="R29" s="243"/>
      <c r="S29" s="243"/>
      <c r="T29" s="244"/>
      <c r="U29" s="194">
        <v>341.67</v>
      </c>
      <c r="V29" s="194" t="s">
        <v>184</v>
      </c>
      <c r="W29" s="246" t="s">
        <v>180</v>
      </c>
    </row>
    <row r="30" spans="1:25" ht="21" x14ac:dyDescent="0.25">
      <c r="A30" s="189"/>
      <c r="B30" s="240" t="s">
        <v>187</v>
      </c>
      <c r="C30" s="241" t="s">
        <v>439</v>
      </c>
      <c r="D30" s="263"/>
      <c r="E30" s="242">
        <v>0</v>
      </c>
      <c r="F30" s="242"/>
      <c r="G30" s="268">
        <f t="shared" si="0"/>
        <v>3.3333333333303017E-3</v>
      </c>
      <c r="H30" s="334">
        <v>0</v>
      </c>
      <c r="I30" s="245"/>
      <c r="J30" s="243"/>
      <c r="K30" s="243"/>
      <c r="L30" s="243">
        <f>1000/1.2</f>
        <v>833.33333333333337</v>
      </c>
      <c r="M30" s="243">
        <v>-833.33</v>
      </c>
      <c r="N30" s="243"/>
      <c r="O30" s="243"/>
      <c r="P30" s="243"/>
      <c r="Q30" s="243"/>
      <c r="R30" s="243"/>
      <c r="S30" s="243"/>
      <c r="T30" s="244"/>
      <c r="U30" s="194"/>
      <c r="V30" s="194"/>
      <c r="W30" s="246" t="s">
        <v>180</v>
      </c>
    </row>
    <row r="31" spans="1:25" ht="21" x14ac:dyDescent="0.25">
      <c r="A31" s="189"/>
      <c r="B31" s="226" t="s">
        <v>188</v>
      </c>
      <c r="C31" s="237" t="s">
        <v>440</v>
      </c>
      <c r="D31" s="262"/>
      <c r="E31" s="210">
        <v>2125</v>
      </c>
      <c r="F31" s="210"/>
      <c r="G31" s="268">
        <f t="shared" si="0"/>
        <v>1500.0033333333333</v>
      </c>
      <c r="H31" s="335">
        <f>E31-F31-G31</f>
        <v>624.99666666666667</v>
      </c>
      <c r="I31" s="219"/>
      <c r="J31" s="206"/>
      <c r="K31" s="206"/>
      <c r="L31" s="205">
        <f>1000/1.2</f>
        <v>833.33333333333337</v>
      </c>
      <c r="M31" s="207"/>
      <c r="N31" s="206"/>
      <c r="O31" s="206"/>
      <c r="P31" s="206"/>
      <c r="Q31" s="206"/>
      <c r="R31" s="206"/>
      <c r="S31" s="206"/>
      <c r="T31" s="421">
        <v>666.67</v>
      </c>
      <c r="U31" s="194">
        <f>750/1.2</f>
        <v>625</v>
      </c>
      <c r="V31" s="194" t="s">
        <v>184</v>
      </c>
      <c r="W31" s="92"/>
    </row>
    <row r="32" spans="1:25" ht="21" x14ac:dyDescent="0.25">
      <c r="A32" s="189"/>
      <c r="B32" s="226" t="s">
        <v>189</v>
      </c>
      <c r="C32" s="237" t="s">
        <v>202</v>
      </c>
      <c r="D32" s="262"/>
      <c r="E32" s="210">
        <v>1500</v>
      </c>
      <c r="F32" s="210"/>
      <c r="G32" s="268">
        <f t="shared" si="0"/>
        <v>1166.6633333333334</v>
      </c>
      <c r="H32" s="335">
        <f t="shared" ref="H32:H45" si="4">E32-F32-G32</f>
        <v>333.33666666666659</v>
      </c>
      <c r="I32" s="219"/>
      <c r="J32" s="206"/>
      <c r="K32" s="206"/>
      <c r="L32" s="205">
        <v>833.33</v>
      </c>
      <c r="M32" s="207"/>
      <c r="N32" s="206"/>
      <c r="O32" s="206"/>
      <c r="P32" s="206"/>
      <c r="Q32" s="206"/>
      <c r="R32" s="206"/>
      <c r="S32" s="206"/>
      <c r="T32" s="421">
        <f>400/1.2</f>
        <v>333.33333333333337</v>
      </c>
      <c r="U32" s="194"/>
      <c r="V32" s="194"/>
      <c r="W32" s="92"/>
    </row>
    <row r="33" spans="1:23" ht="21" x14ac:dyDescent="0.25">
      <c r="A33" s="189"/>
      <c r="B33" s="226" t="s">
        <v>190</v>
      </c>
      <c r="C33" s="237" t="s">
        <v>438</v>
      </c>
      <c r="D33" s="262"/>
      <c r="E33" s="210">
        <v>2041.67</v>
      </c>
      <c r="F33" s="210"/>
      <c r="G33" s="268">
        <f t="shared" si="0"/>
        <v>833.33333333333337</v>
      </c>
      <c r="H33" s="335">
        <f t="shared" si="4"/>
        <v>1208.3366666666666</v>
      </c>
      <c r="I33" s="219"/>
      <c r="J33" s="206"/>
      <c r="K33" s="206"/>
      <c r="L33" s="205">
        <f>1000/1.2</f>
        <v>833.33333333333337</v>
      </c>
      <c r="M33" s="207"/>
      <c r="N33" s="206"/>
      <c r="O33" s="206"/>
      <c r="P33" s="206"/>
      <c r="Q33" s="206"/>
      <c r="R33" s="206"/>
      <c r="S33" s="206"/>
      <c r="T33" s="220"/>
      <c r="U33" s="194">
        <f>650/1.2</f>
        <v>541.66666666666674</v>
      </c>
      <c r="V33" s="194" t="s">
        <v>184</v>
      </c>
      <c r="W33" s="92"/>
    </row>
    <row r="34" spans="1:23" ht="21" x14ac:dyDescent="0.25">
      <c r="A34" s="189"/>
      <c r="B34" s="226" t="s">
        <v>191</v>
      </c>
      <c r="C34" s="237" t="s">
        <v>441</v>
      </c>
      <c r="D34" s="262"/>
      <c r="E34" s="210">
        <v>2041.67</v>
      </c>
      <c r="F34" s="210"/>
      <c r="G34" s="268">
        <f t="shared" si="0"/>
        <v>1500</v>
      </c>
      <c r="H34" s="335">
        <f t="shared" si="4"/>
        <v>541.67000000000007</v>
      </c>
      <c r="I34" s="219"/>
      <c r="J34" s="206"/>
      <c r="K34" s="206"/>
      <c r="L34" s="205">
        <v>833.33</v>
      </c>
      <c r="M34" s="206"/>
      <c r="N34" s="206"/>
      <c r="O34" s="206"/>
      <c r="P34" s="205">
        <v>666.67</v>
      </c>
      <c r="Q34" s="207"/>
      <c r="R34" s="207"/>
      <c r="S34" s="206"/>
      <c r="T34" s="220"/>
      <c r="U34" s="194">
        <v>541.66999999999996</v>
      </c>
      <c r="V34" s="194" t="s">
        <v>184</v>
      </c>
      <c r="W34" s="92"/>
    </row>
    <row r="35" spans="1:23" ht="21" x14ac:dyDescent="0.25">
      <c r="A35" s="189"/>
      <c r="B35" s="226" t="s">
        <v>210</v>
      </c>
      <c r="C35" s="237" t="s">
        <v>442</v>
      </c>
      <c r="D35" s="262"/>
      <c r="E35" s="210">
        <v>1833.33</v>
      </c>
      <c r="F35" s="210"/>
      <c r="G35" s="268">
        <f t="shared" si="0"/>
        <v>1500</v>
      </c>
      <c r="H35" s="335">
        <f t="shared" si="4"/>
        <v>333.32999999999993</v>
      </c>
      <c r="I35" s="219"/>
      <c r="J35" s="206"/>
      <c r="K35" s="206"/>
      <c r="L35" s="205">
        <v>833.33</v>
      </c>
      <c r="M35" s="206"/>
      <c r="N35" s="205">
        <v>666.67</v>
      </c>
      <c r="O35" s="207"/>
      <c r="P35" s="206"/>
      <c r="Q35" s="207"/>
      <c r="R35" s="207"/>
      <c r="S35" s="206"/>
      <c r="T35" s="220"/>
      <c r="U35" s="194">
        <v>333.33</v>
      </c>
      <c r="V35" s="194" t="s">
        <v>184</v>
      </c>
      <c r="W35" s="92"/>
    </row>
    <row r="36" spans="1:23" ht="21" x14ac:dyDescent="0.25">
      <c r="A36" s="189"/>
      <c r="B36" s="226" t="s">
        <v>221</v>
      </c>
      <c r="C36" s="237" t="s">
        <v>437</v>
      </c>
      <c r="D36" s="262"/>
      <c r="E36" s="210">
        <v>1500</v>
      </c>
      <c r="F36" s="210"/>
      <c r="G36" s="268">
        <f t="shared" si="0"/>
        <v>1166.67</v>
      </c>
      <c r="H36" s="335">
        <f t="shared" si="4"/>
        <v>333.32999999999993</v>
      </c>
      <c r="I36" s="219"/>
      <c r="J36" s="206"/>
      <c r="K36" s="206"/>
      <c r="L36" s="206"/>
      <c r="M36" s="205">
        <v>666.67</v>
      </c>
      <c r="N36" s="208"/>
      <c r="O36" s="206"/>
      <c r="P36" s="206"/>
      <c r="Q36" s="206"/>
      <c r="R36" s="205">
        <v>500</v>
      </c>
      <c r="S36" s="206"/>
      <c r="T36" s="220"/>
      <c r="U36" s="194"/>
      <c r="V36" s="194"/>
      <c r="W36" s="92"/>
    </row>
    <row r="37" spans="1:23" ht="21" x14ac:dyDescent="0.25">
      <c r="A37" s="189"/>
      <c r="B37" s="226" t="s">
        <v>227</v>
      </c>
      <c r="C37" s="237" t="s">
        <v>436</v>
      </c>
      <c r="D37" s="262"/>
      <c r="E37" s="210">
        <v>1958.33</v>
      </c>
      <c r="F37" s="210"/>
      <c r="G37" s="268">
        <f t="shared" si="0"/>
        <v>1500</v>
      </c>
      <c r="H37" s="335">
        <f t="shared" si="4"/>
        <v>458.32999999999993</v>
      </c>
      <c r="I37" s="219"/>
      <c r="J37" s="206"/>
      <c r="K37" s="206"/>
      <c r="L37" s="206"/>
      <c r="M37" s="205">
        <v>833.33</v>
      </c>
      <c r="N37" s="205">
        <v>666.67</v>
      </c>
      <c r="O37" s="206"/>
      <c r="P37" s="207"/>
      <c r="Q37" s="206"/>
      <c r="R37" s="206"/>
      <c r="S37" s="206"/>
      <c r="T37" s="220"/>
      <c r="U37" s="194">
        <v>458.33</v>
      </c>
      <c r="V37" s="194" t="s">
        <v>184</v>
      </c>
      <c r="W37" s="92"/>
    </row>
    <row r="38" spans="1:23" ht="21" x14ac:dyDescent="0.25">
      <c r="A38" s="192"/>
      <c r="B38" s="226" t="s">
        <v>454</v>
      </c>
      <c r="C38" s="237" t="s">
        <v>455</v>
      </c>
      <c r="D38" s="262"/>
      <c r="E38" s="210">
        <v>2166.67</v>
      </c>
      <c r="F38" s="210"/>
      <c r="G38" s="268">
        <f t="shared" si="0"/>
        <v>1500</v>
      </c>
      <c r="H38" s="335">
        <f t="shared" si="4"/>
        <v>666.67000000000007</v>
      </c>
      <c r="I38" s="219"/>
      <c r="J38" s="206"/>
      <c r="K38" s="206"/>
      <c r="L38" s="206"/>
      <c r="M38" s="206"/>
      <c r="N38" s="206"/>
      <c r="O38" s="205">
        <f>1000/1.2</f>
        <v>833.33333333333337</v>
      </c>
      <c r="P38" s="206"/>
      <c r="Q38" s="206"/>
      <c r="R38" s="206"/>
      <c r="S38" s="205">
        <f>800/1.2</f>
        <v>666.66666666666674</v>
      </c>
      <c r="T38" s="220"/>
      <c r="U38" s="194">
        <f>(650+75)/1.2</f>
        <v>604.16666666666674</v>
      </c>
      <c r="V38" s="194" t="s">
        <v>184</v>
      </c>
      <c r="W38" s="92"/>
    </row>
    <row r="39" spans="1:23" ht="21" x14ac:dyDescent="0.25">
      <c r="A39" s="189"/>
      <c r="B39" s="226" t="s">
        <v>536</v>
      </c>
      <c r="C39" s="237" t="s">
        <v>537</v>
      </c>
      <c r="D39" s="262"/>
      <c r="E39" s="210">
        <f>2550/1.2</f>
        <v>2125</v>
      </c>
      <c r="F39" s="210"/>
      <c r="G39" s="268">
        <f t="shared" si="0"/>
        <v>1500.0033333333333</v>
      </c>
      <c r="H39" s="335">
        <f t="shared" si="4"/>
        <v>624.99666666666667</v>
      </c>
      <c r="I39" s="219"/>
      <c r="J39" s="206"/>
      <c r="K39" s="206"/>
      <c r="L39" s="206"/>
      <c r="M39" s="206"/>
      <c r="N39" s="206"/>
      <c r="O39" s="206"/>
      <c r="P39" s="205">
        <f>1000/1.2</f>
        <v>833.33333333333337</v>
      </c>
      <c r="Q39" s="206"/>
      <c r="R39" s="206"/>
      <c r="S39" s="206"/>
      <c r="T39" s="421">
        <v>666.67</v>
      </c>
      <c r="U39" s="194">
        <f>750/1.2</f>
        <v>625</v>
      </c>
      <c r="V39" s="194" t="s">
        <v>184</v>
      </c>
      <c r="W39" s="92"/>
    </row>
    <row r="40" spans="1:23" ht="21" x14ac:dyDescent="0.25">
      <c r="A40" s="189"/>
      <c r="B40" s="226" t="s">
        <v>651</v>
      </c>
      <c r="C40" s="237" t="s">
        <v>652</v>
      </c>
      <c r="D40" s="415"/>
      <c r="E40" s="210">
        <v>2125</v>
      </c>
      <c r="F40" s="210"/>
      <c r="G40" s="268">
        <f t="shared" si="0"/>
        <v>1500</v>
      </c>
      <c r="H40" s="335">
        <f t="shared" si="4"/>
        <v>625</v>
      </c>
      <c r="I40" s="219"/>
      <c r="J40" s="206"/>
      <c r="K40" s="206"/>
      <c r="L40" s="206"/>
      <c r="M40" s="206"/>
      <c r="N40" s="206"/>
      <c r="O40" s="206"/>
      <c r="P40" s="205"/>
      <c r="Q40" s="206"/>
      <c r="R40" s="205">
        <v>833.33</v>
      </c>
      <c r="S40" s="206"/>
      <c r="T40" s="421">
        <v>666.67</v>
      </c>
      <c r="U40" s="194"/>
      <c r="V40" s="131"/>
      <c r="W40" s="92"/>
    </row>
    <row r="41" spans="1:23" ht="21" x14ac:dyDescent="0.25">
      <c r="A41" s="189"/>
      <c r="B41" s="226" t="s">
        <v>664</v>
      </c>
      <c r="C41" s="237" t="s">
        <v>662</v>
      </c>
      <c r="D41" s="415">
        <v>45776</v>
      </c>
      <c r="E41" s="210">
        <v>2041.67</v>
      </c>
      <c r="F41" s="210"/>
      <c r="G41" s="268">
        <f t="shared" si="0"/>
        <v>1500</v>
      </c>
      <c r="H41" s="335">
        <f t="shared" si="4"/>
        <v>541.67000000000007</v>
      </c>
      <c r="I41" s="219"/>
      <c r="J41" s="206"/>
      <c r="K41" s="206"/>
      <c r="L41" s="206"/>
      <c r="M41" s="206"/>
      <c r="N41" s="206"/>
      <c r="O41" s="206"/>
      <c r="P41" s="205"/>
      <c r="Q41" s="206"/>
      <c r="R41" s="205">
        <v>833.33</v>
      </c>
      <c r="S41" s="206"/>
      <c r="T41" s="421">
        <v>666.67</v>
      </c>
      <c r="U41" s="194"/>
      <c r="V41" s="131"/>
      <c r="W41" s="92"/>
    </row>
    <row r="42" spans="1:23" ht="21" x14ac:dyDescent="0.25">
      <c r="A42" s="189"/>
      <c r="B42" s="226" t="s">
        <v>677</v>
      </c>
      <c r="C42" s="237" t="s">
        <v>680</v>
      </c>
      <c r="D42" s="415">
        <v>45789</v>
      </c>
      <c r="E42" s="210">
        <v>2041.67</v>
      </c>
      <c r="F42" s="210"/>
      <c r="G42" s="268">
        <f t="shared" si="0"/>
        <v>833.33</v>
      </c>
      <c r="H42" s="335">
        <f t="shared" si="4"/>
        <v>1208.3400000000001</v>
      </c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5">
        <v>833.33</v>
      </c>
      <c r="T42" s="206"/>
      <c r="U42" s="194"/>
      <c r="V42" s="131"/>
      <c r="W42" s="92"/>
    </row>
    <row r="43" spans="1:23" ht="21" x14ac:dyDescent="0.25">
      <c r="A43" s="189"/>
      <c r="B43" s="240" t="s">
        <v>678</v>
      </c>
      <c r="C43" s="241" t="s">
        <v>679</v>
      </c>
      <c r="D43" s="416"/>
      <c r="E43" s="242">
        <v>1958.35</v>
      </c>
      <c r="F43" s="242"/>
      <c r="G43" s="417">
        <f t="shared" si="0"/>
        <v>0</v>
      </c>
      <c r="H43" s="334">
        <f t="shared" si="4"/>
        <v>1958.35</v>
      </c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>
        <f>833.33-833.33</f>
        <v>0</v>
      </c>
      <c r="T43" s="206"/>
      <c r="U43" s="194"/>
      <c r="V43" s="131"/>
      <c r="W43" s="92"/>
    </row>
    <row r="44" spans="1:23" ht="21" x14ac:dyDescent="0.25">
      <c r="A44" s="189"/>
      <c r="B44" s="226" t="s">
        <v>727</v>
      </c>
      <c r="C44" s="237" t="s">
        <v>730</v>
      </c>
      <c r="D44" s="415"/>
      <c r="E44" s="210">
        <v>2041.67</v>
      </c>
      <c r="F44" s="210"/>
      <c r="G44" s="268">
        <f t="shared" si="0"/>
        <v>833.33</v>
      </c>
      <c r="H44" s="335">
        <f t="shared" si="4"/>
        <v>1208.3400000000001</v>
      </c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5">
        <v>833.33</v>
      </c>
      <c r="T44" s="206"/>
      <c r="U44" s="194"/>
      <c r="V44" s="131"/>
      <c r="W44" s="92"/>
    </row>
    <row r="45" spans="1:23" ht="21" x14ac:dyDescent="0.25">
      <c r="A45" s="189"/>
      <c r="B45" s="226" t="s">
        <v>728</v>
      </c>
      <c r="C45" s="237" t="s">
        <v>729</v>
      </c>
      <c r="D45" s="415">
        <v>45800</v>
      </c>
      <c r="E45" s="210">
        <v>2083.35</v>
      </c>
      <c r="F45" s="210"/>
      <c r="G45" s="268">
        <f t="shared" si="0"/>
        <v>833.33</v>
      </c>
      <c r="H45" s="335">
        <f t="shared" si="4"/>
        <v>1250.02</v>
      </c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5">
        <v>833.33</v>
      </c>
      <c r="T45" s="206"/>
      <c r="U45" s="194"/>
      <c r="V45" s="131"/>
      <c r="W45" s="92"/>
    </row>
    <row r="46" spans="1:23" ht="21" x14ac:dyDescent="0.25">
      <c r="A46" s="189"/>
      <c r="B46" s="226"/>
      <c r="C46" s="236"/>
      <c r="D46" s="261"/>
      <c r="E46" s="209"/>
      <c r="F46" s="209"/>
      <c r="G46" s="269"/>
      <c r="H46" s="336"/>
      <c r="I46" s="217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18"/>
      <c r="U46" s="194"/>
      <c r="V46" s="131"/>
      <c r="W46" s="92"/>
    </row>
    <row r="47" spans="1:23" ht="21" x14ac:dyDescent="0.25">
      <c r="A47" s="189"/>
      <c r="B47" s="226" t="s">
        <v>119</v>
      </c>
      <c r="C47" s="236" t="s">
        <v>670</v>
      </c>
      <c r="D47" s="261"/>
      <c r="E47" s="209">
        <v>200</v>
      </c>
      <c r="F47" s="209"/>
      <c r="G47" s="269">
        <v>200</v>
      </c>
      <c r="H47" s="336"/>
      <c r="I47" s="202">
        <v>200</v>
      </c>
      <c r="J47" s="202"/>
      <c r="K47" s="202"/>
      <c r="L47" s="202"/>
      <c r="M47" s="202"/>
      <c r="N47" s="202"/>
      <c r="O47" s="398"/>
      <c r="P47" s="202"/>
      <c r="Q47" s="203"/>
      <c r="R47" s="203"/>
      <c r="S47" s="203"/>
      <c r="T47" s="218"/>
      <c r="U47" s="194"/>
      <c r="V47" s="131"/>
      <c r="W47" s="92"/>
    </row>
    <row r="48" spans="1:23" ht="21" x14ac:dyDescent="0.25">
      <c r="A48" s="189"/>
      <c r="B48" s="226" t="s">
        <v>119</v>
      </c>
      <c r="C48" s="236" t="s">
        <v>669</v>
      </c>
      <c r="D48" s="261"/>
      <c r="E48" s="209">
        <v>200</v>
      </c>
      <c r="F48" s="209"/>
      <c r="G48" s="269">
        <v>200</v>
      </c>
      <c r="H48" s="336"/>
      <c r="I48" s="217"/>
      <c r="J48" s="202"/>
      <c r="K48" s="202"/>
      <c r="L48" s="202"/>
      <c r="M48" s="202"/>
      <c r="N48" s="202"/>
      <c r="O48" s="202">
        <v>200</v>
      </c>
      <c r="P48" s="202"/>
      <c r="Q48" s="203"/>
      <c r="R48" s="203"/>
      <c r="S48" s="203"/>
      <c r="T48" s="218"/>
      <c r="U48" s="194"/>
      <c r="V48" s="131"/>
      <c r="W48" s="92"/>
    </row>
    <row r="49" spans="1:23" ht="21" x14ac:dyDescent="0.25">
      <c r="A49" s="189"/>
      <c r="B49" s="226" t="s">
        <v>119</v>
      </c>
      <c r="C49" s="236" t="s">
        <v>668</v>
      </c>
      <c r="D49" s="261"/>
      <c r="E49" s="209">
        <v>208.33</v>
      </c>
      <c r="F49" s="209"/>
      <c r="G49" s="269">
        <v>208.33</v>
      </c>
      <c r="H49" s="336"/>
      <c r="I49" s="217"/>
      <c r="J49" s="202"/>
      <c r="K49" s="202"/>
      <c r="L49" s="202"/>
      <c r="M49" s="202"/>
      <c r="N49" s="202"/>
      <c r="O49" s="202">
        <v>208.33</v>
      </c>
      <c r="P49" s="202"/>
      <c r="Q49" s="203"/>
      <c r="R49" s="203"/>
      <c r="S49" s="202">
        <v>208.33</v>
      </c>
      <c r="T49" s="218"/>
      <c r="U49" s="194"/>
      <c r="V49" s="131"/>
      <c r="W49" s="92"/>
    </row>
    <row r="50" spans="1:23" ht="21" x14ac:dyDescent="0.25">
      <c r="A50" s="189"/>
      <c r="B50" s="226" t="s">
        <v>119</v>
      </c>
      <c r="C50" s="236" t="s">
        <v>672</v>
      </c>
      <c r="D50" s="261"/>
      <c r="E50" s="209">
        <v>230</v>
      </c>
      <c r="F50" s="209"/>
      <c r="G50" s="269">
        <v>230</v>
      </c>
      <c r="H50" s="336"/>
      <c r="I50" s="217"/>
      <c r="J50" s="202">
        <v>230</v>
      </c>
      <c r="K50" s="202"/>
      <c r="L50" s="202"/>
      <c r="M50" s="202"/>
      <c r="N50" s="202"/>
      <c r="O50" s="202"/>
      <c r="P50" s="202"/>
      <c r="Q50" s="203"/>
      <c r="R50" s="203"/>
      <c r="S50" s="202"/>
      <c r="T50" s="218"/>
      <c r="U50" s="194"/>
      <c r="V50" s="131"/>
      <c r="W50" s="92"/>
    </row>
    <row r="51" spans="1:23" ht="21" x14ac:dyDescent="0.25">
      <c r="A51" s="189"/>
      <c r="B51" s="226"/>
      <c r="C51" s="236"/>
      <c r="D51" s="261"/>
      <c r="E51" s="209"/>
      <c r="F51" s="209"/>
      <c r="G51" s="269"/>
      <c r="H51" s="336"/>
      <c r="I51" s="217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18"/>
      <c r="U51" s="194"/>
      <c r="V51" s="131"/>
      <c r="W51" s="92"/>
    </row>
    <row r="52" spans="1:23" ht="21" x14ac:dyDescent="0.25">
      <c r="A52" s="189"/>
      <c r="B52" s="226"/>
      <c r="C52" s="236"/>
      <c r="D52" s="261"/>
      <c r="E52" s="209"/>
      <c r="F52" s="209"/>
      <c r="G52" s="269"/>
      <c r="H52" s="336"/>
      <c r="I52" s="217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18"/>
      <c r="U52" s="194"/>
      <c r="V52" s="131"/>
      <c r="W52" s="92"/>
    </row>
    <row r="53" spans="1:23" ht="21" x14ac:dyDescent="0.25">
      <c r="A53" s="189"/>
      <c r="B53" s="226" t="s">
        <v>772</v>
      </c>
      <c r="C53" s="236"/>
      <c r="D53" s="261"/>
      <c r="E53" s="209"/>
      <c r="F53" s="209"/>
      <c r="G53" s="269"/>
      <c r="H53" s="336"/>
      <c r="I53" s="217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426">
        <v>1400</v>
      </c>
      <c r="U53" s="194"/>
      <c r="V53" s="131"/>
      <c r="W53" s="92"/>
    </row>
    <row r="54" spans="1:23" ht="22" thickBot="1" x14ac:dyDescent="0.3">
      <c r="A54" s="189"/>
      <c r="B54" s="226"/>
      <c r="C54" s="236"/>
      <c r="D54" s="261"/>
      <c r="E54" s="209"/>
      <c r="F54" s="209"/>
      <c r="G54" s="269"/>
      <c r="H54" s="336"/>
      <c r="I54" s="217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18"/>
      <c r="U54" s="194"/>
      <c r="V54" s="131"/>
      <c r="W54" s="92"/>
    </row>
    <row r="55" spans="1:23" ht="22" thickBot="1" x14ac:dyDescent="0.3">
      <c r="A55" s="189"/>
      <c r="B55" s="228"/>
      <c r="C55" s="238"/>
      <c r="D55" s="265"/>
      <c r="E55" s="389">
        <f>SUM(E4:E54)</f>
        <v>178508.51666666666</v>
      </c>
      <c r="F55" s="390">
        <f>SUM(F4:F54)</f>
        <v>29888.799999999999</v>
      </c>
      <c r="G55" s="390">
        <f>SUM(G4:G54)</f>
        <v>91721.426666666652</v>
      </c>
      <c r="H55" s="391">
        <f>SUM(H4:H54)</f>
        <v>56398.293333333342</v>
      </c>
      <c r="I55" s="388">
        <f t="shared" ref="I55:U55" si="5">SUM(I5:I54)</f>
        <v>6208.93</v>
      </c>
      <c r="J55" s="221">
        <f t="shared" si="5"/>
        <v>5664.99</v>
      </c>
      <c r="K55" s="221">
        <f t="shared" si="5"/>
        <v>2160</v>
      </c>
      <c r="L55" s="221">
        <f t="shared" si="5"/>
        <v>12284.99</v>
      </c>
      <c r="M55" s="221">
        <f t="shared" si="5"/>
        <v>13890.01</v>
      </c>
      <c r="N55" s="221">
        <f t="shared" si="5"/>
        <v>4432.51</v>
      </c>
      <c r="O55" s="221">
        <f t="shared" si="5"/>
        <v>1871.6633333333334</v>
      </c>
      <c r="P55" s="221">
        <f t="shared" si="5"/>
        <v>6100.0033333333331</v>
      </c>
      <c r="Q55" s="221">
        <f t="shared" si="5"/>
        <v>5120</v>
      </c>
      <c r="R55" s="221">
        <f t="shared" si="5"/>
        <v>14616.16</v>
      </c>
      <c r="S55" s="221">
        <f t="shared" si="5"/>
        <v>5674.4866666666667</v>
      </c>
      <c r="T55" s="222">
        <f t="shared" si="5"/>
        <v>15806.013333333334</v>
      </c>
      <c r="U55" s="195">
        <f t="shared" si="5"/>
        <v>10550.833333333332</v>
      </c>
      <c r="W55" s="2"/>
    </row>
    <row r="56" spans="1:23" x14ac:dyDescent="0.2">
      <c r="A56" s="2"/>
      <c r="B56" s="507" t="s">
        <v>11</v>
      </c>
      <c r="C56" s="508" t="s">
        <v>4</v>
      </c>
      <c r="D56" s="509"/>
      <c r="E56" s="509"/>
      <c r="F56" s="509"/>
      <c r="G56" s="509"/>
      <c r="H56" s="510"/>
      <c r="I56" s="508" t="s">
        <v>144</v>
      </c>
      <c r="J56" s="509"/>
      <c r="K56" s="509"/>
      <c r="L56" s="509"/>
      <c r="M56" s="509"/>
      <c r="N56" s="510"/>
      <c r="O56" s="508" t="s">
        <v>5</v>
      </c>
      <c r="P56" s="509"/>
      <c r="Q56" s="509"/>
      <c r="R56" s="509"/>
      <c r="S56" s="509"/>
      <c r="T56" s="510"/>
      <c r="W56" s="2"/>
    </row>
    <row r="57" spans="1:23" ht="17" thickBot="1" x14ac:dyDescent="0.25">
      <c r="A57" s="2"/>
      <c r="B57" s="487"/>
      <c r="C57" s="511"/>
      <c r="D57" s="512"/>
      <c r="E57" s="512"/>
      <c r="F57" s="512"/>
      <c r="G57" s="512"/>
      <c r="H57" s="513"/>
      <c r="I57" s="511"/>
      <c r="J57" s="512"/>
      <c r="K57" s="512"/>
      <c r="L57" s="512"/>
      <c r="M57" s="512"/>
      <c r="N57" s="513"/>
      <c r="O57" s="511"/>
      <c r="P57" s="512"/>
      <c r="Q57" s="512"/>
      <c r="R57" s="512"/>
      <c r="S57" s="512"/>
      <c r="T57" s="513"/>
      <c r="W57" s="2"/>
    </row>
    <row r="58" spans="1:23" x14ac:dyDescent="0.2">
      <c r="A58" s="7"/>
      <c r="B58" s="486">
        <f>Prospect!F16</f>
        <v>3000</v>
      </c>
      <c r="C58" s="488">
        <f>SUM(G$5:G54)</f>
        <v>91721.426666666652</v>
      </c>
      <c r="D58" s="489"/>
      <c r="E58" s="489"/>
      <c r="F58" s="489"/>
      <c r="G58" s="489"/>
      <c r="H58" s="490"/>
      <c r="I58" s="494">
        <f>SUM(I55:T55)</f>
        <v>93829.756666666668</v>
      </c>
      <c r="J58" s="495"/>
      <c r="K58" s="495"/>
      <c r="L58" s="495"/>
      <c r="M58" s="495"/>
      <c r="N58" s="496"/>
      <c r="O58" s="500">
        <f>SUM(T55)</f>
        <v>15806.013333333334</v>
      </c>
      <c r="P58" s="501"/>
      <c r="Q58" s="501"/>
      <c r="R58" s="501"/>
      <c r="S58" s="501"/>
      <c r="T58" s="502"/>
      <c r="W58" s="2"/>
    </row>
    <row r="59" spans="1:23" ht="17" thickBot="1" x14ac:dyDescent="0.25">
      <c r="B59" s="487"/>
      <c r="C59" s="491"/>
      <c r="D59" s="492"/>
      <c r="E59" s="492"/>
      <c r="F59" s="492"/>
      <c r="G59" s="492"/>
      <c r="H59" s="493"/>
      <c r="I59" s="497"/>
      <c r="J59" s="498"/>
      <c r="K59" s="498"/>
      <c r="L59" s="498"/>
      <c r="M59" s="498"/>
      <c r="N59" s="499"/>
      <c r="O59" s="503"/>
      <c r="P59" s="504"/>
      <c r="Q59" s="504"/>
      <c r="R59" s="504"/>
      <c r="S59" s="504"/>
      <c r="T59" s="505"/>
      <c r="W59" s="2"/>
    </row>
    <row r="60" spans="1:23" x14ac:dyDescent="0.2">
      <c r="C60" s="11"/>
      <c r="D60" s="11"/>
      <c r="E60" s="9"/>
      <c r="F60" s="9"/>
      <c r="G60" s="9"/>
      <c r="H60" s="9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ht="17" thickBot="1" x14ac:dyDescent="0.25">
      <c r="D61" s="9"/>
      <c r="E61" s="9"/>
      <c r="F61" s="2"/>
      <c r="G61" s="2"/>
      <c r="H61" s="2"/>
      <c r="I61" s="2"/>
      <c r="J61" s="2"/>
      <c r="K61" s="2"/>
      <c r="M61" s="6"/>
      <c r="P61" s="2"/>
      <c r="R61" s="2"/>
      <c r="S61" s="2"/>
      <c r="T61" s="2"/>
    </row>
    <row r="62" spans="1:23" ht="48" customHeight="1" thickBot="1" x14ac:dyDescent="0.25">
      <c r="B62" s="399" t="s">
        <v>116</v>
      </c>
      <c r="C62" s="385" t="str">
        <f>IF(O58+'facturation 24-25'!C5&lt;B63,"OBJECTIF MANQUÉ","OBJECTIF ATTEINT")</f>
        <v>OBJECTIF ATTEINT</v>
      </c>
      <c r="D62" s="123"/>
      <c r="G62" s="2"/>
      <c r="N62" s="2"/>
      <c r="O62" s="2"/>
      <c r="Q62" s="2"/>
      <c r="R62" s="2"/>
      <c r="U62" s="397"/>
    </row>
    <row r="63" spans="1:23" ht="63" customHeight="1" thickBot="1" x14ac:dyDescent="0.3">
      <c r="B63" s="400">
        <f>'Prévisionnel 24-25'!$C$42</f>
        <v>91760</v>
      </c>
      <c r="C63" s="386">
        <f>'facturation 24-25'!C5-B63</f>
        <v>1861.4100000000035</v>
      </c>
      <c r="D63" s="9"/>
      <c r="E63" s="108"/>
      <c r="K63" s="134"/>
      <c r="L63" s="124"/>
      <c r="N63" s="92"/>
      <c r="O63" s="91"/>
      <c r="P63" s="93"/>
      <c r="Q63" s="91"/>
      <c r="R63" s="91"/>
    </row>
    <row r="64" spans="1:23" ht="35" thickBot="1" x14ac:dyDescent="0.35">
      <c r="A64" s="196"/>
      <c r="B64" s="383"/>
      <c r="C64" s="384"/>
      <c r="D64" s="375"/>
      <c r="E64" s="375"/>
      <c r="F64" s="375"/>
      <c r="G64" s="123"/>
      <c r="N64" s="134"/>
      <c r="O64" s="98"/>
      <c r="P64" s="124"/>
      <c r="Q64" s="92"/>
      <c r="R64" s="92"/>
      <c r="S64" s="96"/>
      <c r="T64" s="382"/>
      <c r="U64" s="91"/>
    </row>
    <row r="65" spans="1:23" ht="24" customHeight="1" thickBot="1" x14ac:dyDescent="0.35">
      <c r="B65" s="101" t="s">
        <v>6</v>
      </c>
      <c r="C65" s="272" t="s">
        <v>7</v>
      </c>
      <c r="H65" s="123"/>
      <c r="O65" s="137"/>
      <c r="P65" s="91"/>
      <c r="Q65" s="98"/>
      <c r="R65" s="91"/>
      <c r="S65" s="91"/>
      <c r="T65" s="91"/>
      <c r="U65" s="91"/>
      <c r="V65" s="92"/>
    </row>
    <row r="66" spans="1:23" ht="24" x14ac:dyDescent="0.3">
      <c r="B66" s="102" t="s">
        <v>8</v>
      </c>
      <c r="C66" s="273" t="s">
        <v>9</v>
      </c>
      <c r="D66" s="377"/>
      <c r="E66" s="377"/>
      <c r="F66" s="377"/>
      <c r="I66" s="480" t="s">
        <v>450</v>
      </c>
      <c r="J66" s="483">
        <f>SUMIF(B5:B54,"M*",I5:I54)+SUMIF(B5:B54,"M*",J5:J54)+SUMIF(B5:B54,"M*",K5:K54)+SUMIF(B5:B54,"M*",L5:L54)+SUMIF(B5:B54,"M*",M5:M54)+SUMIF(B5:B54,"M*",N5:N54)+SUMIF(B5:B54,"M*",O5:O54)+SUMIF(B5:B54,"M*",P5:P54)+SUMIF(B5:B54,"M*",Q5:Q54)+SUMIF(B5:B54,"M*",R5:R54)+SUMIF(B5:B54,"M*",S5:S54)+SUMIF(B5:B54,"M*",T5:T54)</f>
        <v>22333.326666666668</v>
      </c>
      <c r="K66" s="483">
        <f>SUMIF(B5:B54,"C*",J5:J54)+SUMIF(B5:B54,"C*",K5:K54)+SUMIF(B5:B54,"C*",L5:L54)+SUMIF(B5:B54,"C*",M5:M54)+SUMIF(B5:B54,"C*",N5:N54)+SUMIF(B5:B54,"C*",O5:O54)+SUMIF(B5:B54,"C*",P5:P54)+SUMIF(B5:B54,"C*",Q5:Q54)+SUMIF(B5:B54,"C*",R5:R54)+SUMIF(B5:B54,"C*",S5:S54)+SUMIF(B5:B54,"C*",T5:T54)+SUMIF(B5:B54,"C*",I5:I54)</f>
        <v>68549.77</v>
      </c>
      <c r="L66" s="474" t="s">
        <v>451</v>
      </c>
      <c r="M66" s="477">
        <f>J66/K66</f>
        <v>0.32579725164164181</v>
      </c>
      <c r="O66" s="136"/>
      <c r="P66" s="91"/>
      <c r="Q66" s="98"/>
      <c r="R66" s="91"/>
      <c r="S66" s="91"/>
      <c r="T66" s="91"/>
      <c r="U66" s="91"/>
      <c r="V66" s="92"/>
      <c r="W66" s="2"/>
    </row>
    <row r="67" spans="1:23" ht="44" x14ac:dyDescent="0.3">
      <c r="B67" s="105" t="s">
        <v>449</v>
      </c>
      <c r="C67" s="381" t="s">
        <v>10</v>
      </c>
      <c r="D67" s="377"/>
      <c r="E67" s="377"/>
      <c r="F67" s="377"/>
      <c r="I67" s="481"/>
      <c r="J67" s="484"/>
      <c r="K67" s="484"/>
      <c r="L67" s="475"/>
      <c r="M67" s="478"/>
      <c r="O67" s="136"/>
      <c r="P67" s="133"/>
      <c r="Q67" s="144"/>
      <c r="R67" s="141"/>
      <c r="S67" s="91"/>
      <c r="T67" s="91"/>
      <c r="U67" s="91"/>
      <c r="V67" s="92"/>
      <c r="W67" s="2"/>
    </row>
    <row r="68" spans="1:23" ht="25" thickBot="1" x14ac:dyDescent="0.35">
      <c r="B68" s="129" t="s">
        <v>94</v>
      </c>
      <c r="C68" s="274" t="s">
        <v>92</v>
      </c>
      <c r="D68" s="377"/>
      <c r="E68" s="377"/>
      <c r="F68" s="377"/>
      <c r="H68" s="92"/>
      <c r="I68" s="482"/>
      <c r="J68" s="485"/>
      <c r="K68" s="485"/>
      <c r="L68" s="476"/>
      <c r="M68" s="479"/>
      <c r="O68" s="136"/>
      <c r="P68" s="91"/>
      <c r="Q68" s="98"/>
      <c r="R68" s="91"/>
      <c r="S68" s="91"/>
      <c r="T68" s="91"/>
      <c r="U68" s="91"/>
      <c r="V68" s="92"/>
      <c r="W68" s="2"/>
    </row>
    <row r="69" spans="1:23" ht="59" customHeight="1" x14ac:dyDescent="0.3">
      <c r="B69" s="2"/>
      <c r="C69" s="126"/>
      <c r="D69" s="95"/>
      <c r="E69" s="378"/>
      <c r="F69" s="378"/>
      <c r="O69" s="136"/>
      <c r="P69" s="91"/>
      <c r="Q69" s="98"/>
      <c r="R69" s="91"/>
      <c r="S69" s="91"/>
      <c r="T69" s="91"/>
      <c r="U69" s="141"/>
      <c r="V69" s="92"/>
      <c r="W69" s="2"/>
    </row>
    <row r="70" spans="1:23" ht="23.25" customHeight="1" x14ac:dyDescent="0.3">
      <c r="C70" s="376"/>
      <c r="D70" s="239"/>
      <c r="E70" s="378"/>
      <c r="F70" s="378"/>
      <c r="M70" s="127"/>
      <c r="O70" s="136"/>
      <c r="P70" s="91"/>
      <c r="Q70" s="98"/>
      <c r="R70" s="91"/>
      <c r="S70" s="91"/>
      <c r="T70" s="91"/>
      <c r="U70" s="141"/>
      <c r="V70" s="92"/>
      <c r="W70" s="2"/>
    </row>
    <row r="71" spans="1:23" ht="23" x14ac:dyDescent="0.25">
      <c r="B71" s="126"/>
      <c r="F71" s="196"/>
      <c r="O71" s="137"/>
      <c r="P71" s="92"/>
      <c r="Q71" s="124"/>
      <c r="R71" s="92"/>
      <c r="S71" s="92"/>
      <c r="T71" s="91"/>
      <c r="U71" s="91"/>
      <c r="V71" s="91"/>
      <c r="W71" s="2"/>
    </row>
    <row r="72" spans="1:23" ht="23" x14ac:dyDescent="0.25">
      <c r="D72" s="379"/>
      <c r="E72" s="270"/>
      <c r="F72" s="270"/>
      <c r="I72" s="134"/>
      <c r="J72" s="137"/>
      <c r="K72" s="137"/>
      <c r="L72" s="137"/>
      <c r="M72" s="137"/>
      <c r="N72" s="137"/>
      <c r="O72" s="136"/>
      <c r="P72" s="92"/>
      <c r="Q72" s="124"/>
      <c r="R72" s="92"/>
      <c r="S72" s="92"/>
      <c r="T72" s="92"/>
      <c r="U72" s="91"/>
      <c r="V72" s="91"/>
      <c r="W72" s="2"/>
    </row>
    <row r="73" spans="1:23" ht="23" x14ac:dyDescent="0.25">
      <c r="D73" s="103"/>
      <c r="E73" s="104"/>
      <c r="F73" s="104"/>
      <c r="I73" s="134"/>
      <c r="J73" s="137"/>
      <c r="K73" s="137"/>
      <c r="L73" s="137"/>
      <c r="M73" s="137"/>
      <c r="N73" s="137"/>
      <c r="O73" s="136"/>
      <c r="P73" s="92"/>
      <c r="Q73" s="124"/>
      <c r="R73" s="92"/>
      <c r="S73" s="92"/>
      <c r="T73" s="92"/>
      <c r="U73" s="91"/>
      <c r="V73" s="91"/>
      <c r="W73" s="2"/>
    </row>
    <row r="74" spans="1:23" ht="24" x14ac:dyDescent="0.25">
      <c r="D74" s="106"/>
      <c r="E74" s="107"/>
      <c r="F74" s="107"/>
      <c r="G74" s="107"/>
      <c r="I74" s="97"/>
      <c r="J74" s="136"/>
      <c r="K74" s="136"/>
      <c r="L74" s="136"/>
      <c r="M74" s="136"/>
      <c r="N74" s="136"/>
      <c r="O74" s="257"/>
      <c r="P74" s="92"/>
      <c r="Q74" s="124"/>
      <c r="R74" s="92"/>
      <c r="S74" s="92"/>
      <c r="T74" s="92"/>
      <c r="U74" s="91"/>
      <c r="V74" s="91"/>
      <c r="W74" s="2"/>
    </row>
    <row r="75" spans="1:23" ht="23" x14ac:dyDescent="0.25">
      <c r="D75" s="380"/>
      <c r="E75" s="271"/>
      <c r="F75" s="271"/>
      <c r="G75" s="271"/>
      <c r="I75" s="134"/>
      <c r="J75" s="136"/>
      <c r="K75" s="137"/>
      <c r="L75" s="137"/>
      <c r="M75" s="137"/>
      <c r="N75" s="136"/>
      <c r="O75" s="136"/>
      <c r="P75" s="92"/>
      <c r="Q75" s="124"/>
      <c r="R75" s="92"/>
      <c r="S75" s="92"/>
      <c r="T75" s="92"/>
      <c r="U75" s="91"/>
      <c r="V75" s="91"/>
      <c r="W75" s="2"/>
    </row>
    <row r="76" spans="1:23" ht="24" x14ac:dyDescent="0.3">
      <c r="D76" s="126"/>
      <c r="I76" s="134"/>
      <c r="J76" s="136"/>
      <c r="K76" s="137"/>
      <c r="L76" s="138"/>
      <c r="M76" s="137"/>
      <c r="N76" s="136"/>
      <c r="O76" s="136"/>
      <c r="P76" s="91"/>
      <c r="Q76" s="98"/>
      <c r="R76" s="91"/>
      <c r="S76" s="91"/>
      <c r="T76" s="91"/>
      <c r="U76" s="91"/>
      <c r="V76" s="91"/>
      <c r="W76" s="2"/>
    </row>
    <row r="77" spans="1:23" ht="24" x14ac:dyDescent="0.3">
      <c r="B77" s="126"/>
      <c r="I77" s="132"/>
      <c r="J77" s="91"/>
      <c r="K77" s="91"/>
      <c r="L77" s="91"/>
      <c r="M77" s="91"/>
      <c r="N77" s="91"/>
      <c r="O77" s="91"/>
      <c r="P77" s="91"/>
      <c r="Q77" s="98"/>
      <c r="R77" s="91"/>
      <c r="S77" s="91"/>
      <c r="T77" s="91"/>
      <c r="U77" s="91"/>
      <c r="V77" s="91"/>
      <c r="W77" s="2"/>
    </row>
    <row r="78" spans="1:23" ht="20" x14ac:dyDescent="0.2">
      <c r="A78" s="140"/>
      <c r="B78" s="135"/>
      <c r="C78" s="135"/>
      <c r="D78" s="135"/>
      <c r="E78" s="139"/>
      <c r="F78" s="139"/>
      <c r="G78" s="139"/>
      <c r="H78" s="137"/>
      <c r="I78" s="13"/>
      <c r="J78" s="2"/>
      <c r="K78" s="14"/>
      <c r="L78" s="14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ht="20" x14ac:dyDescent="0.2">
      <c r="A79" s="140"/>
      <c r="B79" s="138"/>
      <c r="C79" s="137"/>
      <c r="D79" s="137"/>
      <c r="E79" s="139"/>
      <c r="F79" s="139"/>
      <c r="G79" s="139"/>
      <c r="H79" s="137"/>
      <c r="I79" s="13"/>
      <c r="J79" s="2"/>
      <c r="K79" s="14"/>
      <c r="L79" s="14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ht="20" x14ac:dyDescent="0.2">
      <c r="A80" s="137"/>
      <c r="B80" s="137"/>
      <c r="C80" s="137"/>
      <c r="D80" s="137"/>
      <c r="E80" s="137"/>
      <c r="F80" s="137"/>
      <c r="G80" s="137"/>
      <c r="H80" s="137"/>
      <c r="I80" s="13"/>
      <c r="J80" s="2"/>
      <c r="K80" s="14"/>
      <c r="L80" s="14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2">
      <c r="A81" s="2"/>
      <c r="B81" s="11"/>
      <c r="C81" s="2"/>
      <c r="D81" s="2"/>
      <c r="E81" s="12"/>
      <c r="F81" s="12"/>
      <c r="G81" s="12"/>
      <c r="H81" s="12"/>
      <c r="I81" s="13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2">
      <c r="A82" s="2"/>
      <c r="B82" s="11"/>
      <c r="C82" s="2"/>
      <c r="D82" s="2"/>
      <c r="E82" s="12"/>
      <c r="F82" s="12"/>
      <c r="G82" s="12"/>
      <c r="H82" s="12"/>
      <c r="I82" s="13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2">
      <c r="A83" s="2"/>
      <c r="B83" s="11"/>
      <c r="C83" s="6"/>
      <c r="D83" s="6"/>
      <c r="E83" s="12"/>
      <c r="F83" s="12"/>
      <c r="G83" s="12"/>
      <c r="H83" s="12"/>
      <c r="I83" s="13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</sheetData>
  <mergeCells count="14">
    <mergeCell ref="B58:B59"/>
    <mergeCell ref="C58:H59"/>
    <mergeCell ref="I58:N59"/>
    <mergeCell ref="O58:T59"/>
    <mergeCell ref="U3:V3"/>
    <mergeCell ref="B56:B57"/>
    <mergeCell ref="C56:H57"/>
    <mergeCell ref="I56:N57"/>
    <mergeCell ref="O56:T57"/>
    <mergeCell ref="L66:L68"/>
    <mergeCell ref="M66:M68"/>
    <mergeCell ref="I66:I68"/>
    <mergeCell ref="J66:J68"/>
    <mergeCell ref="K66:K68"/>
  </mergeCells>
  <phoneticPr fontId="128" type="noConversion"/>
  <conditionalFormatting sqref="B5:B54">
    <cfRule type="containsText" dxfId="6" priority="6" stopIfTrue="1" operator="containsText" text="M">
      <formula>NOT(ISERROR(SEARCH("M",B5)))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361B60C-8799-204F-A74C-AFBC99BA4D1E}">
            <xm:f>('facturation 24-25'!$C$5+$O$58)&lt;$B$63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F04E-051D-4E3A-904C-1817C683B110}">
  <sheetPr codeName="Feuil2">
    <tabColor rgb="FF92D050"/>
    <pageSetUpPr fitToPage="1"/>
  </sheetPr>
  <dimension ref="A1:M982"/>
  <sheetViews>
    <sheetView tabSelected="1" zoomScaleNormal="100" workbookViewId="0">
      <pane ySplit="9" topLeftCell="A69" activePane="bottomLeft" state="frozen"/>
      <selection pane="bottomLeft" activeCell="H5" sqref="H5:H6"/>
    </sheetView>
  </sheetViews>
  <sheetFormatPr baseColWidth="10" defaultColWidth="10.140625" defaultRowHeight="15" customHeight="1" x14ac:dyDescent="0.2"/>
  <cols>
    <col min="1" max="1" width="17.42578125" style="287" customWidth="1"/>
    <col min="2" max="2" width="22.42578125" customWidth="1"/>
    <col min="3" max="3" width="37.7109375" bestFit="1" customWidth="1"/>
    <col min="4" max="4" width="22.42578125" bestFit="1" customWidth="1"/>
    <col min="5" max="5" width="22.140625" bestFit="1" customWidth="1"/>
    <col min="6" max="6" width="21.140625" customWidth="1"/>
    <col min="7" max="7" width="9.5703125" bestFit="1" customWidth="1"/>
    <col min="8" max="8" width="22.42578125" bestFit="1" customWidth="1"/>
    <col min="9" max="9" width="12.7109375" bestFit="1" customWidth="1"/>
  </cols>
  <sheetData>
    <row r="1" spans="1:13" s="124" customFormat="1" ht="25" customHeight="1" thickBot="1" x14ac:dyDescent="0.3">
      <c r="A1" s="514" t="s">
        <v>550</v>
      </c>
      <c r="B1" s="305" t="s">
        <v>547</v>
      </c>
      <c r="C1" s="318">
        <f>SUM(D10:D57)</f>
        <v>44641.42</v>
      </c>
      <c r="D1" s="517" t="s">
        <v>549</v>
      </c>
      <c r="E1" s="306" t="s">
        <v>830</v>
      </c>
      <c r="F1" s="307">
        <f>44011.29+'facturation 24-25'!C1</f>
        <v>88652.709999999992</v>
      </c>
      <c r="G1" s="284"/>
      <c r="H1" s="541"/>
    </row>
    <row r="2" spans="1:13" s="124" customFormat="1" ht="25" thickBot="1" x14ac:dyDescent="0.35">
      <c r="A2" s="515"/>
      <c r="B2" s="309" t="s">
        <v>548</v>
      </c>
      <c r="C2" s="319">
        <f>SUM(D58:D100)</f>
        <v>48979.990000000005</v>
      </c>
      <c r="D2" s="518"/>
      <c r="E2" s="310"/>
      <c r="F2" s="144"/>
      <c r="G2" s="98"/>
    </row>
    <row r="3" spans="1:13" s="124" customFormat="1" ht="25" thickBot="1" x14ac:dyDescent="0.3">
      <c r="A3" s="515"/>
      <c r="B3" s="322" t="s">
        <v>95</v>
      </c>
      <c r="C3" s="323">
        <v>0</v>
      </c>
      <c r="D3" s="518"/>
      <c r="E3" s="311" t="s">
        <v>448</v>
      </c>
      <c r="F3" s="312">
        <f>D17+D19+D20+D21+D22+D23+D31+D32+D33+D34+D36+D41+D44+D45+D47+D48+D51+D56+D57</f>
        <v>11666.650000000001</v>
      </c>
      <c r="G3" s="313">
        <f>F3/F1</f>
        <v>0.13159947394727134</v>
      </c>
    </row>
    <row r="4" spans="1:13" s="124" customFormat="1" ht="25" thickBot="1" x14ac:dyDescent="0.35">
      <c r="A4" s="515"/>
      <c r="B4" s="98"/>
      <c r="C4" s="291"/>
      <c r="D4" s="518"/>
      <c r="E4" s="314"/>
      <c r="F4" s="284"/>
      <c r="G4" s="284"/>
    </row>
    <row r="5" spans="1:13" s="124" customFormat="1" ht="32" thickBot="1" x14ac:dyDescent="0.3">
      <c r="A5" s="516"/>
      <c r="B5" s="315" t="s">
        <v>788</v>
      </c>
      <c r="C5" s="320">
        <f>C1+C2+C3</f>
        <v>93621.41</v>
      </c>
      <c r="D5" s="518"/>
      <c r="E5" s="306" t="s">
        <v>831</v>
      </c>
      <c r="F5" s="307">
        <f>SUM(D58:D105)</f>
        <v>48979.990000000005</v>
      </c>
      <c r="G5" s="284"/>
      <c r="H5" s="540"/>
    </row>
    <row r="6" spans="1:13" s="124" customFormat="1" ht="25" thickBot="1" x14ac:dyDescent="0.35">
      <c r="A6" s="308"/>
      <c r="B6" s="98"/>
      <c r="C6" s="321"/>
      <c r="D6" s="518"/>
      <c r="E6" s="314"/>
      <c r="F6" s="284"/>
      <c r="G6" s="284"/>
      <c r="H6" s="540"/>
    </row>
    <row r="7" spans="1:13" s="124" customFormat="1" ht="25" thickBot="1" x14ac:dyDescent="0.3">
      <c r="A7" s="292"/>
      <c r="B7" s="292"/>
      <c r="C7" s="292"/>
      <c r="D7" s="519"/>
      <c r="E7" s="311" t="s">
        <v>501</v>
      </c>
      <c r="F7" s="312">
        <f>D61+D58+D64+D71+D72+D74+D79+D80+D81+D86+D87+D89</f>
        <v>7666.65</v>
      </c>
      <c r="G7" s="313">
        <f>F7/F5</f>
        <v>0.15652616507271641</v>
      </c>
    </row>
    <row r="8" spans="1:13" ht="31" x14ac:dyDescent="0.35">
      <c r="A8" s="520" t="s">
        <v>115</v>
      </c>
      <c r="B8" s="521"/>
      <c r="C8" s="521"/>
      <c r="D8" s="316" t="s">
        <v>0</v>
      </c>
      <c r="E8" s="316" t="s">
        <v>1</v>
      </c>
      <c r="F8" s="317" t="s">
        <v>2</v>
      </c>
      <c r="G8" s="277">
        <v>0.1</v>
      </c>
      <c r="H8" s="2"/>
    </row>
    <row r="9" spans="1:13" ht="30" customHeight="1" thickBot="1" x14ac:dyDescent="0.4">
      <c r="A9" s="522" t="s">
        <v>114</v>
      </c>
      <c r="B9" s="523"/>
      <c r="C9" s="523"/>
      <c r="D9" s="523"/>
      <c r="E9" s="523"/>
      <c r="F9" s="524"/>
      <c r="G9" s="277">
        <v>0.2</v>
      </c>
      <c r="H9" s="3"/>
      <c r="I9" s="3"/>
      <c r="J9" s="3"/>
      <c r="K9" s="3"/>
      <c r="L9" s="3"/>
      <c r="M9" s="3"/>
    </row>
    <row r="10" spans="1:13" ht="20" customHeight="1" x14ac:dyDescent="0.25">
      <c r="A10" s="285">
        <v>45482</v>
      </c>
      <c r="B10" s="278" t="s">
        <v>118</v>
      </c>
      <c r="C10" s="279" t="s">
        <v>117</v>
      </c>
      <c r="D10" s="401">
        <v>200</v>
      </c>
      <c r="E10" s="280">
        <v>40</v>
      </c>
      <c r="F10" s="280">
        <v>240</v>
      </c>
      <c r="G10" s="288" t="s">
        <v>119</v>
      </c>
      <c r="H10" s="296"/>
      <c r="I10" s="3"/>
      <c r="J10" s="3"/>
      <c r="K10" s="3"/>
      <c r="L10" s="3"/>
      <c r="M10" s="3"/>
    </row>
    <row r="11" spans="1:13" ht="20" customHeight="1" x14ac:dyDescent="0.25">
      <c r="A11" s="285">
        <v>45495</v>
      </c>
      <c r="B11" s="278" t="s">
        <v>120</v>
      </c>
      <c r="C11" s="279" t="s">
        <v>79</v>
      </c>
      <c r="D11" s="401">
        <v>500</v>
      </c>
      <c r="E11" s="280">
        <v>50</v>
      </c>
      <c r="F11" s="280">
        <v>55</v>
      </c>
      <c r="G11" s="288"/>
      <c r="H11" s="297"/>
      <c r="I11" s="3"/>
      <c r="J11" s="3"/>
      <c r="K11" s="3"/>
      <c r="L11" s="3"/>
      <c r="M11" s="3"/>
    </row>
    <row r="12" spans="1:13" ht="20" customHeight="1" x14ac:dyDescent="0.25">
      <c r="A12" s="285">
        <v>45495</v>
      </c>
      <c r="B12" s="278" t="s">
        <v>152</v>
      </c>
      <c r="C12" s="279" t="s">
        <v>79</v>
      </c>
      <c r="D12" s="280">
        <v>0</v>
      </c>
      <c r="E12" s="280">
        <v>-550</v>
      </c>
      <c r="F12" s="280">
        <v>-550</v>
      </c>
      <c r="G12" s="289"/>
      <c r="H12" s="296"/>
      <c r="I12" s="3"/>
      <c r="J12" s="3"/>
      <c r="K12" s="3"/>
      <c r="L12" s="3"/>
      <c r="M12" s="3"/>
    </row>
    <row r="13" spans="1:13" ht="20" customHeight="1" x14ac:dyDescent="0.25">
      <c r="A13" s="285">
        <v>45495</v>
      </c>
      <c r="B13" s="278" t="s">
        <v>121</v>
      </c>
      <c r="C13" s="279" t="s">
        <v>102</v>
      </c>
      <c r="D13" s="280">
        <v>1875.6</v>
      </c>
      <c r="E13" s="279">
        <v>187.56</v>
      </c>
      <c r="F13" s="279">
        <v>2063.16</v>
      </c>
      <c r="G13" s="290"/>
      <c r="H13" s="296"/>
      <c r="I13" s="3"/>
      <c r="J13" s="3"/>
      <c r="K13" s="3"/>
      <c r="L13" s="3"/>
      <c r="M13" s="3"/>
    </row>
    <row r="14" spans="1:13" ht="20" customHeight="1" x14ac:dyDescent="0.25">
      <c r="A14" s="285">
        <v>45495</v>
      </c>
      <c r="B14" s="278" t="s">
        <v>122</v>
      </c>
      <c r="C14" s="279" t="s">
        <v>100</v>
      </c>
      <c r="D14" s="280">
        <v>600</v>
      </c>
      <c r="E14" s="279">
        <v>120</v>
      </c>
      <c r="F14" s="279">
        <v>720</v>
      </c>
      <c r="G14" s="288"/>
      <c r="H14" s="296"/>
      <c r="I14" s="3"/>
      <c r="J14" s="3"/>
      <c r="K14" s="3"/>
      <c r="L14" s="3"/>
      <c r="M14" s="3"/>
    </row>
    <row r="15" spans="1:13" ht="20" customHeight="1" x14ac:dyDescent="0.25">
      <c r="A15" s="285">
        <v>45498</v>
      </c>
      <c r="B15" s="278" t="s">
        <v>145</v>
      </c>
      <c r="C15" s="279" t="s">
        <v>100</v>
      </c>
      <c r="D15" s="280">
        <v>1200</v>
      </c>
      <c r="E15" s="280">
        <v>240</v>
      </c>
      <c r="F15" s="280">
        <v>1440</v>
      </c>
      <c r="G15" s="288"/>
      <c r="H15" s="296"/>
      <c r="I15" s="3"/>
      <c r="J15" s="3"/>
      <c r="K15" s="3"/>
      <c r="L15" s="3"/>
      <c r="M15" s="3"/>
    </row>
    <row r="16" spans="1:13" ht="20" customHeight="1" x14ac:dyDescent="0.25">
      <c r="A16" s="285">
        <v>45498</v>
      </c>
      <c r="B16" s="278" t="s">
        <v>146</v>
      </c>
      <c r="C16" s="279" t="s">
        <v>142</v>
      </c>
      <c r="D16" s="280">
        <v>1000</v>
      </c>
      <c r="E16" s="280">
        <v>200</v>
      </c>
      <c r="F16" s="280">
        <v>1200</v>
      </c>
      <c r="G16" s="288"/>
      <c r="H16" s="296"/>
      <c r="I16" s="3"/>
      <c r="J16" s="3"/>
      <c r="K16" s="3"/>
      <c r="L16" s="3"/>
      <c r="M16" s="3"/>
    </row>
    <row r="17" spans="1:13" ht="20" customHeight="1" x14ac:dyDescent="0.25">
      <c r="A17" s="285">
        <v>45498</v>
      </c>
      <c r="B17" s="278" t="s">
        <v>153</v>
      </c>
      <c r="C17" s="279" t="s">
        <v>137</v>
      </c>
      <c r="D17" s="280">
        <v>833.33</v>
      </c>
      <c r="E17" s="280">
        <f>F17-D17</f>
        <v>166.66999999999996</v>
      </c>
      <c r="F17" s="280">
        <v>1000</v>
      </c>
      <c r="G17" s="288"/>
      <c r="H17" s="296"/>
      <c r="J17" s="3"/>
      <c r="K17" s="3"/>
      <c r="L17" s="3"/>
      <c r="M17" s="3"/>
    </row>
    <row r="18" spans="1:13" ht="20" customHeight="1" x14ac:dyDescent="0.25">
      <c r="A18" s="285">
        <v>45526</v>
      </c>
      <c r="B18" s="278" t="s">
        <v>157</v>
      </c>
      <c r="C18" s="279" t="s">
        <v>102</v>
      </c>
      <c r="D18" s="280">
        <v>0</v>
      </c>
      <c r="E18" s="279">
        <v>-533.25</v>
      </c>
      <c r="F18" s="279">
        <v>-533.25</v>
      </c>
      <c r="G18" s="288"/>
      <c r="H18" s="296"/>
      <c r="I18" s="3"/>
      <c r="J18" s="3"/>
      <c r="K18" s="3"/>
      <c r="L18" s="3"/>
      <c r="M18" s="3"/>
    </row>
    <row r="19" spans="1:13" ht="20" customHeight="1" x14ac:dyDescent="0.25">
      <c r="A19" s="285">
        <v>45527</v>
      </c>
      <c r="B19" s="278" t="s">
        <v>147</v>
      </c>
      <c r="C19" s="279" t="s">
        <v>150</v>
      </c>
      <c r="D19" s="280">
        <v>833.33</v>
      </c>
      <c r="E19" s="280">
        <f>F19-D19</f>
        <v>166.66999999999996</v>
      </c>
      <c r="F19" s="280">
        <v>1000</v>
      </c>
      <c r="G19" s="288"/>
      <c r="H19" s="298"/>
      <c r="J19" s="3"/>
      <c r="K19" s="3"/>
      <c r="L19" s="3"/>
      <c r="M19" s="3"/>
    </row>
    <row r="20" spans="1:13" ht="20" customHeight="1" x14ac:dyDescent="0.25">
      <c r="A20" s="285">
        <v>45527</v>
      </c>
      <c r="B20" s="278" t="s">
        <v>148</v>
      </c>
      <c r="C20" s="279" t="s">
        <v>151</v>
      </c>
      <c r="D20" s="280">
        <v>833.33</v>
      </c>
      <c r="E20" s="280">
        <f>F20-D20</f>
        <v>166.66999999999996</v>
      </c>
      <c r="F20" s="280">
        <v>1000</v>
      </c>
      <c r="G20" s="288"/>
      <c r="H20" s="298"/>
      <c r="I20" s="3"/>
      <c r="J20" s="3"/>
      <c r="K20" s="3"/>
      <c r="L20" s="3"/>
      <c r="M20" s="3"/>
    </row>
    <row r="21" spans="1:13" ht="20" customHeight="1" x14ac:dyDescent="0.25">
      <c r="A21" s="285">
        <v>45531</v>
      </c>
      <c r="B21" s="278" t="s">
        <v>149</v>
      </c>
      <c r="C21" s="279" t="s">
        <v>154</v>
      </c>
      <c r="D21" s="280">
        <v>833.33</v>
      </c>
      <c r="E21" s="280">
        <f>F21-D21</f>
        <v>166.66999999999996</v>
      </c>
      <c r="F21" s="280">
        <v>1000</v>
      </c>
      <c r="G21" s="288"/>
      <c r="H21" s="298"/>
      <c r="I21" s="3"/>
      <c r="J21" s="3"/>
      <c r="K21" s="3"/>
      <c r="L21" s="3"/>
      <c r="M21" s="3"/>
    </row>
    <row r="22" spans="1:13" ht="20" customHeight="1" x14ac:dyDescent="0.25">
      <c r="A22" s="285">
        <v>45531</v>
      </c>
      <c r="B22" s="278" t="s">
        <v>156</v>
      </c>
      <c r="C22" s="279" t="s">
        <v>154</v>
      </c>
      <c r="D22" s="280">
        <v>-833.33</v>
      </c>
      <c r="E22" s="280">
        <f>F22-D22</f>
        <v>-166.66999999999996</v>
      </c>
      <c r="F22" s="280">
        <v>-1000</v>
      </c>
      <c r="G22" s="288"/>
      <c r="H22" s="196"/>
      <c r="I22" s="3"/>
      <c r="J22" s="3"/>
      <c r="K22" s="3"/>
      <c r="L22" s="3"/>
      <c r="M22" s="3"/>
    </row>
    <row r="23" spans="1:13" ht="20" customHeight="1" x14ac:dyDescent="0.25">
      <c r="A23" s="285">
        <v>45531</v>
      </c>
      <c r="B23" s="278" t="s">
        <v>155</v>
      </c>
      <c r="C23" s="279" t="s">
        <v>154</v>
      </c>
      <c r="D23" s="280">
        <v>833.33</v>
      </c>
      <c r="E23" s="280">
        <f>F23-D23</f>
        <v>166.66999999999996</v>
      </c>
      <c r="F23" s="280">
        <v>1000</v>
      </c>
      <c r="G23" s="288"/>
      <c r="H23" s="196"/>
      <c r="I23" s="3"/>
      <c r="J23" s="3"/>
      <c r="K23" s="3"/>
      <c r="L23" s="3"/>
      <c r="M23" s="3"/>
    </row>
    <row r="24" spans="1:13" ht="20" customHeight="1" x14ac:dyDescent="0.25">
      <c r="A24" s="285">
        <v>45534</v>
      </c>
      <c r="B24" s="278" t="s">
        <v>172</v>
      </c>
      <c r="C24" s="279" t="s">
        <v>142</v>
      </c>
      <c r="D24" s="280">
        <v>1000</v>
      </c>
      <c r="E24" s="280">
        <v>200</v>
      </c>
      <c r="F24" s="280">
        <v>1200</v>
      </c>
      <c r="G24" s="288"/>
      <c r="H24" s="196"/>
      <c r="I24" s="3"/>
      <c r="J24" s="3"/>
      <c r="K24" s="3"/>
      <c r="L24" s="3"/>
      <c r="M24" s="3"/>
    </row>
    <row r="25" spans="1:13" ht="20" customHeight="1" x14ac:dyDescent="0.25">
      <c r="A25" s="285">
        <v>45534</v>
      </c>
      <c r="B25" s="278" t="s">
        <v>173</v>
      </c>
      <c r="C25" s="279" t="s">
        <v>113</v>
      </c>
      <c r="D25" s="280">
        <v>1350</v>
      </c>
      <c r="E25" s="280">
        <v>270</v>
      </c>
      <c r="F25" s="280">
        <f>SUM(D25:E25)</f>
        <v>1620</v>
      </c>
      <c r="G25" s="288"/>
      <c r="H25" s="299"/>
      <c r="I25" s="3"/>
      <c r="J25" s="3"/>
      <c r="K25" s="3"/>
      <c r="L25" s="3"/>
      <c r="M25" s="3"/>
    </row>
    <row r="26" spans="1:13" ht="20" customHeight="1" x14ac:dyDescent="0.2">
      <c r="A26" s="285">
        <v>45534</v>
      </c>
      <c r="B26" s="278" t="s">
        <v>177</v>
      </c>
      <c r="C26" s="279" t="s">
        <v>113</v>
      </c>
      <c r="D26" s="280">
        <v>-360</v>
      </c>
      <c r="E26" s="280">
        <v>-72</v>
      </c>
      <c r="F26" s="280">
        <f>SUM(D26:E26)</f>
        <v>-432</v>
      </c>
      <c r="G26" s="288"/>
      <c r="H26" s="196"/>
      <c r="I26" s="2"/>
      <c r="J26" s="2"/>
      <c r="K26" s="2"/>
      <c r="L26" s="2"/>
      <c r="M26" s="2"/>
    </row>
    <row r="27" spans="1:13" ht="20" customHeight="1" x14ac:dyDescent="0.2">
      <c r="A27" s="285">
        <v>45534</v>
      </c>
      <c r="B27" s="278" t="s">
        <v>174</v>
      </c>
      <c r="C27" s="279" t="s">
        <v>135</v>
      </c>
      <c r="D27" s="280">
        <v>945</v>
      </c>
      <c r="E27" s="280">
        <v>189</v>
      </c>
      <c r="F27" s="280">
        <f>SUM(D27:E27)</f>
        <v>1134</v>
      </c>
      <c r="G27" s="291"/>
      <c r="H27" s="298"/>
      <c r="I27" s="2"/>
      <c r="J27" s="2"/>
      <c r="K27" s="2"/>
      <c r="L27" s="2"/>
      <c r="M27" s="2"/>
    </row>
    <row r="28" spans="1:13" ht="20" customHeight="1" x14ac:dyDescent="0.2">
      <c r="A28" s="285">
        <v>45534</v>
      </c>
      <c r="B28" s="278" t="s">
        <v>175</v>
      </c>
      <c r="C28" s="279" t="s">
        <v>176</v>
      </c>
      <c r="D28" s="280">
        <v>230</v>
      </c>
      <c r="E28" s="280">
        <v>46</v>
      </c>
      <c r="F28" s="280">
        <f>SUM(D28:E28)</f>
        <v>276</v>
      </c>
      <c r="G28" s="291"/>
      <c r="H28" s="298"/>
      <c r="I28" s="2"/>
      <c r="J28" s="2"/>
      <c r="K28" s="2"/>
      <c r="L28" s="2"/>
      <c r="M28" s="2"/>
    </row>
    <row r="29" spans="1:13" ht="20" customHeight="1" x14ac:dyDescent="0.2">
      <c r="A29" s="285">
        <v>45561</v>
      </c>
      <c r="B29" s="278" t="s">
        <v>178</v>
      </c>
      <c r="C29" s="279" t="s">
        <v>109</v>
      </c>
      <c r="D29" s="280">
        <v>1620</v>
      </c>
      <c r="E29" s="280">
        <f>D29*20%</f>
        <v>324</v>
      </c>
      <c r="F29" s="280">
        <v>1944</v>
      </c>
      <c r="G29" s="291"/>
      <c r="H29" s="298"/>
      <c r="I29" s="2"/>
      <c r="J29" s="2"/>
      <c r="K29" s="2"/>
      <c r="L29" s="2"/>
      <c r="M29" s="2"/>
    </row>
    <row r="30" spans="1:13" ht="20" customHeight="1" x14ac:dyDescent="0.2">
      <c r="A30" s="285">
        <v>45561</v>
      </c>
      <c r="B30" s="278" t="s">
        <v>179</v>
      </c>
      <c r="C30" s="279" t="s">
        <v>113</v>
      </c>
      <c r="D30" s="280">
        <v>540</v>
      </c>
      <c r="E30" s="280">
        <f>D30*20%</f>
        <v>108</v>
      </c>
      <c r="F30" s="280">
        <f>D30+E30</f>
        <v>648</v>
      </c>
      <c r="G30" s="291"/>
      <c r="H30" s="298"/>
      <c r="I30" s="2"/>
      <c r="J30" s="2"/>
      <c r="K30" s="2"/>
      <c r="L30" s="2"/>
      <c r="M30" s="2"/>
    </row>
    <row r="31" spans="1:13" ht="20" customHeight="1" x14ac:dyDescent="0.25">
      <c r="A31" s="285">
        <v>45589</v>
      </c>
      <c r="B31" s="278" t="s">
        <v>192</v>
      </c>
      <c r="C31" s="279" t="s">
        <v>197</v>
      </c>
      <c r="D31" s="280">
        <v>833.33</v>
      </c>
      <c r="E31" s="280">
        <f t="shared" ref="E31:E65" si="0">D31*20%</f>
        <v>166.66600000000003</v>
      </c>
      <c r="F31" s="280">
        <f t="shared" ref="F31:F68" si="1">D31+E31</f>
        <v>999.99600000000009</v>
      </c>
      <c r="G31" s="292"/>
      <c r="H31" s="298"/>
      <c r="I31" s="2"/>
      <c r="J31" s="2"/>
      <c r="K31" s="2"/>
      <c r="L31" s="2"/>
      <c r="M31" s="2"/>
    </row>
    <row r="32" spans="1:13" ht="20" customHeight="1" x14ac:dyDescent="0.2">
      <c r="A32" s="285">
        <v>45589</v>
      </c>
      <c r="B32" s="278" t="s">
        <v>193</v>
      </c>
      <c r="C32" s="279" t="s">
        <v>198</v>
      </c>
      <c r="D32" s="280">
        <v>833.33</v>
      </c>
      <c r="E32" s="280">
        <f t="shared" si="0"/>
        <v>166.66600000000003</v>
      </c>
      <c r="F32" s="280">
        <f t="shared" ref="F32" si="2">D32+E32</f>
        <v>999.99600000000009</v>
      </c>
      <c r="G32" s="288"/>
      <c r="H32" s="298"/>
      <c r="I32" s="2"/>
      <c r="J32" s="2"/>
      <c r="K32" s="2"/>
      <c r="L32" s="2"/>
      <c r="M32" s="2"/>
    </row>
    <row r="33" spans="1:13" ht="20" customHeight="1" x14ac:dyDescent="0.2">
      <c r="A33" s="285">
        <v>541</v>
      </c>
      <c r="B33" s="278" t="s">
        <v>194</v>
      </c>
      <c r="C33" s="279" t="s">
        <v>199</v>
      </c>
      <c r="D33" s="280">
        <v>833.33</v>
      </c>
      <c r="E33" s="280">
        <f t="shared" si="0"/>
        <v>166.66600000000003</v>
      </c>
      <c r="F33" s="280">
        <f t="shared" si="1"/>
        <v>999.99600000000009</v>
      </c>
      <c r="G33" s="288"/>
      <c r="H33" s="298"/>
      <c r="I33" s="2"/>
      <c r="J33" s="2"/>
      <c r="K33" s="2"/>
      <c r="L33" s="2"/>
      <c r="M33" s="2"/>
    </row>
    <row r="34" spans="1:13" ht="20" customHeight="1" x14ac:dyDescent="0.2">
      <c r="A34" s="285">
        <v>45594</v>
      </c>
      <c r="B34" s="278" t="s">
        <v>195</v>
      </c>
      <c r="C34" s="279" t="s">
        <v>80</v>
      </c>
      <c r="D34" s="280">
        <v>833.33</v>
      </c>
      <c r="E34" s="280">
        <f t="shared" si="0"/>
        <v>166.66600000000003</v>
      </c>
      <c r="F34" s="280">
        <f t="shared" si="1"/>
        <v>999.99600000000009</v>
      </c>
      <c r="G34" s="288"/>
      <c r="H34" s="298"/>
      <c r="I34" s="2"/>
      <c r="J34" s="2"/>
      <c r="K34" s="2"/>
      <c r="L34" s="2"/>
      <c r="M34" s="2"/>
    </row>
    <row r="35" spans="1:13" ht="20" customHeight="1" x14ac:dyDescent="0.2">
      <c r="A35" s="285">
        <v>45594</v>
      </c>
      <c r="B35" s="278" t="s">
        <v>196</v>
      </c>
      <c r="C35" s="279" t="s">
        <v>200</v>
      </c>
      <c r="D35" s="280">
        <v>750</v>
      </c>
      <c r="E35" s="280">
        <f t="shared" si="0"/>
        <v>150</v>
      </c>
      <c r="F35" s="280">
        <f t="shared" si="1"/>
        <v>900</v>
      </c>
      <c r="G35" s="288"/>
      <c r="H35" s="298"/>
      <c r="I35" s="2"/>
      <c r="J35" s="2"/>
      <c r="K35" s="2"/>
      <c r="L35" s="2"/>
      <c r="M35" s="2"/>
    </row>
    <row r="36" spans="1:13" ht="20" customHeight="1" x14ac:dyDescent="0.2">
      <c r="A36" s="285">
        <v>45594</v>
      </c>
      <c r="B36" s="278" t="s">
        <v>201</v>
      </c>
      <c r="C36" s="279" t="s">
        <v>202</v>
      </c>
      <c r="D36" s="280">
        <v>833.33</v>
      </c>
      <c r="E36" s="280">
        <f t="shared" si="0"/>
        <v>166.66600000000003</v>
      </c>
      <c r="F36" s="280">
        <f t="shared" si="1"/>
        <v>999.99600000000009</v>
      </c>
      <c r="G36" s="288"/>
      <c r="H36" s="298"/>
      <c r="I36" s="2"/>
      <c r="J36" s="2"/>
      <c r="K36" s="2"/>
      <c r="L36" s="2"/>
      <c r="M36" s="2"/>
    </row>
    <row r="37" spans="1:13" ht="20" customHeight="1" x14ac:dyDescent="0.2">
      <c r="A37" s="285">
        <v>45595</v>
      </c>
      <c r="B37" s="278" t="s">
        <v>203</v>
      </c>
      <c r="C37" s="279" t="s">
        <v>98</v>
      </c>
      <c r="D37" s="280">
        <v>2160</v>
      </c>
      <c r="E37" s="280">
        <f t="shared" si="0"/>
        <v>432</v>
      </c>
      <c r="F37" s="280">
        <f t="shared" si="1"/>
        <v>2592</v>
      </c>
      <c r="G37" s="288"/>
      <c r="H37" s="298"/>
      <c r="I37" s="2"/>
      <c r="J37" s="2"/>
      <c r="K37" s="2"/>
      <c r="L37" s="2"/>
      <c r="M37" s="2"/>
    </row>
    <row r="38" spans="1:13" ht="20" customHeight="1" x14ac:dyDescent="0.2">
      <c r="A38" s="285">
        <v>45595</v>
      </c>
      <c r="B38" s="278" t="s">
        <v>204</v>
      </c>
      <c r="C38" s="279" t="s">
        <v>97</v>
      </c>
      <c r="D38" s="280">
        <v>4375</v>
      </c>
      <c r="E38" s="280">
        <f t="shared" si="0"/>
        <v>875</v>
      </c>
      <c r="F38" s="280">
        <f t="shared" si="1"/>
        <v>5250</v>
      </c>
      <c r="G38" s="293"/>
      <c r="H38" s="298"/>
      <c r="I38" s="2"/>
      <c r="J38" s="2"/>
      <c r="K38" s="2"/>
      <c r="L38" s="2"/>
      <c r="M38" s="2"/>
    </row>
    <row r="39" spans="1:13" ht="20" customHeight="1" x14ac:dyDescent="0.2">
      <c r="A39" s="285">
        <v>45595</v>
      </c>
      <c r="B39" s="278" t="s">
        <v>205</v>
      </c>
      <c r="C39" s="279" t="s">
        <v>207</v>
      </c>
      <c r="D39" s="280">
        <v>-750</v>
      </c>
      <c r="E39" s="280">
        <f t="shared" si="0"/>
        <v>-150</v>
      </c>
      <c r="F39" s="280">
        <f t="shared" si="1"/>
        <v>-900</v>
      </c>
      <c r="G39" s="293"/>
      <c r="H39" s="298"/>
      <c r="I39" s="2"/>
      <c r="J39" s="2"/>
      <c r="K39" s="2"/>
      <c r="L39" s="2"/>
      <c r="M39" s="2"/>
    </row>
    <row r="40" spans="1:13" ht="20" customHeight="1" x14ac:dyDescent="0.2">
      <c r="A40" s="285">
        <v>45595</v>
      </c>
      <c r="B40" s="278" t="s">
        <v>206</v>
      </c>
      <c r="C40" s="279" t="s">
        <v>200</v>
      </c>
      <c r="D40" s="280">
        <v>750</v>
      </c>
      <c r="E40" s="280">
        <f t="shared" si="0"/>
        <v>150</v>
      </c>
      <c r="F40" s="280">
        <f t="shared" si="1"/>
        <v>900</v>
      </c>
      <c r="G40" s="293"/>
      <c r="H40" s="298"/>
      <c r="I40" s="2"/>
      <c r="J40" s="2"/>
      <c r="K40" s="2"/>
      <c r="L40" s="2"/>
      <c r="M40" s="2"/>
    </row>
    <row r="41" spans="1:13" ht="20" customHeight="1" x14ac:dyDescent="0.2">
      <c r="A41" s="285">
        <v>45595</v>
      </c>
      <c r="B41" s="278" t="s">
        <v>208</v>
      </c>
      <c r="C41" s="279" t="s">
        <v>209</v>
      </c>
      <c r="D41" s="280">
        <v>833.33</v>
      </c>
      <c r="E41" s="280">
        <f t="shared" si="0"/>
        <v>166.66600000000003</v>
      </c>
      <c r="F41" s="280">
        <f t="shared" si="1"/>
        <v>999.99600000000009</v>
      </c>
      <c r="G41" s="293"/>
      <c r="H41" s="298"/>
      <c r="I41" s="2"/>
      <c r="J41" s="2"/>
      <c r="K41" s="2"/>
      <c r="L41" s="2"/>
      <c r="M41" s="2"/>
    </row>
    <row r="42" spans="1:13" ht="20" customHeight="1" x14ac:dyDescent="0.2">
      <c r="A42" s="285">
        <v>45601</v>
      </c>
      <c r="B42" s="278" t="s">
        <v>434</v>
      </c>
      <c r="C42" s="282" t="s">
        <v>103</v>
      </c>
      <c r="D42" s="283">
        <v>1200</v>
      </c>
      <c r="E42" s="283">
        <f t="shared" si="0"/>
        <v>240</v>
      </c>
      <c r="F42" s="283">
        <f t="shared" si="1"/>
        <v>1440</v>
      </c>
      <c r="G42" s="293"/>
      <c r="H42" s="298"/>
      <c r="I42" s="2"/>
      <c r="J42" s="2"/>
      <c r="K42" s="2"/>
      <c r="L42" s="2"/>
      <c r="M42" s="2"/>
    </row>
    <row r="43" spans="1:13" ht="20" customHeight="1" x14ac:dyDescent="0.2">
      <c r="A43" s="285">
        <v>45604</v>
      </c>
      <c r="B43" s="278" t="s">
        <v>212</v>
      </c>
      <c r="C43" s="279" t="s">
        <v>211</v>
      </c>
      <c r="D43" s="280">
        <v>6700</v>
      </c>
      <c r="E43" s="280">
        <f t="shared" si="0"/>
        <v>1340</v>
      </c>
      <c r="F43" s="280">
        <f t="shared" si="1"/>
        <v>8040</v>
      </c>
      <c r="G43" s="293"/>
      <c r="H43" s="298"/>
      <c r="I43" s="2"/>
      <c r="J43" s="2"/>
      <c r="K43" s="2"/>
      <c r="L43" s="2"/>
      <c r="M43" s="2"/>
    </row>
    <row r="44" spans="1:13" ht="20" customHeight="1" x14ac:dyDescent="0.2">
      <c r="A44" s="285">
        <v>45608</v>
      </c>
      <c r="B44" s="278" t="s">
        <v>218</v>
      </c>
      <c r="C44" s="279" t="s">
        <v>154</v>
      </c>
      <c r="D44" s="280">
        <v>666.67</v>
      </c>
      <c r="E44" s="280">
        <f t="shared" si="0"/>
        <v>133.334</v>
      </c>
      <c r="F44" s="280">
        <f t="shared" si="1"/>
        <v>800.00399999999991</v>
      </c>
      <c r="G44" s="293"/>
      <c r="H44" s="298"/>
      <c r="I44" s="2"/>
      <c r="J44" s="2"/>
      <c r="K44" s="2"/>
      <c r="L44" s="2"/>
      <c r="M44" s="2"/>
    </row>
    <row r="45" spans="1:13" ht="20" customHeight="1" x14ac:dyDescent="0.2">
      <c r="A45" s="285">
        <v>45609</v>
      </c>
      <c r="B45" s="278" t="s">
        <v>219</v>
      </c>
      <c r="C45" s="279" t="s">
        <v>220</v>
      </c>
      <c r="D45" s="280">
        <v>666.67</v>
      </c>
      <c r="E45" s="280">
        <f t="shared" si="0"/>
        <v>133.334</v>
      </c>
      <c r="F45" s="280">
        <f t="shared" si="1"/>
        <v>800.00399999999991</v>
      </c>
      <c r="G45" s="293"/>
      <c r="H45" s="298"/>
      <c r="I45" s="2"/>
      <c r="J45" s="2"/>
      <c r="K45" s="2"/>
      <c r="L45" s="2"/>
      <c r="M45" s="2"/>
    </row>
    <row r="46" spans="1:13" ht="20" customHeight="1" x14ac:dyDescent="0.2">
      <c r="A46" s="285">
        <v>45621</v>
      </c>
      <c r="B46" s="278" t="s">
        <v>222</v>
      </c>
      <c r="C46" s="279" t="s">
        <v>225</v>
      </c>
      <c r="D46" s="279">
        <v>750</v>
      </c>
      <c r="E46" s="279">
        <f t="shared" si="0"/>
        <v>150</v>
      </c>
      <c r="F46" s="279">
        <f t="shared" si="1"/>
        <v>900</v>
      </c>
      <c r="G46" s="288"/>
      <c r="H46" s="298"/>
      <c r="I46" s="2"/>
      <c r="J46" s="2"/>
      <c r="K46" s="2"/>
      <c r="L46" s="2"/>
      <c r="M46" s="2"/>
    </row>
    <row r="47" spans="1:13" ht="20" customHeight="1" x14ac:dyDescent="0.2">
      <c r="A47" s="285">
        <v>45621</v>
      </c>
      <c r="B47" s="278" t="s">
        <v>223</v>
      </c>
      <c r="C47" s="279" t="s">
        <v>198</v>
      </c>
      <c r="D47" s="280">
        <v>-833.33</v>
      </c>
      <c r="E47" s="280">
        <f t="shared" si="0"/>
        <v>-166.66600000000003</v>
      </c>
      <c r="F47" s="280">
        <f t="shared" si="1"/>
        <v>-999.99600000000009</v>
      </c>
      <c r="G47" s="288"/>
      <c r="H47" s="298"/>
      <c r="I47" s="2"/>
      <c r="J47" s="2"/>
      <c r="K47" s="2"/>
      <c r="L47" s="2"/>
      <c r="M47" s="2"/>
    </row>
    <row r="48" spans="1:13" ht="20" customHeight="1" x14ac:dyDescent="0.2">
      <c r="A48" s="285">
        <v>45622</v>
      </c>
      <c r="B48" s="278" t="s">
        <v>224</v>
      </c>
      <c r="C48" s="279" t="s">
        <v>226</v>
      </c>
      <c r="D48" s="280">
        <v>833.33</v>
      </c>
      <c r="E48" s="280">
        <f t="shared" si="0"/>
        <v>166.66600000000003</v>
      </c>
      <c r="F48" s="280">
        <f t="shared" si="1"/>
        <v>999.99600000000009</v>
      </c>
      <c r="G48" s="288"/>
      <c r="H48" s="298"/>
    </row>
    <row r="49" spans="1:8" ht="20" customHeight="1" x14ac:dyDescent="0.2">
      <c r="A49" s="285">
        <v>45625</v>
      </c>
      <c r="B49" s="278" t="s">
        <v>228</v>
      </c>
      <c r="C49" s="279" t="s">
        <v>98</v>
      </c>
      <c r="D49" s="279">
        <v>2160</v>
      </c>
      <c r="E49" s="279">
        <f t="shared" si="0"/>
        <v>432</v>
      </c>
      <c r="F49" s="279">
        <f t="shared" si="1"/>
        <v>2592</v>
      </c>
      <c r="G49" s="294"/>
      <c r="H49" s="298"/>
    </row>
    <row r="50" spans="1:8" ht="20" customHeight="1" x14ac:dyDescent="0.2">
      <c r="A50" s="285">
        <v>45625</v>
      </c>
      <c r="B50" s="278" t="s">
        <v>229</v>
      </c>
      <c r="C50" s="282" t="s">
        <v>101</v>
      </c>
      <c r="D50" s="282">
        <v>1080</v>
      </c>
      <c r="E50" s="282">
        <f t="shared" si="0"/>
        <v>216</v>
      </c>
      <c r="F50" s="282">
        <f t="shared" si="1"/>
        <v>1296</v>
      </c>
      <c r="G50" s="295"/>
      <c r="H50" s="298"/>
    </row>
    <row r="51" spans="1:8" ht="20" customHeight="1" x14ac:dyDescent="0.2">
      <c r="A51" s="285">
        <v>45625</v>
      </c>
      <c r="B51" s="278" t="s">
        <v>230</v>
      </c>
      <c r="C51" s="279" t="s">
        <v>164</v>
      </c>
      <c r="D51" s="280">
        <v>666.67</v>
      </c>
      <c r="E51" s="280">
        <f t="shared" si="0"/>
        <v>133.334</v>
      </c>
      <c r="F51" s="280">
        <f t="shared" si="1"/>
        <v>800.00399999999991</v>
      </c>
      <c r="G51" s="288"/>
      <c r="H51" s="298"/>
    </row>
    <row r="52" spans="1:8" ht="20" customHeight="1" x14ac:dyDescent="0.2">
      <c r="A52" s="285">
        <v>45643</v>
      </c>
      <c r="B52" s="278" t="s">
        <v>431</v>
      </c>
      <c r="C52" s="279" t="s">
        <v>98</v>
      </c>
      <c r="D52" s="279">
        <v>540</v>
      </c>
      <c r="E52" s="279">
        <f t="shared" si="0"/>
        <v>108</v>
      </c>
      <c r="F52" s="279">
        <f t="shared" si="1"/>
        <v>648</v>
      </c>
      <c r="G52" s="293"/>
      <c r="H52" s="298"/>
    </row>
    <row r="53" spans="1:8" ht="20" customHeight="1" x14ac:dyDescent="0.2">
      <c r="A53" s="285">
        <v>45643</v>
      </c>
      <c r="B53" s="278" t="s">
        <v>432</v>
      </c>
      <c r="C53" s="279" t="s">
        <v>135</v>
      </c>
      <c r="D53" s="279">
        <v>1890</v>
      </c>
      <c r="E53" s="279">
        <f t="shared" si="0"/>
        <v>378</v>
      </c>
      <c r="F53" s="279">
        <f t="shared" si="1"/>
        <v>2268</v>
      </c>
      <c r="G53" s="293"/>
      <c r="H53" s="298"/>
    </row>
    <row r="54" spans="1:8" ht="20" customHeight="1" x14ac:dyDescent="0.2">
      <c r="A54" s="285">
        <v>45646</v>
      </c>
      <c r="B54" s="278" t="s">
        <v>433</v>
      </c>
      <c r="C54" s="279" t="s">
        <v>98</v>
      </c>
      <c r="D54" s="279">
        <v>-80.83</v>
      </c>
      <c r="E54" s="279">
        <f t="shared" si="0"/>
        <v>-16.166</v>
      </c>
      <c r="F54" s="279">
        <f t="shared" si="1"/>
        <v>-96.995999999999995</v>
      </c>
      <c r="G54" s="288"/>
      <c r="H54" s="298"/>
    </row>
    <row r="55" spans="1:8" ht="20" customHeight="1" x14ac:dyDescent="0.2">
      <c r="A55" s="285">
        <v>45646</v>
      </c>
      <c r="B55" s="278" t="s">
        <v>444</v>
      </c>
      <c r="C55" s="279" t="s">
        <v>430</v>
      </c>
      <c r="D55" s="279">
        <v>750</v>
      </c>
      <c r="E55" s="279">
        <f t="shared" si="0"/>
        <v>150</v>
      </c>
      <c r="F55" s="279">
        <f t="shared" si="1"/>
        <v>900</v>
      </c>
      <c r="G55" s="288"/>
      <c r="H55" s="196"/>
    </row>
    <row r="56" spans="1:8" ht="20" customHeight="1" x14ac:dyDescent="0.2">
      <c r="A56" s="285">
        <v>45646</v>
      </c>
      <c r="B56" s="278" t="s">
        <v>445</v>
      </c>
      <c r="C56" s="279" t="s">
        <v>447</v>
      </c>
      <c r="D56" s="280">
        <v>666.67</v>
      </c>
      <c r="E56" s="280">
        <f t="shared" si="0"/>
        <v>133.334</v>
      </c>
      <c r="F56" s="280">
        <f t="shared" si="1"/>
        <v>800.00399999999991</v>
      </c>
      <c r="G56" s="288"/>
      <c r="H56" s="196"/>
    </row>
    <row r="57" spans="1:8" s="304" customFormat="1" ht="20" customHeight="1" thickBot="1" x14ac:dyDescent="0.25">
      <c r="A57" s="300">
        <v>45646</v>
      </c>
      <c r="B57" s="301" t="s">
        <v>446</v>
      </c>
      <c r="C57" s="302" t="s">
        <v>436</v>
      </c>
      <c r="D57" s="302">
        <v>666.67</v>
      </c>
      <c r="E57" s="302">
        <f t="shared" si="0"/>
        <v>133.334</v>
      </c>
      <c r="F57" s="302">
        <f t="shared" si="1"/>
        <v>800.00399999999991</v>
      </c>
      <c r="G57" s="303"/>
    </row>
    <row r="58" spans="1:8" ht="20" customHeight="1" thickTop="1" x14ac:dyDescent="0.2">
      <c r="A58" s="285">
        <v>45660</v>
      </c>
      <c r="B58" s="278" t="s">
        <v>456</v>
      </c>
      <c r="C58" s="279" t="s">
        <v>455</v>
      </c>
      <c r="D58" s="279">
        <v>833.33</v>
      </c>
      <c r="E58" s="279">
        <f t="shared" si="0"/>
        <v>166.66600000000003</v>
      </c>
      <c r="F58" s="279">
        <f t="shared" si="1"/>
        <v>999.99600000000009</v>
      </c>
      <c r="G58" s="288"/>
      <c r="H58" s="196"/>
    </row>
    <row r="59" spans="1:8" ht="20" customHeight="1" x14ac:dyDescent="0.2">
      <c r="A59" s="285">
        <v>45667</v>
      </c>
      <c r="B59" s="278" t="s">
        <v>493</v>
      </c>
      <c r="C59" s="279" t="s">
        <v>135</v>
      </c>
      <c r="D59" s="279">
        <v>630</v>
      </c>
      <c r="E59" s="279">
        <f t="shared" si="0"/>
        <v>126</v>
      </c>
      <c r="F59" s="279">
        <f t="shared" si="1"/>
        <v>756</v>
      </c>
      <c r="G59" s="293"/>
      <c r="H59" s="196"/>
    </row>
    <row r="60" spans="1:8" ht="20" customHeight="1" x14ac:dyDescent="0.2">
      <c r="A60" s="285">
        <v>45678</v>
      </c>
      <c r="B60" s="278" t="s">
        <v>502</v>
      </c>
      <c r="C60" s="279" t="s">
        <v>503</v>
      </c>
      <c r="D60" s="279">
        <v>200</v>
      </c>
      <c r="E60" s="279">
        <f t="shared" si="0"/>
        <v>40</v>
      </c>
      <c r="F60" s="279">
        <f t="shared" si="1"/>
        <v>240</v>
      </c>
      <c r="G60" s="288" t="s">
        <v>119</v>
      </c>
      <c r="H60" s="196"/>
    </row>
    <row r="61" spans="1:8" ht="20" customHeight="1" x14ac:dyDescent="0.2">
      <c r="A61" s="285">
        <v>45701</v>
      </c>
      <c r="B61" s="278" t="s">
        <v>590</v>
      </c>
      <c r="C61" s="279" t="s">
        <v>537</v>
      </c>
      <c r="D61" s="279">
        <v>833.33</v>
      </c>
      <c r="E61" s="279">
        <f t="shared" si="0"/>
        <v>166.66600000000003</v>
      </c>
      <c r="F61" s="279">
        <f t="shared" si="1"/>
        <v>999.99600000000009</v>
      </c>
      <c r="G61" s="293"/>
      <c r="H61" s="196"/>
    </row>
    <row r="62" spans="1:8" ht="20" customHeight="1" x14ac:dyDescent="0.2">
      <c r="A62" s="285">
        <v>45701</v>
      </c>
      <c r="B62" s="278" t="s">
        <v>592</v>
      </c>
      <c r="C62" s="279" t="s">
        <v>142</v>
      </c>
      <c r="D62" s="279">
        <v>900</v>
      </c>
      <c r="E62" s="279">
        <f t="shared" si="0"/>
        <v>180</v>
      </c>
      <c r="F62" s="279">
        <f t="shared" si="1"/>
        <v>1080</v>
      </c>
      <c r="G62" s="288"/>
      <c r="H62" s="196"/>
    </row>
    <row r="63" spans="1:8" ht="20" customHeight="1" x14ac:dyDescent="0.2">
      <c r="A63" s="285">
        <v>45707</v>
      </c>
      <c r="B63" s="278" t="s">
        <v>591</v>
      </c>
      <c r="C63" s="279" t="s">
        <v>200</v>
      </c>
      <c r="D63" s="279">
        <v>3700</v>
      </c>
      <c r="E63" s="279">
        <f t="shared" si="0"/>
        <v>740</v>
      </c>
      <c r="F63" s="279">
        <f t="shared" si="1"/>
        <v>4440</v>
      </c>
      <c r="G63" s="293"/>
      <c r="H63" s="196"/>
    </row>
    <row r="64" spans="1:8" ht="20" customHeight="1" x14ac:dyDescent="0.2">
      <c r="A64" s="285">
        <v>45709</v>
      </c>
      <c r="B64" s="278" t="s">
        <v>593</v>
      </c>
      <c r="C64" s="279" t="s">
        <v>540</v>
      </c>
      <c r="D64" s="279">
        <v>666.67</v>
      </c>
      <c r="E64" s="279">
        <f t="shared" si="0"/>
        <v>133.334</v>
      </c>
      <c r="F64" s="279">
        <f t="shared" si="1"/>
        <v>800.00399999999991</v>
      </c>
      <c r="G64" s="288"/>
      <c r="H64" s="298"/>
    </row>
    <row r="65" spans="1:8" ht="20" customHeight="1" x14ac:dyDescent="0.2">
      <c r="A65" s="285">
        <v>45741</v>
      </c>
      <c r="B65" s="278" t="s">
        <v>594</v>
      </c>
      <c r="C65" s="279" t="s">
        <v>103</v>
      </c>
      <c r="D65" s="279">
        <v>1200</v>
      </c>
      <c r="E65" s="279">
        <f t="shared" si="0"/>
        <v>240</v>
      </c>
      <c r="F65" s="279">
        <f t="shared" si="1"/>
        <v>1440</v>
      </c>
      <c r="G65" s="281"/>
      <c r="H65" s="2"/>
    </row>
    <row r="66" spans="1:8" ht="20" customHeight="1" x14ac:dyDescent="0.2">
      <c r="A66" s="285">
        <v>45741</v>
      </c>
      <c r="B66" s="278" t="s">
        <v>595</v>
      </c>
      <c r="C66" s="279" t="s">
        <v>135</v>
      </c>
      <c r="D66" s="279">
        <v>2520</v>
      </c>
      <c r="E66" s="279">
        <f>D66*10%</f>
        <v>252</v>
      </c>
      <c r="F66" s="279">
        <f t="shared" si="1"/>
        <v>2772</v>
      </c>
      <c r="G66" s="279"/>
      <c r="H66" s="2"/>
    </row>
    <row r="67" spans="1:8" ht="20" customHeight="1" x14ac:dyDescent="0.2">
      <c r="A67" s="285">
        <v>45741</v>
      </c>
      <c r="B67" s="278" t="s">
        <v>596</v>
      </c>
      <c r="C67" s="279" t="s">
        <v>430</v>
      </c>
      <c r="D67" s="279">
        <v>1400</v>
      </c>
      <c r="E67" s="279">
        <f>D67*10%</f>
        <v>140</v>
      </c>
      <c r="F67" s="279">
        <f t="shared" si="1"/>
        <v>1540</v>
      </c>
      <c r="G67" s="281"/>
      <c r="H67" s="2"/>
    </row>
    <row r="68" spans="1:8" ht="20" customHeight="1" x14ac:dyDescent="0.2">
      <c r="A68" s="285" t="s">
        <v>639</v>
      </c>
      <c r="B68" s="278" t="s">
        <v>638</v>
      </c>
      <c r="C68" s="279" t="s">
        <v>585</v>
      </c>
      <c r="D68" s="279">
        <v>437.5</v>
      </c>
      <c r="E68" s="279">
        <f>D68*20%</f>
        <v>87.5</v>
      </c>
      <c r="F68" s="279">
        <f t="shared" si="1"/>
        <v>525</v>
      </c>
      <c r="G68" s="279"/>
      <c r="H68" s="2"/>
    </row>
    <row r="69" spans="1:8" ht="20" customHeight="1" x14ac:dyDescent="0.2">
      <c r="A69" s="285">
        <v>45758</v>
      </c>
      <c r="B69" s="278" t="s">
        <v>654</v>
      </c>
      <c r="C69" s="279" t="s">
        <v>430</v>
      </c>
      <c r="D69" s="279">
        <v>1400</v>
      </c>
      <c r="E69" s="279">
        <f>D69*20%</f>
        <v>280</v>
      </c>
      <c r="F69" s="279">
        <f t="shared" ref="F69" si="3">D69+E69</f>
        <v>1680</v>
      </c>
      <c r="G69" s="279"/>
      <c r="H69" s="2"/>
    </row>
    <row r="70" spans="1:8" ht="20" customHeight="1" x14ac:dyDescent="0.2">
      <c r="A70" s="285">
        <v>45758</v>
      </c>
      <c r="B70" s="278" t="s">
        <v>655</v>
      </c>
      <c r="C70" s="279" t="s">
        <v>430</v>
      </c>
      <c r="D70" s="279">
        <v>-1400</v>
      </c>
      <c r="E70" s="279">
        <f>D70*10%</f>
        <v>-140</v>
      </c>
      <c r="F70" s="279">
        <f t="shared" ref="F70:F75" si="4">D70+E70</f>
        <v>-1540</v>
      </c>
      <c r="G70" s="279"/>
      <c r="H70" s="2"/>
    </row>
    <row r="71" spans="1:8" ht="20" customHeight="1" x14ac:dyDescent="0.2">
      <c r="A71" s="285">
        <v>45758</v>
      </c>
      <c r="B71" s="278" t="s">
        <v>656</v>
      </c>
      <c r="C71" s="279" t="s">
        <v>657</v>
      </c>
      <c r="D71" s="279">
        <v>500</v>
      </c>
      <c r="E71" s="279">
        <f>D71*20%</f>
        <v>100</v>
      </c>
      <c r="F71" s="279">
        <f>D71+E71</f>
        <v>600</v>
      </c>
      <c r="G71" s="279"/>
      <c r="H71" s="2"/>
    </row>
    <row r="72" spans="1:8" ht="24" x14ac:dyDescent="0.2">
      <c r="A72" s="285">
        <v>45762</v>
      </c>
      <c r="B72" s="278" t="s">
        <v>653</v>
      </c>
      <c r="C72" s="279" t="s">
        <v>652</v>
      </c>
      <c r="D72" s="279">
        <v>833.33</v>
      </c>
      <c r="E72" s="279">
        <f t="shared" ref="E72:E75" si="5">D72*20%</f>
        <v>166.66600000000003</v>
      </c>
      <c r="F72" s="279">
        <f t="shared" si="4"/>
        <v>999.99600000000009</v>
      </c>
      <c r="G72" s="279"/>
      <c r="H72" s="2"/>
    </row>
    <row r="73" spans="1:8" ht="24" x14ac:dyDescent="0.2">
      <c r="A73" s="285">
        <v>45765</v>
      </c>
      <c r="B73" s="278" t="s">
        <v>660</v>
      </c>
      <c r="C73" s="279" t="s">
        <v>499</v>
      </c>
      <c r="D73" s="279">
        <v>3150</v>
      </c>
      <c r="E73" s="279">
        <f t="shared" si="5"/>
        <v>630</v>
      </c>
      <c r="F73" s="279">
        <f t="shared" si="4"/>
        <v>3780</v>
      </c>
      <c r="G73" s="279"/>
      <c r="H73" s="2"/>
    </row>
    <row r="74" spans="1:8" ht="24" x14ac:dyDescent="0.2">
      <c r="A74" s="285">
        <v>45776</v>
      </c>
      <c r="B74" s="278" t="s">
        <v>661</v>
      </c>
      <c r="C74" s="279" t="s">
        <v>662</v>
      </c>
      <c r="D74" s="279">
        <v>833.33</v>
      </c>
      <c r="E74" s="279">
        <f t="shared" si="5"/>
        <v>166.66600000000003</v>
      </c>
      <c r="F74" s="279">
        <f t="shared" si="4"/>
        <v>999.99600000000009</v>
      </c>
      <c r="G74" s="279"/>
      <c r="H74" s="2"/>
    </row>
    <row r="75" spans="1:8" ht="24" x14ac:dyDescent="0.2">
      <c r="A75" s="285">
        <v>45776</v>
      </c>
      <c r="B75" s="278" t="s">
        <v>663</v>
      </c>
      <c r="C75" s="279" t="s">
        <v>135</v>
      </c>
      <c r="D75" s="279">
        <v>1512</v>
      </c>
      <c r="E75" s="279">
        <f t="shared" si="5"/>
        <v>302.40000000000003</v>
      </c>
      <c r="F75" s="279">
        <f t="shared" si="4"/>
        <v>1814.4</v>
      </c>
      <c r="G75" s="279"/>
      <c r="H75" s="2"/>
    </row>
    <row r="76" spans="1:8" ht="24" x14ac:dyDescent="0.2">
      <c r="A76" s="285">
        <v>45776</v>
      </c>
      <c r="B76" s="278" t="s">
        <v>665</v>
      </c>
      <c r="C76" s="279" t="s">
        <v>499</v>
      </c>
      <c r="D76" s="279">
        <v>7350</v>
      </c>
      <c r="E76" s="279">
        <f t="shared" ref="E76:E81" si="6">D76*20%</f>
        <v>1470</v>
      </c>
      <c r="F76" s="279">
        <f t="shared" ref="F76:F86" si="7">D76+E76</f>
        <v>8820</v>
      </c>
      <c r="G76" s="279"/>
      <c r="H76" s="2"/>
    </row>
    <row r="77" spans="1:8" ht="24" x14ac:dyDescent="0.2">
      <c r="A77" s="285">
        <v>45783</v>
      </c>
      <c r="B77" s="278" t="s">
        <v>667</v>
      </c>
      <c r="C77" s="279" t="s">
        <v>668</v>
      </c>
      <c r="D77" s="279">
        <v>208.33</v>
      </c>
      <c r="E77" s="279">
        <f t="shared" si="6"/>
        <v>41.666000000000004</v>
      </c>
      <c r="F77" s="279">
        <f t="shared" si="7"/>
        <v>249.99600000000001</v>
      </c>
      <c r="G77" s="288" t="s">
        <v>119</v>
      </c>
      <c r="H77" s="2"/>
    </row>
    <row r="78" spans="1:8" ht="24" x14ac:dyDescent="0.2">
      <c r="A78" s="285">
        <v>45786</v>
      </c>
      <c r="B78" s="278" t="s">
        <v>675</v>
      </c>
      <c r="C78" s="279" t="s">
        <v>585</v>
      </c>
      <c r="D78" s="279">
        <v>437.5</v>
      </c>
      <c r="E78" s="279">
        <f t="shared" si="6"/>
        <v>87.5</v>
      </c>
      <c r="F78" s="279">
        <f t="shared" si="7"/>
        <v>525</v>
      </c>
      <c r="G78" s="279"/>
      <c r="H78" s="2"/>
    </row>
    <row r="79" spans="1:8" ht="24" x14ac:dyDescent="0.2">
      <c r="A79" s="285">
        <v>45790</v>
      </c>
      <c r="B79" s="278" t="s">
        <v>681</v>
      </c>
      <c r="C79" s="279" t="s">
        <v>680</v>
      </c>
      <c r="D79" s="279">
        <v>833.33</v>
      </c>
      <c r="E79" s="279">
        <f t="shared" si="6"/>
        <v>166.66600000000003</v>
      </c>
      <c r="F79" s="279">
        <f t="shared" si="7"/>
        <v>999.99600000000009</v>
      </c>
      <c r="G79" s="279"/>
      <c r="H79" s="2"/>
    </row>
    <row r="80" spans="1:8" ht="24" x14ac:dyDescent="0.2">
      <c r="A80" s="285">
        <v>45792</v>
      </c>
      <c r="B80" s="278" t="s">
        <v>726</v>
      </c>
      <c r="C80" s="279" t="s">
        <v>679</v>
      </c>
      <c r="D80" s="279">
        <v>833.33</v>
      </c>
      <c r="E80" s="279">
        <f t="shared" si="6"/>
        <v>166.66600000000003</v>
      </c>
      <c r="F80" s="279">
        <f t="shared" si="7"/>
        <v>999.99600000000009</v>
      </c>
      <c r="G80" s="279"/>
      <c r="H80" s="2"/>
    </row>
    <row r="81" spans="1:8" ht="24" x14ac:dyDescent="0.2">
      <c r="A81" s="285">
        <v>45800</v>
      </c>
      <c r="B81" s="278" t="s">
        <v>731</v>
      </c>
      <c r="C81" s="279" t="s">
        <v>729</v>
      </c>
      <c r="D81" s="279">
        <v>833.33</v>
      </c>
      <c r="E81" s="279">
        <f t="shared" si="6"/>
        <v>166.66600000000003</v>
      </c>
      <c r="F81" s="279">
        <f t="shared" si="7"/>
        <v>999.99600000000009</v>
      </c>
      <c r="G81" s="279"/>
      <c r="H81" s="2"/>
    </row>
    <row r="82" spans="1:8" ht="24" x14ac:dyDescent="0.2">
      <c r="A82" s="285">
        <v>45800</v>
      </c>
      <c r="B82" s="278" t="s">
        <v>732</v>
      </c>
      <c r="C82" s="279" t="s">
        <v>430</v>
      </c>
      <c r="D82" s="279">
        <v>350</v>
      </c>
      <c r="E82" s="279">
        <f>D82*10%</f>
        <v>35</v>
      </c>
      <c r="F82" s="279">
        <f t="shared" si="7"/>
        <v>385</v>
      </c>
      <c r="G82" s="279"/>
      <c r="H82" s="2"/>
    </row>
    <row r="83" spans="1:8" ht="24" x14ac:dyDescent="0.2">
      <c r="A83" s="285">
        <v>45800</v>
      </c>
      <c r="B83" s="278" t="s">
        <v>733</v>
      </c>
      <c r="C83" s="279" t="s">
        <v>430</v>
      </c>
      <c r="D83" s="279">
        <v>-350</v>
      </c>
      <c r="E83" s="279">
        <f>D83*10%</f>
        <v>-35</v>
      </c>
      <c r="F83" s="279">
        <f t="shared" si="7"/>
        <v>-385</v>
      </c>
      <c r="G83" s="279"/>
      <c r="H83" s="2"/>
    </row>
    <row r="84" spans="1:8" ht="24" x14ac:dyDescent="0.2">
      <c r="A84" s="285">
        <v>45800</v>
      </c>
      <c r="B84" s="278" t="s">
        <v>734</v>
      </c>
      <c r="C84" s="279" t="s">
        <v>430</v>
      </c>
      <c r="D84" s="279">
        <v>350</v>
      </c>
      <c r="E84" s="279">
        <f>D84*20%</f>
        <v>70</v>
      </c>
      <c r="F84" s="279">
        <f t="shared" si="7"/>
        <v>420</v>
      </c>
      <c r="G84" s="279"/>
      <c r="H84" s="2"/>
    </row>
    <row r="85" spans="1:8" ht="24" x14ac:dyDescent="0.2">
      <c r="A85" s="285">
        <v>45800</v>
      </c>
      <c r="B85" s="278" t="s">
        <v>832</v>
      </c>
      <c r="C85" s="279" t="s">
        <v>833</v>
      </c>
      <c r="D85" s="279">
        <v>6650</v>
      </c>
      <c r="E85" s="279">
        <f>D85*20%</f>
        <v>1330</v>
      </c>
      <c r="F85" s="279">
        <f t="shared" si="7"/>
        <v>7980</v>
      </c>
      <c r="G85" s="279"/>
      <c r="H85" s="2"/>
    </row>
    <row r="86" spans="1:8" ht="24" x14ac:dyDescent="0.2">
      <c r="A86" s="285">
        <v>45803</v>
      </c>
      <c r="B86" s="278" t="s">
        <v>735</v>
      </c>
      <c r="C86" s="279" t="s">
        <v>730</v>
      </c>
      <c r="D86" s="279">
        <v>833.33</v>
      </c>
      <c r="E86" s="279">
        <f>D86*20%</f>
        <v>166.66600000000003</v>
      </c>
      <c r="F86" s="279">
        <f t="shared" si="7"/>
        <v>999.99600000000009</v>
      </c>
      <c r="G86" s="279"/>
      <c r="H86" s="2"/>
    </row>
    <row r="87" spans="1:8" ht="24" x14ac:dyDescent="0.2">
      <c r="A87" s="285">
        <v>45803</v>
      </c>
      <c r="B87" s="278" t="s">
        <v>736</v>
      </c>
      <c r="C87" s="279" t="s">
        <v>455</v>
      </c>
      <c r="D87" s="279">
        <v>666.67</v>
      </c>
      <c r="E87" s="279">
        <f>D87*20%</f>
        <v>133.334</v>
      </c>
      <c r="F87" s="279">
        <f t="shared" ref="F87:F97" si="8">D87+E87</f>
        <v>800.00399999999991</v>
      </c>
      <c r="G87" s="279"/>
      <c r="H87" s="2"/>
    </row>
    <row r="88" spans="1:8" ht="24" x14ac:dyDescent="0.2">
      <c r="A88" s="285">
        <v>45803</v>
      </c>
      <c r="B88" s="278" t="s">
        <v>737</v>
      </c>
      <c r="C88" s="279" t="s">
        <v>135</v>
      </c>
      <c r="D88" s="279">
        <v>1512</v>
      </c>
      <c r="E88" s="279">
        <f>D88*10%</f>
        <v>151.20000000000002</v>
      </c>
      <c r="F88" s="279">
        <f t="shared" si="8"/>
        <v>1663.2</v>
      </c>
      <c r="G88" s="5"/>
      <c r="H88" s="2"/>
    </row>
    <row r="89" spans="1:8" ht="24" x14ac:dyDescent="0.2">
      <c r="A89" s="285">
        <v>45805</v>
      </c>
      <c r="B89" s="278" t="s">
        <v>738</v>
      </c>
      <c r="C89" s="279" t="s">
        <v>679</v>
      </c>
      <c r="D89" s="279">
        <v>-833.33</v>
      </c>
      <c r="E89" s="279">
        <f t="shared" ref="E89:E95" si="9">D89*20%</f>
        <v>-166.66600000000003</v>
      </c>
      <c r="F89" s="279">
        <f t="shared" si="8"/>
        <v>-999.99600000000009</v>
      </c>
      <c r="G89" s="5"/>
      <c r="H89" s="2"/>
    </row>
    <row r="90" spans="1:8" ht="24" x14ac:dyDescent="0.2">
      <c r="A90" s="285">
        <v>45812</v>
      </c>
      <c r="B90" s="278" t="s">
        <v>739</v>
      </c>
      <c r="C90" s="279" t="s">
        <v>662</v>
      </c>
      <c r="D90" s="279">
        <v>666.67</v>
      </c>
      <c r="E90" s="279">
        <f t="shared" si="9"/>
        <v>133.334</v>
      </c>
      <c r="F90" s="279">
        <f t="shared" si="8"/>
        <v>800.00399999999991</v>
      </c>
      <c r="H90" s="2"/>
    </row>
    <row r="91" spans="1:8" ht="24" x14ac:dyDescent="0.2">
      <c r="A91" s="285">
        <v>45818</v>
      </c>
      <c r="B91" s="278" t="s">
        <v>773</v>
      </c>
      <c r="C91" s="279" t="s">
        <v>774</v>
      </c>
      <c r="D91" s="279">
        <v>1400</v>
      </c>
      <c r="E91" s="279">
        <f t="shared" si="9"/>
        <v>280</v>
      </c>
      <c r="F91" s="279">
        <f t="shared" si="8"/>
        <v>1680</v>
      </c>
      <c r="H91" s="2"/>
    </row>
    <row r="92" spans="1:8" ht="24" x14ac:dyDescent="0.2">
      <c r="A92" s="285">
        <v>45820</v>
      </c>
      <c r="B92" s="278" t="s">
        <v>776</v>
      </c>
      <c r="C92" s="279" t="s">
        <v>202</v>
      </c>
      <c r="D92" s="279">
        <v>333.33</v>
      </c>
      <c r="E92" s="279">
        <f t="shared" si="9"/>
        <v>66.665999999999997</v>
      </c>
      <c r="F92" s="279">
        <f t="shared" si="8"/>
        <v>399.99599999999998</v>
      </c>
      <c r="H92" s="2"/>
    </row>
    <row r="93" spans="1:8" ht="24" x14ac:dyDescent="0.2">
      <c r="A93" s="285">
        <v>45825</v>
      </c>
      <c r="B93" s="278" t="s">
        <v>779</v>
      </c>
      <c r="C93" s="279" t="s">
        <v>103</v>
      </c>
      <c r="D93" s="279">
        <v>900</v>
      </c>
      <c r="E93" s="279">
        <f t="shared" si="9"/>
        <v>180</v>
      </c>
      <c r="F93" s="279">
        <f t="shared" si="8"/>
        <v>1080</v>
      </c>
      <c r="H93" s="2"/>
    </row>
    <row r="94" spans="1:8" ht="24" x14ac:dyDescent="0.2">
      <c r="A94" s="285">
        <v>45827</v>
      </c>
      <c r="B94" s="278" t="s">
        <v>784</v>
      </c>
      <c r="C94" s="279" t="s">
        <v>537</v>
      </c>
      <c r="D94" s="279">
        <v>666.67</v>
      </c>
      <c r="E94" s="279">
        <f t="shared" si="9"/>
        <v>133.334</v>
      </c>
      <c r="F94" s="279">
        <f t="shared" si="8"/>
        <v>800.00399999999991</v>
      </c>
      <c r="H94" s="2"/>
    </row>
    <row r="95" spans="1:8" ht="24" x14ac:dyDescent="0.2">
      <c r="A95" s="285">
        <v>45828</v>
      </c>
      <c r="B95" s="278" t="s">
        <v>785</v>
      </c>
      <c r="C95" s="279" t="s">
        <v>440</v>
      </c>
      <c r="D95" s="279">
        <v>666.67</v>
      </c>
      <c r="E95" s="279">
        <f t="shared" si="9"/>
        <v>133.334</v>
      </c>
      <c r="F95" s="279">
        <f t="shared" si="8"/>
        <v>800.00399999999991</v>
      </c>
      <c r="H95" s="2"/>
    </row>
    <row r="96" spans="1:8" ht="24" x14ac:dyDescent="0.2">
      <c r="A96" s="285">
        <v>45828</v>
      </c>
      <c r="B96" s="278" t="s">
        <v>786</v>
      </c>
      <c r="C96" s="279" t="s">
        <v>135</v>
      </c>
      <c r="D96" s="279">
        <v>3856</v>
      </c>
      <c r="E96" s="279">
        <f>D96*10%</f>
        <v>385.6</v>
      </c>
      <c r="F96" s="279">
        <f t="shared" si="8"/>
        <v>4241.6000000000004</v>
      </c>
      <c r="H96" s="2"/>
    </row>
    <row r="97" spans="1:8" ht="24" x14ac:dyDescent="0.2">
      <c r="A97" s="285">
        <v>45828</v>
      </c>
      <c r="B97" s="278" t="s">
        <v>787</v>
      </c>
      <c r="C97" s="279" t="s">
        <v>652</v>
      </c>
      <c r="D97" s="279">
        <v>666.67</v>
      </c>
      <c r="E97" s="279">
        <f>D97*20%</f>
        <v>133.334</v>
      </c>
      <c r="F97" s="279">
        <f t="shared" si="8"/>
        <v>800.00399999999991</v>
      </c>
      <c r="H97" s="2"/>
    </row>
    <row r="98" spans="1:8" ht="24" x14ac:dyDescent="0.2">
      <c r="A98" s="285"/>
      <c r="B98" s="278"/>
      <c r="C98" s="279"/>
      <c r="D98" s="279"/>
      <c r="E98" s="279"/>
      <c r="F98" s="279"/>
      <c r="H98" s="2"/>
    </row>
    <row r="99" spans="1:8" ht="24" x14ac:dyDescent="0.2">
      <c r="A99" s="285"/>
      <c r="B99" s="278"/>
      <c r="C99" s="279"/>
      <c r="D99" s="279"/>
      <c r="E99" s="279"/>
      <c r="F99" s="279"/>
      <c r="H99" s="2"/>
    </row>
    <row r="100" spans="1:8" ht="24" x14ac:dyDescent="0.2">
      <c r="A100" s="285"/>
      <c r="B100" s="278"/>
      <c r="C100" s="279"/>
      <c r="D100" s="279"/>
      <c r="E100" s="279"/>
      <c r="F100" s="279"/>
      <c r="H100" s="2"/>
    </row>
    <row r="101" spans="1:8" ht="24" x14ac:dyDescent="0.2">
      <c r="A101" s="285"/>
      <c r="B101" s="278"/>
      <c r="C101" s="279"/>
      <c r="D101" s="279"/>
      <c r="E101" s="279"/>
      <c r="F101" s="279"/>
      <c r="H101" s="2"/>
    </row>
    <row r="102" spans="1:8" ht="24" x14ac:dyDescent="0.2">
      <c r="A102" s="285"/>
      <c r="B102" s="278"/>
      <c r="C102" s="279"/>
      <c r="D102" s="279"/>
      <c r="E102" s="279"/>
      <c r="F102" s="279"/>
      <c r="H102" s="2"/>
    </row>
    <row r="103" spans="1:8" ht="24" x14ac:dyDescent="0.2">
      <c r="A103" s="285"/>
      <c r="B103" s="278"/>
      <c r="C103" s="279"/>
      <c r="D103" s="279"/>
      <c r="E103" s="279"/>
      <c r="F103" s="279"/>
      <c r="H103" s="2"/>
    </row>
    <row r="104" spans="1:8" ht="24" x14ac:dyDescent="0.2">
      <c r="A104" s="285"/>
      <c r="B104" s="278"/>
      <c r="C104" s="279"/>
      <c r="D104" s="279"/>
      <c r="E104" s="279"/>
      <c r="F104" s="279"/>
      <c r="H104" s="2"/>
    </row>
    <row r="105" spans="1:8" ht="24" x14ac:dyDescent="0.2">
      <c r="A105" s="285"/>
      <c r="B105" s="278"/>
      <c r="C105" s="279"/>
      <c r="D105" s="279"/>
      <c r="E105" s="279"/>
      <c r="F105" s="279"/>
      <c r="H105" s="2"/>
    </row>
    <row r="106" spans="1:8" ht="24" x14ac:dyDescent="0.2">
      <c r="A106" s="285"/>
      <c r="B106" s="278"/>
      <c r="C106" s="279"/>
      <c r="D106" s="279"/>
      <c r="E106" s="279"/>
      <c r="F106" s="279"/>
      <c r="H106" s="2"/>
    </row>
    <row r="107" spans="1:8" ht="16" x14ac:dyDescent="0.2">
      <c r="H107" s="2"/>
    </row>
    <row r="108" spans="1:8" ht="16" x14ac:dyDescent="0.2">
      <c r="H108" s="21"/>
    </row>
    <row r="109" spans="1:8" ht="16" x14ac:dyDescent="0.2">
      <c r="H109" s="21"/>
    </row>
    <row r="110" spans="1:8" ht="16" x14ac:dyDescent="0.2">
      <c r="H110" s="20"/>
    </row>
    <row r="111" spans="1:8" ht="16" x14ac:dyDescent="0.2">
      <c r="H111" s="2"/>
    </row>
    <row r="112" spans="1:8" ht="16" x14ac:dyDescent="0.2">
      <c r="A112" s="286"/>
      <c r="B112" s="9"/>
      <c r="C112" s="2"/>
      <c r="D112" s="8"/>
      <c r="E112" s="2"/>
      <c r="F112" s="2"/>
      <c r="G112" s="10"/>
      <c r="H112" s="2"/>
    </row>
    <row r="113" spans="1:8" ht="16" x14ac:dyDescent="0.2">
      <c r="A113" s="286"/>
      <c r="B113" s="9"/>
      <c r="C113" s="2"/>
      <c r="D113" s="8"/>
      <c r="E113" s="2"/>
      <c r="F113" s="2"/>
      <c r="G113" s="10"/>
      <c r="H113" s="2"/>
    </row>
    <row r="114" spans="1:8" ht="16" x14ac:dyDescent="0.2">
      <c r="A114" s="286"/>
      <c r="B114" s="9"/>
      <c r="C114" s="2"/>
      <c r="D114" s="8"/>
      <c r="E114" s="2"/>
      <c r="F114" s="2"/>
      <c r="G114" s="10"/>
      <c r="H114" s="2"/>
    </row>
    <row r="115" spans="1:8" ht="16" x14ac:dyDescent="0.2">
      <c r="A115" s="286"/>
      <c r="B115" s="9"/>
      <c r="C115" s="2"/>
      <c r="D115" s="8"/>
      <c r="E115" s="2"/>
      <c r="F115" s="2"/>
      <c r="G115" s="10"/>
      <c r="H115" s="2"/>
    </row>
    <row r="116" spans="1:8" ht="16" x14ac:dyDescent="0.2">
      <c r="A116" s="286"/>
      <c r="B116" s="9"/>
      <c r="C116" s="2"/>
      <c r="D116" s="8"/>
      <c r="E116" s="2"/>
      <c r="F116" s="2"/>
      <c r="G116" s="10"/>
      <c r="H116" s="2"/>
    </row>
    <row r="117" spans="1:8" ht="16" x14ac:dyDescent="0.2">
      <c r="A117" s="286"/>
      <c r="B117" s="9"/>
      <c r="C117" s="2"/>
      <c r="D117" s="8"/>
      <c r="E117" s="2"/>
      <c r="F117" s="2"/>
      <c r="G117" s="10"/>
      <c r="H117" s="2"/>
    </row>
    <row r="118" spans="1:8" ht="16" x14ac:dyDescent="0.2">
      <c r="A118" s="286"/>
      <c r="B118" s="9"/>
      <c r="C118" s="2"/>
      <c r="D118" s="8"/>
      <c r="E118" s="2"/>
      <c r="F118" s="2"/>
      <c r="G118" s="10"/>
      <c r="H118" s="2"/>
    </row>
    <row r="119" spans="1:8" ht="16" x14ac:dyDescent="0.2">
      <c r="A119" s="286"/>
      <c r="B119" s="9"/>
      <c r="C119" s="2"/>
      <c r="D119" s="8"/>
      <c r="E119" s="2"/>
      <c r="F119" s="2"/>
      <c r="G119" s="10"/>
      <c r="H119" s="2"/>
    </row>
    <row r="120" spans="1:8" ht="16" x14ac:dyDescent="0.2">
      <c r="A120" s="286"/>
      <c r="B120" s="9"/>
      <c r="C120" s="2"/>
      <c r="D120" s="8"/>
      <c r="E120" s="2"/>
      <c r="F120" s="2"/>
      <c r="G120" s="10"/>
      <c r="H120" s="21"/>
    </row>
    <row r="121" spans="1:8" ht="16" x14ac:dyDescent="0.2">
      <c r="A121" s="286"/>
      <c r="B121" s="9"/>
      <c r="C121" s="2"/>
      <c r="D121" s="8"/>
      <c r="E121" s="2"/>
      <c r="F121" s="2"/>
      <c r="G121" s="10"/>
      <c r="H121" s="21"/>
    </row>
    <row r="122" spans="1:8" ht="16" x14ac:dyDescent="0.2">
      <c r="A122" s="286"/>
      <c r="B122" s="9"/>
      <c r="C122" s="2"/>
      <c r="D122" s="8"/>
      <c r="E122" s="2"/>
      <c r="F122" s="2"/>
      <c r="G122" s="10"/>
      <c r="H122" s="2"/>
    </row>
    <row r="123" spans="1:8" ht="16" x14ac:dyDescent="0.2">
      <c r="A123" s="286"/>
      <c r="B123" s="9"/>
      <c r="C123" s="2"/>
      <c r="D123" s="8"/>
      <c r="E123" s="2"/>
      <c r="F123" s="2"/>
      <c r="G123" s="10"/>
      <c r="H123" s="2"/>
    </row>
    <row r="124" spans="1:8" ht="16" x14ac:dyDescent="0.2">
      <c r="A124" s="286"/>
      <c r="B124" s="9"/>
      <c r="C124" s="2"/>
      <c r="D124" s="8"/>
      <c r="E124" s="2"/>
      <c r="F124" s="2"/>
      <c r="G124" s="10"/>
      <c r="H124" s="2"/>
    </row>
    <row r="125" spans="1:8" ht="16" x14ac:dyDescent="0.2">
      <c r="A125" s="286"/>
      <c r="B125" s="9"/>
      <c r="C125" s="2"/>
      <c r="D125" s="8"/>
      <c r="E125" s="2"/>
      <c r="F125" s="2"/>
      <c r="G125" s="10"/>
      <c r="H125" s="2"/>
    </row>
    <row r="126" spans="1:8" ht="16" x14ac:dyDescent="0.2">
      <c r="A126" s="286"/>
      <c r="B126" s="9"/>
      <c r="C126" s="2"/>
      <c r="D126" s="8"/>
      <c r="E126" s="2"/>
      <c r="F126" s="2"/>
      <c r="G126" s="10"/>
      <c r="H126" s="2"/>
    </row>
    <row r="127" spans="1:8" ht="15.75" customHeight="1" x14ac:dyDescent="0.2">
      <c r="A127" s="286"/>
      <c r="B127" s="9"/>
      <c r="C127" s="2"/>
      <c r="D127" s="8"/>
      <c r="E127" s="2"/>
      <c r="F127" s="2"/>
      <c r="G127" s="10"/>
      <c r="H127" s="2"/>
    </row>
    <row r="128" spans="1:8" ht="15.75" customHeight="1" x14ac:dyDescent="0.2">
      <c r="A128" s="286"/>
      <c r="B128" s="9"/>
      <c r="C128" s="2"/>
      <c r="D128" s="8"/>
      <c r="E128" s="2"/>
      <c r="F128" s="2"/>
      <c r="G128" s="10"/>
      <c r="H128" s="18"/>
    </row>
    <row r="129" spans="1:8" ht="15.75" customHeight="1" x14ac:dyDescent="0.2">
      <c r="A129" s="286"/>
      <c r="B129" s="9"/>
      <c r="C129" s="2"/>
      <c r="D129" s="8"/>
      <c r="E129" s="2"/>
      <c r="F129" s="2"/>
      <c r="G129" s="10"/>
      <c r="H129" s="18"/>
    </row>
    <row r="130" spans="1:8" ht="15.75" customHeight="1" x14ac:dyDescent="0.2">
      <c r="A130" s="286"/>
      <c r="B130" s="9"/>
      <c r="C130" s="2"/>
      <c r="D130" s="8"/>
      <c r="E130" s="2"/>
      <c r="F130" s="2"/>
      <c r="G130" s="10"/>
      <c r="H130" s="18"/>
    </row>
    <row r="131" spans="1:8" ht="15.75" customHeight="1" x14ac:dyDescent="0.2">
      <c r="A131" s="286"/>
      <c r="B131" s="9"/>
      <c r="C131" s="2"/>
      <c r="D131" s="8"/>
      <c r="E131" s="2"/>
      <c r="F131" s="2"/>
      <c r="G131" s="10"/>
      <c r="H131" s="2"/>
    </row>
    <row r="132" spans="1:8" ht="15.75" customHeight="1" x14ac:dyDescent="0.2">
      <c r="A132" s="286"/>
      <c r="B132" s="9"/>
      <c r="C132" s="2"/>
      <c r="D132" s="8"/>
      <c r="E132" s="2"/>
      <c r="F132" s="2"/>
      <c r="G132" s="10"/>
      <c r="H132" s="2"/>
    </row>
    <row r="133" spans="1:8" ht="15.75" customHeight="1" x14ac:dyDescent="0.2">
      <c r="A133" s="286"/>
      <c r="B133" s="9"/>
      <c r="C133" s="2"/>
      <c r="D133" s="8"/>
      <c r="E133" s="2"/>
      <c r="F133" s="2"/>
      <c r="G133" s="10"/>
      <c r="H133" s="2"/>
    </row>
    <row r="134" spans="1:8" ht="15.75" customHeight="1" x14ac:dyDescent="0.2">
      <c r="A134" s="286"/>
      <c r="B134" s="9"/>
      <c r="C134" s="2"/>
      <c r="D134" s="8"/>
      <c r="E134" s="2"/>
      <c r="F134" s="2"/>
      <c r="G134" s="10"/>
      <c r="H134" s="2"/>
    </row>
    <row r="135" spans="1:8" ht="15.75" customHeight="1" x14ac:dyDescent="0.2">
      <c r="A135" s="286"/>
      <c r="B135" s="9"/>
      <c r="C135" s="2"/>
      <c r="D135" s="8"/>
      <c r="E135" s="2"/>
      <c r="F135" s="2"/>
      <c r="G135" s="10"/>
      <c r="H135" s="2"/>
    </row>
    <row r="136" spans="1:8" ht="15.75" customHeight="1" x14ac:dyDescent="0.2">
      <c r="A136" s="286"/>
      <c r="B136" s="9"/>
      <c r="C136" s="2"/>
      <c r="D136" s="8"/>
      <c r="E136" s="2"/>
      <c r="F136" s="2"/>
      <c r="G136" s="10"/>
      <c r="H136" s="2"/>
    </row>
    <row r="137" spans="1:8" ht="15.75" customHeight="1" x14ac:dyDescent="0.2">
      <c r="A137" s="286"/>
      <c r="B137" s="9"/>
      <c r="C137" s="2"/>
      <c r="D137" s="8"/>
      <c r="E137" s="2"/>
      <c r="F137" s="2"/>
      <c r="G137" s="10"/>
      <c r="H137" s="2"/>
    </row>
    <row r="138" spans="1:8" ht="15.75" customHeight="1" x14ac:dyDescent="0.2">
      <c r="A138" s="286"/>
      <c r="B138" s="9"/>
      <c r="C138" s="2"/>
      <c r="D138" s="8"/>
      <c r="E138" s="2"/>
      <c r="F138" s="2"/>
      <c r="G138" s="10"/>
      <c r="H138" s="2"/>
    </row>
    <row r="139" spans="1:8" ht="15.75" customHeight="1" x14ac:dyDescent="0.2">
      <c r="A139" s="286"/>
      <c r="B139" s="9"/>
      <c r="C139" s="2"/>
      <c r="D139" s="8"/>
      <c r="E139" s="2"/>
      <c r="F139" s="2"/>
      <c r="G139" s="10"/>
      <c r="H139" s="2"/>
    </row>
    <row r="140" spans="1:8" ht="15.75" customHeight="1" x14ac:dyDescent="0.2">
      <c r="A140" s="286"/>
      <c r="B140" s="9"/>
      <c r="C140" s="2"/>
      <c r="D140" s="8"/>
      <c r="E140" s="2"/>
      <c r="F140" s="2"/>
      <c r="G140" s="10"/>
      <c r="H140" s="2"/>
    </row>
    <row r="141" spans="1:8" ht="15.75" customHeight="1" x14ac:dyDescent="0.2">
      <c r="A141" s="286"/>
      <c r="B141" s="9"/>
      <c r="C141" s="2"/>
      <c r="D141" s="8"/>
      <c r="E141" s="2"/>
      <c r="F141" s="2"/>
      <c r="G141" s="10"/>
      <c r="H141" s="2"/>
    </row>
    <row r="142" spans="1:8" ht="15.75" customHeight="1" x14ac:dyDescent="0.2">
      <c r="A142" s="286"/>
      <c r="B142" s="9"/>
      <c r="C142" s="2"/>
      <c r="D142" s="8"/>
      <c r="E142" s="2"/>
      <c r="F142" s="2"/>
      <c r="G142" s="10"/>
      <c r="H142" s="2"/>
    </row>
    <row r="143" spans="1:8" ht="15.75" customHeight="1" x14ac:dyDescent="0.2">
      <c r="A143" s="286"/>
      <c r="B143" s="9"/>
      <c r="C143" s="2"/>
      <c r="D143" s="8"/>
      <c r="E143" s="2"/>
      <c r="F143" s="2"/>
      <c r="G143" s="10"/>
      <c r="H143" s="2"/>
    </row>
    <row r="144" spans="1:8" ht="15.75" customHeight="1" x14ac:dyDescent="0.2">
      <c r="A144" s="286"/>
      <c r="B144" s="9"/>
      <c r="C144" s="2"/>
      <c r="D144" s="8"/>
      <c r="E144" s="2"/>
      <c r="F144" s="2"/>
      <c r="G144" s="10"/>
      <c r="H144" s="2"/>
    </row>
    <row r="145" spans="1:8" ht="15.75" customHeight="1" x14ac:dyDescent="0.2">
      <c r="A145" s="286"/>
      <c r="B145" s="9"/>
      <c r="C145" s="2"/>
      <c r="D145" s="8"/>
      <c r="E145" s="2"/>
      <c r="F145" s="2"/>
      <c r="G145" s="10"/>
      <c r="H145" s="2"/>
    </row>
    <row r="146" spans="1:8" ht="15.75" customHeight="1" x14ac:dyDescent="0.2">
      <c r="A146" s="286"/>
      <c r="B146" s="9"/>
      <c r="C146" s="2"/>
      <c r="D146" s="8"/>
      <c r="E146" s="2"/>
      <c r="F146" s="2"/>
      <c r="G146" s="10"/>
      <c r="H146" s="2"/>
    </row>
    <row r="147" spans="1:8" ht="15.75" customHeight="1" x14ac:dyDescent="0.2">
      <c r="A147" s="286"/>
      <c r="B147" s="9"/>
      <c r="C147" s="2"/>
      <c r="D147" s="8"/>
      <c r="E147" s="2"/>
      <c r="F147" s="2"/>
      <c r="G147" s="10"/>
      <c r="H147" s="2"/>
    </row>
    <row r="148" spans="1:8" ht="15.75" customHeight="1" x14ac:dyDescent="0.2">
      <c r="A148" s="286"/>
      <c r="B148" s="9"/>
      <c r="C148" s="2"/>
      <c r="D148" s="8"/>
      <c r="E148" s="2"/>
      <c r="F148" s="2"/>
      <c r="G148" s="22"/>
      <c r="H148" s="2"/>
    </row>
    <row r="149" spans="1:8" ht="15.75" customHeight="1" x14ac:dyDescent="0.2">
      <c r="A149" s="286"/>
      <c r="B149" s="9"/>
      <c r="C149" s="2"/>
      <c r="D149" s="8"/>
      <c r="E149" s="2"/>
      <c r="F149" s="2"/>
      <c r="G149" s="10"/>
      <c r="H149" s="2"/>
    </row>
    <row r="150" spans="1:8" ht="15.75" customHeight="1" x14ac:dyDescent="0.2">
      <c r="A150" s="286"/>
      <c r="B150" s="9"/>
      <c r="C150" s="2"/>
      <c r="D150" s="8"/>
      <c r="E150" s="2"/>
      <c r="F150" s="2"/>
      <c r="G150" s="22"/>
      <c r="H150" s="2"/>
    </row>
    <row r="151" spans="1:8" ht="15.75" customHeight="1" x14ac:dyDescent="0.2">
      <c r="A151" s="286"/>
      <c r="B151" s="9"/>
      <c r="C151" s="2"/>
      <c r="D151" s="8"/>
      <c r="E151" s="2"/>
      <c r="F151" s="2"/>
      <c r="G151" s="10"/>
      <c r="H151" s="2"/>
    </row>
    <row r="152" spans="1:8" ht="15.75" customHeight="1" x14ac:dyDescent="0.2">
      <c r="A152" s="286"/>
      <c r="B152" s="9"/>
      <c r="C152" s="2"/>
      <c r="D152" s="8"/>
      <c r="E152" s="2"/>
      <c r="F152" s="2"/>
      <c r="G152" s="24"/>
      <c r="H152" s="2"/>
    </row>
    <row r="153" spans="1:8" ht="15.75" customHeight="1" x14ac:dyDescent="0.2">
      <c r="A153" s="286"/>
      <c r="B153" s="9"/>
      <c r="C153" s="2"/>
      <c r="D153" s="8"/>
      <c r="E153" s="2"/>
      <c r="F153" s="2"/>
      <c r="G153" s="24"/>
      <c r="H153" s="2"/>
    </row>
    <row r="154" spans="1:8" ht="15.75" customHeight="1" x14ac:dyDescent="0.2">
      <c r="A154" s="286"/>
      <c r="B154" s="9"/>
      <c r="C154" s="2"/>
      <c r="D154" s="8"/>
      <c r="E154" s="2"/>
      <c r="F154" s="2"/>
      <c r="G154" s="22"/>
      <c r="H154" s="2"/>
    </row>
    <row r="155" spans="1:8" ht="15.75" customHeight="1" x14ac:dyDescent="0.2">
      <c r="A155" s="286"/>
      <c r="B155" s="9"/>
      <c r="C155" s="2"/>
      <c r="D155" s="8"/>
      <c r="E155" s="2"/>
      <c r="F155" s="2"/>
      <c r="G155" s="10"/>
      <c r="H155" s="2"/>
    </row>
    <row r="156" spans="1:8" ht="15.75" customHeight="1" x14ac:dyDescent="0.2">
      <c r="A156" s="286"/>
      <c r="B156" s="9"/>
      <c r="C156" s="2"/>
      <c r="D156" s="8"/>
      <c r="E156" s="2"/>
      <c r="F156" s="2"/>
      <c r="G156" s="10"/>
      <c r="H156" s="2"/>
    </row>
    <row r="157" spans="1:8" ht="15.75" customHeight="1" x14ac:dyDescent="0.2">
      <c r="A157" s="286"/>
      <c r="B157" s="9"/>
      <c r="C157" s="2"/>
      <c r="D157" s="8"/>
      <c r="E157" s="2"/>
      <c r="F157" s="2"/>
      <c r="G157" s="10"/>
      <c r="H157" s="2"/>
    </row>
    <row r="158" spans="1:8" ht="15.75" customHeight="1" x14ac:dyDescent="0.2">
      <c r="A158" s="286"/>
      <c r="B158" s="9"/>
      <c r="C158" s="2"/>
      <c r="D158" s="8"/>
      <c r="E158" s="2"/>
      <c r="F158" s="2"/>
      <c r="G158" s="10"/>
      <c r="H158" s="2"/>
    </row>
    <row r="159" spans="1:8" ht="15.75" customHeight="1" x14ac:dyDescent="0.2">
      <c r="A159" s="286"/>
      <c r="B159" s="9"/>
      <c r="C159" s="2"/>
      <c r="D159" s="8"/>
      <c r="E159" s="2"/>
      <c r="F159" s="2"/>
      <c r="G159" s="10"/>
      <c r="H159" s="18"/>
    </row>
    <row r="160" spans="1:8" ht="15.75" customHeight="1" x14ac:dyDescent="0.2">
      <c r="A160" s="286"/>
      <c r="B160" s="9"/>
      <c r="C160" s="2"/>
      <c r="D160" s="8"/>
      <c r="E160" s="2"/>
      <c r="F160" s="2"/>
      <c r="G160" s="10"/>
      <c r="H160" s="2"/>
    </row>
    <row r="161" spans="1:8" ht="15.75" customHeight="1" x14ac:dyDescent="0.2">
      <c r="A161" s="286"/>
      <c r="B161" s="9"/>
      <c r="C161" s="2"/>
      <c r="D161" s="8"/>
      <c r="E161" s="2"/>
      <c r="F161" s="2"/>
      <c r="G161" s="10"/>
      <c r="H161" s="2"/>
    </row>
    <row r="162" spans="1:8" ht="15.75" customHeight="1" x14ac:dyDescent="0.2">
      <c r="A162" s="286"/>
      <c r="B162" s="9"/>
      <c r="C162" s="2"/>
      <c r="D162" s="8"/>
      <c r="E162" s="2"/>
      <c r="F162" s="2"/>
      <c r="G162" s="10"/>
      <c r="H162" s="2"/>
    </row>
    <row r="163" spans="1:8" ht="15.75" customHeight="1" x14ac:dyDescent="0.2">
      <c r="A163" s="286"/>
      <c r="B163" s="9"/>
      <c r="C163" s="2"/>
      <c r="D163" s="8"/>
      <c r="E163" s="2"/>
      <c r="F163" s="2"/>
      <c r="G163" s="10"/>
      <c r="H163" s="18"/>
    </row>
    <row r="164" spans="1:8" ht="15.75" customHeight="1" x14ac:dyDescent="0.2">
      <c r="A164" s="286"/>
      <c r="B164" s="9"/>
      <c r="C164" s="2"/>
      <c r="D164" s="8"/>
      <c r="E164" s="2"/>
      <c r="F164" s="2"/>
      <c r="G164" s="24"/>
      <c r="H164" s="18"/>
    </row>
    <row r="165" spans="1:8" ht="15.75" customHeight="1" x14ac:dyDescent="0.2">
      <c r="A165" s="286"/>
      <c r="B165" s="9"/>
      <c r="C165" s="2"/>
      <c r="D165" s="8"/>
      <c r="E165" s="2"/>
      <c r="F165" s="2"/>
      <c r="G165" s="24"/>
      <c r="H165" s="18"/>
    </row>
    <row r="166" spans="1:8" ht="15.75" customHeight="1" x14ac:dyDescent="0.2">
      <c r="A166" s="286"/>
      <c r="B166" s="9"/>
      <c r="C166" s="2"/>
      <c r="D166" s="8"/>
      <c r="E166" s="2"/>
      <c r="F166" s="2"/>
      <c r="G166" s="10"/>
      <c r="H166" s="2"/>
    </row>
    <row r="167" spans="1:8" ht="15.75" customHeight="1" x14ac:dyDescent="0.2">
      <c r="A167" s="286"/>
      <c r="B167" s="9"/>
      <c r="C167" s="2"/>
      <c r="D167" s="8"/>
      <c r="E167" s="2"/>
      <c r="F167" s="2"/>
      <c r="G167" s="10"/>
      <c r="H167" s="2"/>
    </row>
    <row r="168" spans="1:8" ht="15.75" customHeight="1" x14ac:dyDescent="0.2">
      <c r="A168" s="286"/>
      <c r="B168" s="9"/>
      <c r="C168" s="2"/>
      <c r="D168" s="8"/>
      <c r="E168" s="2"/>
      <c r="F168" s="2"/>
      <c r="G168" s="10"/>
      <c r="H168" s="2"/>
    </row>
    <row r="169" spans="1:8" ht="15.75" customHeight="1" x14ac:dyDescent="0.2">
      <c r="A169" s="286"/>
      <c r="B169" s="9"/>
      <c r="C169" s="2"/>
      <c r="D169" s="8"/>
      <c r="E169" s="2"/>
      <c r="F169" s="2"/>
      <c r="G169" s="10"/>
      <c r="H169" s="2"/>
    </row>
    <row r="170" spans="1:8" ht="15.75" customHeight="1" x14ac:dyDescent="0.2">
      <c r="A170" s="286"/>
      <c r="B170" s="9"/>
      <c r="C170" s="2"/>
      <c r="D170" s="8"/>
      <c r="E170" s="2"/>
      <c r="F170" s="2"/>
      <c r="G170" s="10"/>
      <c r="H170" s="2"/>
    </row>
    <row r="171" spans="1:8" ht="15.75" customHeight="1" x14ac:dyDescent="0.2">
      <c r="A171" s="286"/>
      <c r="B171" s="9"/>
      <c r="C171" s="2"/>
      <c r="D171" s="8"/>
      <c r="E171" s="2"/>
      <c r="F171" s="2"/>
      <c r="G171" s="10"/>
      <c r="H171" s="2"/>
    </row>
    <row r="172" spans="1:8" ht="15.75" customHeight="1" x14ac:dyDescent="0.2">
      <c r="A172" s="286"/>
      <c r="B172" s="9"/>
      <c r="C172" s="2"/>
      <c r="D172" s="8"/>
      <c r="E172" s="2"/>
      <c r="F172" s="2"/>
      <c r="G172" s="10"/>
      <c r="H172" s="2"/>
    </row>
    <row r="173" spans="1:8" ht="15.75" customHeight="1" x14ac:dyDescent="0.2">
      <c r="A173" s="286"/>
      <c r="B173" s="9"/>
      <c r="C173" s="2"/>
      <c r="D173" s="8"/>
      <c r="E173" s="2"/>
      <c r="F173" s="2"/>
      <c r="G173" s="10"/>
      <c r="H173" s="2"/>
    </row>
    <row r="174" spans="1:8" ht="15.75" customHeight="1" x14ac:dyDescent="0.2">
      <c r="A174" s="286"/>
      <c r="B174" s="9"/>
      <c r="C174" s="2"/>
      <c r="D174" s="8"/>
      <c r="E174" s="2"/>
      <c r="F174" s="2"/>
      <c r="G174" s="10"/>
      <c r="H174" s="2"/>
    </row>
    <row r="175" spans="1:8" ht="15.75" customHeight="1" x14ac:dyDescent="0.2">
      <c r="A175" s="286"/>
      <c r="B175" s="9"/>
      <c r="C175" s="2"/>
      <c r="D175" s="8"/>
      <c r="E175" s="2"/>
      <c r="F175" s="2"/>
      <c r="G175" s="10"/>
      <c r="H175" s="2"/>
    </row>
    <row r="176" spans="1:8" ht="15.75" customHeight="1" x14ac:dyDescent="0.2">
      <c r="A176" s="286"/>
      <c r="B176" s="9"/>
      <c r="C176" s="2"/>
      <c r="D176" s="8"/>
      <c r="E176" s="2"/>
      <c r="F176" s="2"/>
      <c r="G176" s="10"/>
      <c r="H176" s="2"/>
    </row>
    <row r="177" spans="1:8" ht="15.75" customHeight="1" x14ac:dyDescent="0.2">
      <c r="A177" s="286"/>
      <c r="B177" s="9"/>
      <c r="C177" s="2"/>
      <c r="D177" s="8"/>
      <c r="E177" s="2"/>
      <c r="F177" s="2"/>
      <c r="G177" s="10"/>
      <c r="H177" s="2"/>
    </row>
    <row r="178" spans="1:8" ht="15.75" customHeight="1" x14ac:dyDescent="0.2">
      <c r="A178" s="286"/>
      <c r="B178" s="9"/>
      <c r="C178" s="2"/>
      <c r="D178" s="8"/>
      <c r="E178" s="2"/>
      <c r="F178" s="2"/>
      <c r="G178" s="10"/>
      <c r="H178" s="2"/>
    </row>
    <row r="179" spans="1:8" ht="15.75" customHeight="1" x14ac:dyDescent="0.2">
      <c r="A179" s="286"/>
      <c r="B179" s="9"/>
      <c r="C179" s="2"/>
      <c r="D179" s="8"/>
      <c r="E179" s="2"/>
      <c r="F179" s="2"/>
      <c r="G179" s="10"/>
      <c r="H179" s="2"/>
    </row>
    <row r="180" spans="1:8" ht="15.75" customHeight="1" x14ac:dyDescent="0.2">
      <c r="A180" s="286"/>
      <c r="B180" s="9"/>
      <c r="C180" s="2"/>
      <c r="D180" s="8"/>
      <c r="E180" s="2"/>
      <c r="F180" s="2"/>
      <c r="G180" s="10"/>
      <c r="H180" s="2"/>
    </row>
    <row r="181" spans="1:8" ht="15.75" customHeight="1" x14ac:dyDescent="0.2">
      <c r="A181" s="286"/>
      <c r="B181" s="9"/>
      <c r="C181" s="2"/>
      <c r="D181" s="8"/>
      <c r="E181" s="2"/>
      <c r="F181" s="2"/>
      <c r="G181" s="10"/>
      <c r="H181" s="2"/>
    </row>
    <row r="182" spans="1:8" ht="15.75" customHeight="1" x14ac:dyDescent="0.2">
      <c r="A182" s="286"/>
      <c r="B182" s="9"/>
      <c r="C182" s="2"/>
      <c r="D182" s="8"/>
      <c r="E182" s="2"/>
      <c r="F182" s="2"/>
      <c r="G182" s="10"/>
      <c r="H182" s="2"/>
    </row>
    <row r="183" spans="1:8" ht="15.75" customHeight="1" x14ac:dyDescent="0.2">
      <c r="A183" s="286"/>
      <c r="B183" s="9"/>
      <c r="C183" s="2"/>
      <c r="D183" s="8"/>
      <c r="E183" s="2"/>
      <c r="F183" s="2"/>
      <c r="G183" s="10"/>
      <c r="H183" s="2"/>
    </row>
    <row r="184" spans="1:8" ht="15.75" customHeight="1" x14ac:dyDescent="0.2">
      <c r="A184" s="286"/>
      <c r="B184" s="9"/>
      <c r="C184" s="2"/>
      <c r="D184" s="8"/>
      <c r="E184" s="2"/>
      <c r="F184" s="2"/>
      <c r="G184" s="10"/>
      <c r="H184" s="2"/>
    </row>
    <row r="185" spans="1:8" ht="15.75" customHeight="1" x14ac:dyDescent="0.2">
      <c r="A185" s="286"/>
      <c r="B185" s="9"/>
      <c r="C185" s="2"/>
      <c r="D185" s="8"/>
      <c r="E185" s="2"/>
      <c r="F185" s="2"/>
      <c r="G185" s="10"/>
      <c r="H185" s="2"/>
    </row>
    <row r="186" spans="1:8" ht="15.75" customHeight="1" x14ac:dyDescent="0.2">
      <c r="A186" s="286"/>
      <c r="B186" s="9"/>
      <c r="C186" s="2"/>
      <c r="D186" s="8"/>
      <c r="E186" s="2"/>
      <c r="F186" s="2"/>
      <c r="G186" s="10"/>
      <c r="H186" s="2"/>
    </row>
    <row r="187" spans="1:8" ht="15.75" customHeight="1" x14ac:dyDescent="0.2">
      <c r="A187" s="286"/>
      <c r="B187" s="9"/>
      <c r="C187" s="2"/>
      <c r="D187" s="8"/>
      <c r="E187" s="2"/>
      <c r="F187" s="2"/>
      <c r="G187" s="10"/>
      <c r="H187" s="2"/>
    </row>
    <row r="188" spans="1:8" ht="15.75" customHeight="1" x14ac:dyDescent="0.2">
      <c r="A188" s="286"/>
      <c r="B188" s="9"/>
      <c r="C188" s="2"/>
      <c r="D188" s="8"/>
      <c r="E188" s="2"/>
      <c r="F188" s="2"/>
      <c r="G188" s="10"/>
      <c r="H188" s="2"/>
    </row>
    <row r="189" spans="1:8" ht="15.75" customHeight="1" x14ac:dyDescent="0.2">
      <c r="A189" s="286"/>
      <c r="B189" s="9"/>
      <c r="C189" s="2"/>
      <c r="D189" s="8"/>
      <c r="E189" s="2"/>
      <c r="F189" s="2"/>
      <c r="G189" s="10"/>
      <c r="H189" s="2"/>
    </row>
    <row r="190" spans="1:8" ht="15.75" customHeight="1" x14ac:dyDescent="0.2">
      <c r="A190" s="286"/>
      <c r="B190" s="9"/>
      <c r="C190" s="2"/>
      <c r="D190" s="8"/>
      <c r="E190" s="2"/>
      <c r="F190" s="2"/>
      <c r="G190" s="10"/>
      <c r="H190" s="2"/>
    </row>
    <row r="191" spans="1:8" ht="15.75" customHeight="1" x14ac:dyDescent="0.2">
      <c r="A191" s="286"/>
      <c r="B191" s="9"/>
      <c r="C191" s="2"/>
      <c r="D191" s="8"/>
      <c r="E191" s="2"/>
      <c r="F191" s="2"/>
      <c r="G191" s="10"/>
      <c r="H191" s="2"/>
    </row>
    <row r="192" spans="1:8" ht="15.75" customHeight="1" x14ac:dyDescent="0.2">
      <c r="A192" s="286"/>
      <c r="B192" s="9"/>
      <c r="C192" s="2"/>
      <c r="D192" s="8"/>
      <c r="E192" s="2"/>
      <c r="F192" s="2"/>
      <c r="G192" s="10"/>
      <c r="H192" s="2"/>
    </row>
    <row r="193" spans="1:8" ht="15.75" customHeight="1" x14ac:dyDescent="0.2">
      <c r="A193" s="286"/>
      <c r="B193" s="9"/>
      <c r="C193" s="2"/>
      <c r="D193" s="8"/>
      <c r="E193" s="2"/>
      <c r="F193" s="2"/>
      <c r="G193" s="10"/>
      <c r="H193" s="2"/>
    </row>
    <row r="194" spans="1:8" ht="15.75" customHeight="1" x14ac:dyDescent="0.2">
      <c r="A194" s="286"/>
      <c r="B194" s="9"/>
      <c r="C194" s="2"/>
      <c r="D194" s="8"/>
      <c r="E194" s="2"/>
      <c r="F194" s="2"/>
      <c r="G194" s="10"/>
      <c r="H194" s="2"/>
    </row>
    <row r="195" spans="1:8" ht="15.75" customHeight="1" x14ac:dyDescent="0.2">
      <c r="A195" s="286"/>
      <c r="B195" s="9"/>
      <c r="C195" s="2"/>
      <c r="D195" s="8"/>
      <c r="E195" s="2"/>
      <c r="F195" s="2"/>
      <c r="G195" s="10"/>
      <c r="H195" s="2"/>
    </row>
    <row r="196" spans="1:8" ht="15.75" customHeight="1" x14ac:dyDescent="0.2">
      <c r="A196" s="286"/>
      <c r="B196" s="9"/>
      <c r="C196" s="2"/>
      <c r="D196" s="8"/>
      <c r="E196" s="2"/>
      <c r="F196" s="2"/>
      <c r="G196" s="10"/>
      <c r="H196" s="2"/>
    </row>
    <row r="197" spans="1:8" ht="15.75" customHeight="1" x14ac:dyDescent="0.2">
      <c r="A197" s="286"/>
      <c r="B197" s="9"/>
      <c r="C197" s="2"/>
      <c r="D197" s="8"/>
      <c r="E197" s="2"/>
      <c r="F197" s="2"/>
      <c r="G197" s="10"/>
      <c r="H197" s="2"/>
    </row>
    <row r="198" spans="1:8" ht="15.75" customHeight="1" x14ac:dyDescent="0.2">
      <c r="A198" s="286"/>
      <c r="B198" s="9"/>
      <c r="C198" s="2"/>
      <c r="D198" s="8"/>
      <c r="E198" s="2"/>
      <c r="F198" s="2"/>
      <c r="G198" s="10"/>
      <c r="H198" s="2"/>
    </row>
    <row r="199" spans="1:8" ht="15.75" customHeight="1" x14ac:dyDescent="0.2">
      <c r="A199" s="286"/>
      <c r="B199" s="9"/>
      <c r="C199" s="2"/>
      <c r="D199" s="8"/>
      <c r="E199" s="2"/>
      <c r="F199" s="2"/>
      <c r="G199" s="10"/>
      <c r="H199" s="2"/>
    </row>
    <row r="200" spans="1:8" ht="15.75" customHeight="1" x14ac:dyDescent="0.2">
      <c r="A200" s="286"/>
      <c r="B200" s="9"/>
      <c r="C200" s="2"/>
      <c r="D200" s="8"/>
      <c r="E200" s="2"/>
      <c r="F200" s="2"/>
      <c r="G200" s="10"/>
      <c r="H200" s="2"/>
    </row>
    <row r="201" spans="1:8" ht="15.75" customHeight="1" x14ac:dyDescent="0.2">
      <c r="A201" s="286"/>
      <c r="B201" s="9"/>
      <c r="C201" s="2"/>
      <c r="D201" s="8"/>
      <c r="E201" s="2"/>
      <c r="F201" s="2"/>
      <c r="G201" s="10"/>
      <c r="H201" s="2"/>
    </row>
    <row r="202" spans="1:8" ht="15.75" customHeight="1" x14ac:dyDescent="0.2">
      <c r="A202" s="286"/>
      <c r="B202" s="9"/>
      <c r="C202" s="2"/>
      <c r="D202" s="8"/>
      <c r="E202" s="2"/>
      <c r="F202" s="2"/>
      <c r="G202" s="10"/>
      <c r="H202" s="2"/>
    </row>
    <row r="203" spans="1:8" ht="15.75" customHeight="1" x14ac:dyDescent="0.2">
      <c r="A203" s="286"/>
      <c r="B203" s="9"/>
      <c r="C203" s="2"/>
      <c r="D203" s="8"/>
      <c r="E203" s="2"/>
      <c r="F203" s="2"/>
      <c r="G203" s="10"/>
      <c r="H203" s="2"/>
    </row>
    <row r="204" spans="1:8" ht="15.75" customHeight="1" x14ac:dyDescent="0.2">
      <c r="A204" s="286"/>
      <c r="B204" s="9"/>
      <c r="C204" s="2"/>
      <c r="D204" s="8"/>
      <c r="E204" s="2"/>
      <c r="F204" s="2"/>
      <c r="G204" s="10"/>
      <c r="H204" s="18"/>
    </row>
    <row r="205" spans="1:8" ht="15.75" customHeight="1" x14ac:dyDescent="0.2">
      <c r="A205" s="286"/>
      <c r="B205" s="9"/>
      <c r="C205" s="2"/>
      <c r="D205" s="8"/>
      <c r="E205" s="2"/>
      <c r="F205" s="2"/>
      <c r="G205" s="10"/>
      <c r="H205" s="18"/>
    </row>
    <row r="206" spans="1:8" ht="15.75" customHeight="1" x14ac:dyDescent="0.2">
      <c r="A206" s="286"/>
      <c r="B206" s="9"/>
      <c r="C206" s="2"/>
      <c r="D206" s="8"/>
      <c r="E206" s="2"/>
      <c r="F206" s="2"/>
      <c r="G206" s="10"/>
      <c r="H206" s="18"/>
    </row>
    <row r="207" spans="1:8" ht="15.75" customHeight="1" x14ac:dyDescent="0.2">
      <c r="A207" s="286"/>
      <c r="B207" s="9"/>
      <c r="C207" s="2"/>
      <c r="D207" s="8"/>
      <c r="E207" s="2"/>
      <c r="F207" s="2"/>
      <c r="G207" s="10"/>
      <c r="H207" s="18"/>
    </row>
    <row r="208" spans="1:8" ht="15.75" customHeight="1" x14ac:dyDescent="0.2">
      <c r="A208" s="286"/>
      <c r="B208" s="9"/>
      <c r="C208" s="2"/>
      <c r="D208" s="8"/>
      <c r="E208" s="2"/>
      <c r="F208" s="2"/>
      <c r="G208" s="10"/>
      <c r="H208" s="2"/>
    </row>
    <row r="209" spans="1:8" ht="15.75" customHeight="1" x14ac:dyDescent="0.2">
      <c r="A209" s="286"/>
      <c r="B209" s="9"/>
      <c r="C209" s="2"/>
      <c r="D209" s="8"/>
      <c r="E209" s="2"/>
      <c r="F209" s="2"/>
      <c r="G209" s="10"/>
      <c r="H209" s="2"/>
    </row>
    <row r="210" spans="1:8" ht="15.75" customHeight="1" x14ac:dyDescent="0.2">
      <c r="A210" s="286"/>
      <c r="B210" s="9"/>
      <c r="C210" s="2"/>
      <c r="D210" s="8"/>
      <c r="E210" s="2"/>
      <c r="F210" s="2"/>
      <c r="G210" s="10"/>
      <c r="H210" s="2"/>
    </row>
    <row r="211" spans="1:8" ht="15.75" customHeight="1" x14ac:dyDescent="0.2">
      <c r="A211" s="286"/>
      <c r="B211" s="9"/>
      <c r="C211" s="2"/>
      <c r="D211" s="8"/>
      <c r="E211" s="2"/>
      <c r="F211" s="2"/>
      <c r="G211" s="10"/>
      <c r="H211" s="2"/>
    </row>
    <row r="212" spans="1:8" ht="15.75" customHeight="1" x14ac:dyDescent="0.2">
      <c r="A212" s="286"/>
      <c r="B212" s="9"/>
      <c r="C212" s="2"/>
      <c r="D212" s="8"/>
      <c r="E212" s="2"/>
      <c r="F212" s="2"/>
      <c r="G212" s="10"/>
      <c r="H212" s="2"/>
    </row>
    <row r="213" spans="1:8" ht="15.75" customHeight="1" x14ac:dyDescent="0.2">
      <c r="A213" s="286"/>
      <c r="B213" s="9"/>
      <c r="C213" s="2"/>
      <c r="D213" s="8"/>
      <c r="E213" s="2"/>
      <c r="F213" s="2"/>
      <c r="G213" s="10"/>
      <c r="H213" s="2"/>
    </row>
    <row r="214" spans="1:8" ht="15.75" customHeight="1" x14ac:dyDescent="0.2">
      <c r="A214" s="286"/>
      <c r="B214" s="9"/>
      <c r="C214" s="2"/>
      <c r="D214" s="8"/>
      <c r="E214" s="2"/>
      <c r="F214" s="2"/>
      <c r="G214" s="10"/>
      <c r="H214" s="2"/>
    </row>
    <row r="215" spans="1:8" ht="15.75" customHeight="1" x14ac:dyDescent="0.2">
      <c r="A215" s="286"/>
      <c r="B215" s="9"/>
      <c r="C215" s="2"/>
      <c r="D215" s="8"/>
      <c r="E215" s="2"/>
      <c r="F215" s="2"/>
      <c r="G215" s="10"/>
      <c r="H215" s="2"/>
    </row>
    <row r="216" spans="1:8" ht="15.75" customHeight="1" x14ac:dyDescent="0.2">
      <c r="A216" s="286"/>
      <c r="B216" s="9"/>
      <c r="C216" s="2"/>
      <c r="D216" s="8"/>
      <c r="E216" s="2"/>
      <c r="F216" s="2"/>
      <c r="G216" s="10"/>
      <c r="H216" s="2"/>
    </row>
    <row r="217" spans="1:8" ht="15.75" customHeight="1" x14ac:dyDescent="0.2">
      <c r="A217" s="286"/>
      <c r="B217" s="9"/>
      <c r="C217" s="2"/>
      <c r="D217" s="8"/>
      <c r="E217" s="2"/>
      <c r="F217" s="2"/>
      <c r="G217" s="10"/>
      <c r="H217" s="2"/>
    </row>
    <row r="218" spans="1:8" ht="15.75" customHeight="1" x14ac:dyDescent="0.2">
      <c r="A218" s="286"/>
      <c r="B218" s="9"/>
      <c r="C218" s="2"/>
      <c r="D218" s="8"/>
      <c r="E218" s="2"/>
      <c r="F218" s="2"/>
      <c r="G218" s="10"/>
      <c r="H218" s="2"/>
    </row>
    <row r="219" spans="1:8" ht="15.75" customHeight="1" x14ac:dyDescent="0.2">
      <c r="A219" s="286"/>
      <c r="B219" s="9"/>
      <c r="C219" s="2"/>
      <c r="D219" s="8"/>
      <c r="E219" s="2"/>
      <c r="F219" s="2"/>
      <c r="G219" s="10"/>
      <c r="H219" s="2"/>
    </row>
    <row r="220" spans="1:8" ht="15.75" customHeight="1" x14ac:dyDescent="0.2">
      <c r="A220" s="286"/>
      <c r="B220" s="9"/>
      <c r="C220" s="2"/>
      <c r="D220" s="8"/>
      <c r="E220" s="2"/>
      <c r="F220" s="2"/>
      <c r="G220" s="10"/>
      <c r="H220" s="2"/>
    </row>
    <row r="221" spans="1:8" ht="15.75" customHeight="1" x14ac:dyDescent="0.2">
      <c r="A221" s="286"/>
      <c r="B221" s="9"/>
      <c r="C221" s="2"/>
      <c r="D221" s="8"/>
      <c r="E221" s="2"/>
      <c r="F221" s="2"/>
      <c r="G221" s="10"/>
      <c r="H221" s="21"/>
    </row>
    <row r="222" spans="1:8" ht="15.75" customHeight="1" x14ac:dyDescent="0.2">
      <c r="A222" s="286"/>
      <c r="B222" s="9"/>
      <c r="C222" s="2"/>
      <c r="D222" s="8"/>
      <c r="E222" s="2"/>
      <c r="F222" s="2"/>
      <c r="G222" s="10"/>
      <c r="H222" s="21"/>
    </row>
    <row r="223" spans="1:8" ht="15.75" customHeight="1" x14ac:dyDescent="0.2">
      <c r="A223" s="286"/>
      <c r="B223" s="9"/>
      <c r="C223" s="2"/>
      <c r="D223" s="8"/>
      <c r="E223" s="8"/>
      <c r="F223" s="2"/>
      <c r="G223" s="10"/>
    </row>
    <row r="224" spans="1:8" ht="15.75" customHeight="1" x14ac:dyDescent="0.2">
      <c r="A224" s="286"/>
      <c r="B224" s="9"/>
      <c r="C224" s="2"/>
      <c r="D224" s="8"/>
      <c r="E224" s="8"/>
      <c r="F224" s="2"/>
      <c r="G224" s="10"/>
    </row>
    <row r="225" spans="1:7" ht="15.75" customHeight="1" x14ac:dyDescent="0.2">
      <c r="A225" s="286"/>
      <c r="B225" s="9"/>
      <c r="C225" s="2"/>
      <c r="D225" s="8"/>
      <c r="E225" s="8"/>
      <c r="F225" s="2"/>
      <c r="G225" s="10"/>
    </row>
    <row r="226" spans="1:7" ht="15.75" customHeight="1" x14ac:dyDescent="0.2">
      <c r="A226" s="286"/>
      <c r="B226" s="9"/>
      <c r="C226" s="2"/>
      <c r="D226" s="8"/>
      <c r="E226" s="8"/>
      <c r="F226" s="2"/>
      <c r="G226" s="10"/>
    </row>
    <row r="227" spans="1:7" ht="15.75" customHeight="1" x14ac:dyDescent="0.2">
      <c r="A227" s="286"/>
      <c r="B227" s="9"/>
      <c r="C227" s="2"/>
      <c r="D227" s="8"/>
      <c r="E227" s="8"/>
      <c r="F227" s="2"/>
      <c r="G227" s="10"/>
    </row>
    <row r="228" spans="1:7" ht="15.75" customHeight="1" x14ac:dyDescent="0.2">
      <c r="A228" s="286"/>
      <c r="B228" s="9"/>
      <c r="C228" s="2"/>
      <c r="D228" s="8"/>
      <c r="E228" s="8"/>
      <c r="F228" s="2"/>
      <c r="G228" s="10"/>
    </row>
    <row r="229" spans="1:7" ht="15.75" customHeight="1" x14ac:dyDescent="0.2">
      <c r="A229" s="286"/>
      <c r="B229" s="9"/>
      <c r="C229" s="2"/>
      <c r="D229" s="8"/>
      <c r="E229" s="8"/>
      <c r="F229" s="2"/>
      <c r="G229" s="10"/>
    </row>
    <row r="230" spans="1:7" ht="15.75" customHeight="1" x14ac:dyDescent="0.2">
      <c r="A230" s="286"/>
      <c r="B230" s="9"/>
      <c r="C230" s="2"/>
      <c r="D230" s="8"/>
      <c r="E230" s="8"/>
      <c r="F230" s="2"/>
      <c r="G230" s="10"/>
    </row>
    <row r="231" spans="1:7" ht="15.75" customHeight="1" x14ac:dyDescent="0.2">
      <c r="A231" s="286"/>
      <c r="B231" s="9"/>
      <c r="C231" s="2"/>
      <c r="D231" s="8"/>
      <c r="E231" s="8"/>
      <c r="F231" s="2"/>
      <c r="G231" s="10"/>
    </row>
    <row r="232" spans="1:7" ht="15.75" customHeight="1" x14ac:dyDescent="0.2">
      <c r="A232" s="286"/>
      <c r="B232" s="9"/>
      <c r="C232" s="2"/>
      <c r="D232" s="8"/>
      <c r="E232" s="8"/>
      <c r="F232" s="2"/>
      <c r="G232" s="10"/>
    </row>
    <row r="233" spans="1:7" ht="15.75" customHeight="1" x14ac:dyDescent="0.2">
      <c r="A233" s="286"/>
      <c r="B233" s="9"/>
      <c r="C233" s="2"/>
      <c r="D233" s="8"/>
      <c r="E233" s="8"/>
      <c r="F233" s="2"/>
      <c r="G233" s="10"/>
    </row>
    <row r="234" spans="1:7" ht="15.75" customHeight="1" x14ac:dyDescent="0.2">
      <c r="A234" s="286"/>
      <c r="B234" s="9"/>
      <c r="C234" s="2"/>
      <c r="D234" s="8"/>
      <c r="E234" s="8"/>
      <c r="F234" s="2"/>
      <c r="G234" s="10"/>
    </row>
    <row r="235" spans="1:7" ht="15.75" customHeight="1" x14ac:dyDescent="0.2">
      <c r="A235" s="286"/>
      <c r="B235" s="9"/>
      <c r="C235" s="2"/>
      <c r="D235" s="8"/>
      <c r="E235" s="8"/>
      <c r="F235" s="2"/>
      <c r="G235" s="10"/>
    </row>
    <row r="236" spans="1:7" ht="15.75" customHeight="1" x14ac:dyDescent="0.2">
      <c r="A236" s="286"/>
      <c r="B236" s="9"/>
      <c r="C236" s="2"/>
      <c r="D236" s="8"/>
      <c r="E236" s="8"/>
      <c r="F236" s="2"/>
      <c r="G236" s="10"/>
    </row>
    <row r="237" spans="1:7" ht="15.75" customHeight="1" x14ac:dyDescent="0.2">
      <c r="A237" s="286"/>
      <c r="B237" s="9"/>
      <c r="C237" s="2"/>
      <c r="D237" s="8"/>
      <c r="E237" s="8"/>
      <c r="F237" s="2"/>
      <c r="G237" s="10"/>
    </row>
    <row r="238" spans="1:7" ht="15.75" customHeight="1" x14ac:dyDescent="0.2">
      <c r="A238" s="286"/>
      <c r="B238" s="9"/>
      <c r="C238" s="2"/>
      <c r="D238" s="8"/>
      <c r="E238" s="8"/>
      <c r="F238" s="2"/>
      <c r="G238" s="10"/>
    </row>
    <row r="239" spans="1:7" ht="15.75" customHeight="1" x14ac:dyDescent="0.2">
      <c r="A239" s="286"/>
      <c r="B239" s="9"/>
      <c r="C239" s="2"/>
      <c r="D239" s="8"/>
      <c r="E239" s="8"/>
      <c r="F239" s="2"/>
      <c r="G239" s="10"/>
    </row>
    <row r="240" spans="1:7" ht="15.75" customHeight="1" x14ac:dyDescent="0.2">
      <c r="A240" s="286"/>
      <c r="B240" s="9"/>
      <c r="C240" s="2"/>
      <c r="D240" s="8"/>
      <c r="E240" s="8"/>
      <c r="F240" s="2"/>
      <c r="G240" s="10"/>
    </row>
    <row r="241" spans="1:7" ht="15.75" customHeight="1" x14ac:dyDescent="0.2">
      <c r="A241" s="286"/>
      <c r="B241" s="9"/>
      <c r="C241" s="2"/>
      <c r="D241" s="8"/>
      <c r="E241" s="8"/>
      <c r="F241" s="2"/>
      <c r="G241" s="10"/>
    </row>
    <row r="242" spans="1:7" ht="15.75" customHeight="1" x14ac:dyDescent="0.2">
      <c r="A242" s="286"/>
      <c r="B242" s="9"/>
      <c r="C242" s="2"/>
      <c r="D242" s="8"/>
      <c r="E242" s="8"/>
      <c r="F242" s="2"/>
      <c r="G242" s="10"/>
    </row>
    <row r="243" spans="1:7" ht="15.75" customHeight="1" x14ac:dyDescent="0.2">
      <c r="A243" s="286"/>
      <c r="B243" s="9"/>
      <c r="C243" s="2"/>
      <c r="D243" s="8"/>
      <c r="E243" s="8"/>
      <c r="F243" s="2"/>
      <c r="G243" s="10"/>
    </row>
    <row r="244" spans="1:7" ht="15.75" customHeight="1" x14ac:dyDescent="0.2">
      <c r="A244" s="286"/>
      <c r="B244" s="9"/>
      <c r="C244" s="2"/>
      <c r="D244" s="8"/>
      <c r="E244" s="8"/>
      <c r="F244" s="2"/>
      <c r="G244" s="10"/>
    </row>
    <row r="245" spans="1:7" ht="15.75" customHeight="1" x14ac:dyDescent="0.2">
      <c r="A245" s="286"/>
      <c r="B245" s="9"/>
      <c r="C245" s="2"/>
      <c r="D245" s="8"/>
      <c r="E245" s="8"/>
      <c r="F245" s="2"/>
      <c r="G245" s="10"/>
    </row>
    <row r="246" spans="1:7" ht="15.75" customHeight="1" x14ac:dyDescent="0.2">
      <c r="A246" s="286"/>
      <c r="B246" s="9"/>
      <c r="C246" s="2"/>
      <c r="D246" s="8"/>
      <c r="E246" s="8"/>
      <c r="F246" s="2"/>
      <c r="G246" s="10"/>
    </row>
    <row r="247" spans="1:7" ht="15.75" customHeight="1" x14ac:dyDescent="0.2">
      <c r="A247" s="286"/>
      <c r="B247" s="9"/>
      <c r="C247" s="2"/>
      <c r="D247" s="8"/>
      <c r="E247" s="8"/>
      <c r="F247" s="2"/>
      <c r="G247" s="10"/>
    </row>
    <row r="248" spans="1:7" ht="15.75" customHeight="1" x14ac:dyDescent="0.2">
      <c r="A248" s="286"/>
      <c r="B248" s="9"/>
      <c r="C248" s="2"/>
      <c r="D248" s="8"/>
      <c r="E248" s="8"/>
      <c r="F248" s="2"/>
      <c r="G248" s="10"/>
    </row>
    <row r="249" spans="1:7" ht="15.75" customHeight="1" x14ac:dyDescent="0.2">
      <c r="A249" s="286"/>
      <c r="B249" s="9"/>
      <c r="C249" s="2"/>
      <c r="D249" s="8"/>
      <c r="E249" s="8"/>
      <c r="F249" s="2"/>
      <c r="G249" s="10"/>
    </row>
    <row r="250" spans="1:7" ht="15.75" customHeight="1" x14ac:dyDescent="0.2">
      <c r="A250" s="286"/>
      <c r="B250" s="9"/>
      <c r="C250" s="2"/>
      <c r="D250" s="8"/>
      <c r="E250" s="8"/>
      <c r="F250" s="2"/>
      <c r="G250" s="10"/>
    </row>
    <row r="251" spans="1:7" ht="15.75" customHeight="1" x14ac:dyDescent="0.2">
      <c r="A251" s="286"/>
      <c r="B251" s="9"/>
      <c r="C251" s="2"/>
      <c r="D251" s="8"/>
      <c r="E251" s="8"/>
      <c r="F251" s="2"/>
      <c r="G251" s="10"/>
    </row>
    <row r="252" spans="1:7" ht="15.75" customHeight="1" x14ac:dyDescent="0.2">
      <c r="A252" s="286"/>
      <c r="B252" s="9"/>
      <c r="C252" s="2"/>
      <c r="D252" s="8"/>
      <c r="E252" s="8"/>
      <c r="F252" s="2"/>
      <c r="G252" s="10"/>
    </row>
    <row r="253" spans="1:7" ht="15.75" customHeight="1" x14ac:dyDescent="0.2">
      <c r="A253" s="286"/>
      <c r="B253" s="9"/>
      <c r="C253" s="2"/>
      <c r="D253" s="8"/>
      <c r="E253" s="8"/>
      <c r="F253" s="2"/>
      <c r="G253" s="10"/>
    </row>
    <row r="254" spans="1:7" ht="15.75" customHeight="1" x14ac:dyDescent="0.2">
      <c r="A254" s="286"/>
      <c r="B254" s="9"/>
      <c r="C254" s="2"/>
      <c r="D254" s="8"/>
      <c r="E254" s="8"/>
      <c r="F254" s="2"/>
      <c r="G254" s="10"/>
    </row>
    <row r="255" spans="1:7" ht="15.75" customHeight="1" x14ac:dyDescent="0.2">
      <c r="A255" s="286"/>
      <c r="B255" s="9"/>
      <c r="C255" s="2"/>
      <c r="D255" s="8"/>
      <c r="E255" s="8"/>
      <c r="F255" s="2"/>
      <c r="G255" s="10"/>
    </row>
    <row r="256" spans="1:7" ht="15.75" customHeight="1" x14ac:dyDescent="0.2">
      <c r="A256" s="286"/>
      <c r="B256" s="9"/>
      <c r="C256" s="2"/>
      <c r="D256" s="8"/>
      <c r="E256" s="8"/>
      <c r="F256" s="2"/>
      <c r="G256" s="10"/>
    </row>
    <row r="257" spans="1:7" ht="15.75" customHeight="1" x14ac:dyDescent="0.2">
      <c r="A257" s="286"/>
      <c r="B257" s="9"/>
      <c r="C257" s="2"/>
      <c r="D257" s="8"/>
      <c r="E257" s="8"/>
      <c r="F257" s="2"/>
      <c r="G257" s="10"/>
    </row>
    <row r="258" spans="1:7" ht="15.75" customHeight="1" x14ac:dyDescent="0.2">
      <c r="A258" s="286"/>
      <c r="B258" s="9"/>
      <c r="C258" s="2"/>
      <c r="D258" s="8"/>
      <c r="E258" s="8"/>
      <c r="F258" s="2"/>
      <c r="G258" s="10"/>
    </row>
    <row r="259" spans="1:7" ht="15.75" customHeight="1" x14ac:dyDescent="0.2">
      <c r="A259" s="286"/>
      <c r="B259" s="9"/>
      <c r="C259" s="2"/>
      <c r="D259" s="8"/>
      <c r="E259" s="8"/>
      <c r="F259" s="2"/>
      <c r="G259" s="10"/>
    </row>
    <row r="260" spans="1:7" ht="15.75" customHeight="1" x14ac:dyDescent="0.2">
      <c r="A260" s="286"/>
      <c r="B260" s="9"/>
      <c r="C260" s="2"/>
      <c r="D260" s="8"/>
      <c r="E260" s="8"/>
      <c r="F260" s="2"/>
      <c r="G260" s="10"/>
    </row>
    <row r="261" spans="1:7" ht="15.75" customHeight="1" x14ac:dyDescent="0.2">
      <c r="A261" s="286"/>
      <c r="B261" s="9"/>
      <c r="C261" s="2"/>
      <c r="D261" s="8"/>
      <c r="E261" s="8"/>
      <c r="F261" s="2"/>
      <c r="G261" s="10"/>
    </row>
    <row r="262" spans="1:7" ht="15.75" customHeight="1" x14ac:dyDescent="0.2">
      <c r="A262" s="286"/>
      <c r="B262" s="9"/>
      <c r="C262" s="2"/>
      <c r="D262" s="8"/>
      <c r="E262" s="8"/>
      <c r="F262" s="2"/>
      <c r="G262" s="10"/>
    </row>
    <row r="263" spans="1:7" ht="15.75" customHeight="1" x14ac:dyDescent="0.2">
      <c r="A263" s="286"/>
      <c r="B263" s="9"/>
      <c r="C263" s="2"/>
      <c r="D263" s="8"/>
      <c r="E263" s="8"/>
      <c r="F263" s="2"/>
      <c r="G263" s="10"/>
    </row>
    <row r="264" spans="1:7" ht="15.75" customHeight="1" x14ac:dyDescent="0.2">
      <c r="A264" s="286"/>
      <c r="B264" s="9"/>
      <c r="C264" s="2"/>
      <c r="D264" s="8"/>
      <c r="E264" s="8"/>
      <c r="F264" s="2"/>
      <c r="G264" s="10"/>
    </row>
    <row r="265" spans="1:7" ht="15.75" customHeight="1" x14ac:dyDescent="0.2">
      <c r="A265" s="286"/>
      <c r="B265" s="9"/>
      <c r="C265" s="2"/>
      <c r="D265" s="8"/>
      <c r="E265" s="8"/>
      <c r="F265" s="2"/>
      <c r="G265" s="24"/>
    </row>
    <row r="266" spans="1:7" ht="15.75" customHeight="1" x14ac:dyDescent="0.2">
      <c r="A266" s="286"/>
      <c r="B266" s="9"/>
      <c r="C266" s="2"/>
      <c r="D266" s="8"/>
      <c r="E266" s="8"/>
      <c r="F266" s="2"/>
      <c r="G266" s="24"/>
    </row>
    <row r="267" spans="1:7" ht="15.75" customHeight="1" x14ac:dyDescent="0.2"/>
    <row r="268" spans="1:7" ht="15.75" customHeight="1" x14ac:dyDescent="0.2"/>
    <row r="269" spans="1:7" ht="15.75" customHeight="1" x14ac:dyDescent="0.2"/>
    <row r="270" spans="1:7" ht="15.75" customHeight="1" x14ac:dyDescent="0.2"/>
    <row r="271" spans="1:7" ht="15.75" customHeight="1" x14ac:dyDescent="0.2"/>
    <row r="272" spans="1:7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</sheetData>
  <mergeCells count="4">
    <mergeCell ref="A1:A5"/>
    <mergeCell ref="D1:D7"/>
    <mergeCell ref="A8:C8"/>
    <mergeCell ref="A9:F9"/>
  </mergeCells>
  <phoneticPr fontId="75" type="noConversion"/>
  <pageMargins left="0" right="0" top="0.1388888888888889" bottom="0.1388888888888889" header="0" footer="0"/>
  <pageSetup paperSize="9" scale="35" fitToHeight="0" pageOrder="overThenDown" orientation="landscape" r:id="rId1"/>
  <headerFooter>
    <oddHeader>&amp;C&amp;A</oddHeader>
    <oddFooter>&amp;CPage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92D050"/>
    <pageSetUpPr fitToPage="1"/>
  </sheetPr>
  <dimension ref="A1:AE1005"/>
  <sheetViews>
    <sheetView zoomScaleNormal="100" workbookViewId="0">
      <pane ySplit="2" topLeftCell="A13" activePane="bottomLeft" state="frozen"/>
      <selection pane="bottomLeft" activeCell="G26" sqref="G26"/>
    </sheetView>
  </sheetViews>
  <sheetFormatPr baseColWidth="10" defaultColWidth="10.140625" defaultRowHeight="15" customHeight="1" outlineLevelCol="1" x14ac:dyDescent="0.2"/>
  <cols>
    <col min="1" max="1" width="10" style="181" bestFit="1" customWidth="1"/>
    <col min="2" max="2" width="23.42578125" bestFit="1" customWidth="1"/>
    <col min="3" max="3" width="15.5703125" customWidth="1"/>
    <col min="4" max="4" width="11.5703125" style="142" customWidth="1"/>
    <col min="5" max="5" width="18.140625" customWidth="1"/>
    <col min="6" max="6" width="1.28515625" style="172" customWidth="1"/>
    <col min="7" max="7" width="22" bestFit="1" customWidth="1"/>
    <col min="8" max="8" width="18.140625" customWidth="1"/>
    <col min="9" max="9" width="1.28515625" style="172" customWidth="1"/>
    <col min="10" max="10" width="21.7109375" customWidth="1" outlineLevel="1"/>
    <col min="11" max="11" width="12.7109375" customWidth="1" outlineLevel="1"/>
    <col min="12" max="12" width="15.5703125" customWidth="1" outlineLevel="1"/>
    <col min="13" max="13" width="14.42578125" customWidth="1" outlineLevel="1"/>
    <col min="14" max="14" width="10.7109375" customWidth="1" outlineLevel="1"/>
    <col min="15" max="15" width="12.28515625" customWidth="1" outlineLevel="1"/>
    <col min="16" max="16" width="16.5703125" customWidth="1"/>
    <col min="17" max="19" width="8.42578125" customWidth="1"/>
    <col min="20" max="20" width="16.42578125" customWidth="1"/>
    <col min="21" max="21" width="12.28515625" customWidth="1"/>
    <col min="22" max="31" width="8.42578125" customWidth="1"/>
  </cols>
  <sheetData>
    <row r="1" spans="1:31" ht="15.75" customHeight="1" x14ac:dyDescent="0.2">
      <c r="B1" s="29" t="s">
        <v>15</v>
      </c>
      <c r="C1" s="109">
        <v>2200</v>
      </c>
      <c r="D1" s="159"/>
      <c r="E1" s="30"/>
      <c r="F1" s="166"/>
      <c r="G1" s="30"/>
      <c r="H1" s="30"/>
      <c r="I1" s="166"/>
      <c r="J1" s="31">
        <v>0.2</v>
      </c>
      <c r="K1" s="32" t="s">
        <v>1</v>
      </c>
      <c r="L1" s="89">
        <f>(C4+C5+C6)/12</f>
        <v>995</v>
      </c>
      <c r="M1" s="32" t="s">
        <v>648</v>
      </c>
      <c r="N1" s="1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ht="15.75" customHeight="1" x14ac:dyDescent="0.2">
      <c r="B2" s="10"/>
      <c r="C2" s="163" t="s">
        <v>0</v>
      </c>
      <c r="D2" s="164" t="s">
        <v>1</v>
      </c>
      <c r="E2" s="86" t="s">
        <v>2</v>
      </c>
      <c r="F2" s="167"/>
      <c r="G2" s="86" t="s">
        <v>422</v>
      </c>
      <c r="H2" s="86" t="s">
        <v>421</v>
      </c>
      <c r="I2" s="167"/>
      <c r="J2" s="10"/>
      <c r="K2" s="2"/>
      <c r="L2" s="6">
        <f>C1+L1</f>
        <v>3195</v>
      </c>
      <c r="M2" s="2" t="s">
        <v>649</v>
      </c>
      <c r="N2" s="12"/>
      <c r="O2" s="34"/>
      <c r="P2" s="35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31" ht="15.75" customHeight="1" x14ac:dyDescent="0.2">
      <c r="A3" s="181" t="s">
        <v>246</v>
      </c>
      <c r="B3" s="176" t="s">
        <v>16</v>
      </c>
      <c r="C3" s="114">
        <f>C1*12</f>
        <v>26400</v>
      </c>
      <c r="D3" s="160"/>
      <c r="E3" s="38">
        <f t="shared" ref="E3:E6" si="0">C3+D3</f>
        <v>26400</v>
      </c>
      <c r="F3" s="168"/>
      <c r="G3" s="38">
        <f>-(SUMIF('Pointage BQ 24-25'!$F$2:$F$492,"REM",'Pointage BQ 24-25'!$C$2:$C$492))</f>
        <v>27600</v>
      </c>
      <c r="H3" s="38">
        <f>E3-G3</f>
        <v>-1200</v>
      </c>
      <c r="I3" s="168"/>
      <c r="J3" s="162">
        <f>C3+C4</f>
        <v>35640</v>
      </c>
      <c r="K3" s="6">
        <f>J3+J5</f>
        <v>38340</v>
      </c>
      <c r="L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1:31" ht="15.75" customHeight="1" x14ac:dyDescent="0.2">
      <c r="A4" s="181" t="s">
        <v>248</v>
      </c>
      <c r="B4" s="176" t="s">
        <v>248</v>
      </c>
      <c r="C4" s="114">
        <f>C3*35%</f>
        <v>9240</v>
      </c>
      <c r="D4" s="160"/>
      <c r="E4" s="38">
        <f t="shared" si="0"/>
        <v>9240</v>
      </c>
      <c r="F4" s="168"/>
      <c r="G4" s="38">
        <f>-(SUMIF('Pointage BQ 24-25'!$F$2:$F$997,"URSSAF",'Pointage BQ 24-25'!$C$2:$C$997))</f>
        <v>7869</v>
      </c>
      <c r="H4" s="38">
        <f t="shared" ref="H4:H6" si="1">E4-G4</f>
        <v>1371</v>
      </c>
      <c r="I4" s="168"/>
      <c r="K4" s="6">
        <f>K3/12</f>
        <v>3195</v>
      </c>
      <c r="L4" s="2"/>
      <c r="M4" s="108"/>
      <c r="R4" s="2"/>
      <c r="S4" s="2"/>
      <c r="T4" s="2"/>
      <c r="U4" s="6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1:31" ht="15.75" customHeight="1" thickBot="1" x14ac:dyDescent="0.25">
      <c r="A5" s="181" t="s">
        <v>251</v>
      </c>
      <c r="B5" s="176" t="s">
        <v>19</v>
      </c>
      <c r="C5" s="114">
        <f>72*12</f>
        <v>864</v>
      </c>
      <c r="D5" s="160"/>
      <c r="E5" s="38">
        <f t="shared" si="0"/>
        <v>864</v>
      </c>
      <c r="F5" s="168"/>
      <c r="G5" s="38">
        <f>-(SUMIF('Pointage BQ 24-25'!$F$2:$F$492,"PREV",'Pointage BQ 24-25'!$C$2:$C$492))</f>
        <v>833.5999999999998</v>
      </c>
      <c r="H5" s="38">
        <f t="shared" si="1"/>
        <v>30.400000000000205</v>
      </c>
      <c r="I5" s="168"/>
      <c r="J5" s="162">
        <f>C5+C6</f>
        <v>2700</v>
      </c>
      <c r="K5" s="2"/>
      <c r="L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31" ht="15.75" customHeight="1" x14ac:dyDescent="0.2">
      <c r="A6" s="181" t="s">
        <v>402</v>
      </c>
      <c r="B6" s="176" t="s">
        <v>96</v>
      </c>
      <c r="C6" s="114">
        <f>153*12</f>
        <v>1836</v>
      </c>
      <c r="D6" s="160"/>
      <c r="E6" s="38">
        <f t="shared" si="0"/>
        <v>1836</v>
      </c>
      <c r="F6" s="168"/>
      <c r="G6" s="38">
        <f>-(SUMIF('Pointage BQ 24-25'!$F$2:$F$492,"PER",'Pointage BQ 24-25'!$C$2:$C$492))</f>
        <v>0</v>
      </c>
      <c r="H6" s="38">
        <f t="shared" si="1"/>
        <v>1836</v>
      </c>
      <c r="I6" s="168"/>
      <c r="K6" s="2"/>
      <c r="L6" s="371" t="s">
        <v>650</v>
      </c>
      <c r="M6" s="372">
        <f>M7/8</f>
        <v>87.691131498470966</v>
      </c>
      <c r="O6" s="14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</row>
    <row r="7" spans="1:31" ht="15.75" customHeight="1" x14ac:dyDescent="0.2">
      <c r="B7" s="10"/>
      <c r="C7" s="36"/>
      <c r="D7" s="160"/>
      <c r="E7" s="38"/>
      <c r="F7" s="168"/>
      <c r="G7" s="38"/>
      <c r="H7" s="38"/>
      <c r="I7" s="168"/>
      <c r="J7" s="33"/>
      <c r="K7" s="2"/>
      <c r="L7" s="117" t="s">
        <v>112</v>
      </c>
      <c r="M7" s="118">
        <f>C42/M8</f>
        <v>701.52905198776773</v>
      </c>
      <c r="O7" s="14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</row>
    <row r="8" spans="1:31" ht="15.75" customHeight="1" x14ac:dyDescent="0.2">
      <c r="B8" s="10"/>
      <c r="C8" s="2"/>
      <c r="D8" s="160"/>
      <c r="E8" s="38"/>
      <c r="F8" s="168"/>
      <c r="G8" s="38"/>
      <c r="H8" s="38"/>
      <c r="I8" s="168"/>
      <c r="K8" s="2"/>
      <c r="L8" s="117" t="s">
        <v>20</v>
      </c>
      <c r="M8" s="119">
        <f>M10*218</f>
        <v>130.79999999999998</v>
      </c>
      <c r="O8" s="143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1:31" ht="15.75" customHeight="1" x14ac:dyDescent="0.2">
      <c r="A9" s="181" t="s">
        <v>255</v>
      </c>
      <c r="B9" s="174" t="s">
        <v>21</v>
      </c>
      <c r="C9" s="39">
        <v>6100</v>
      </c>
      <c r="D9" s="160"/>
      <c r="E9" s="38">
        <f t="shared" ref="E9:E12" si="2">C9+D9</f>
        <v>6100</v>
      </c>
      <c r="F9" s="168"/>
      <c r="G9" s="38">
        <f>-(SUMIF('Pointage BQ 24-25'!$F$2:$F$492,"SMABTP",'Pointage BQ 24-25'!$C$2:$C$492))</f>
        <v>6862.58</v>
      </c>
      <c r="H9" s="38">
        <f t="shared" ref="H9:H24" si="3">E9-G9</f>
        <v>-762.57999999999993</v>
      </c>
      <c r="I9" s="168"/>
      <c r="J9" s="38"/>
      <c r="K9" s="2"/>
      <c r="L9" s="117"/>
      <c r="M9" s="120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</row>
    <row r="10" spans="1:31" ht="15.75" customHeight="1" thickBot="1" x14ac:dyDescent="0.25">
      <c r="A10" s="181" t="s">
        <v>410</v>
      </c>
      <c r="B10" s="174" t="s">
        <v>775</v>
      </c>
      <c r="C10" s="39">
        <v>1200</v>
      </c>
      <c r="D10" s="160"/>
      <c r="E10" s="38">
        <f t="shared" si="2"/>
        <v>1200</v>
      </c>
      <c r="F10" s="168"/>
      <c r="G10" s="38">
        <f>-(SUMIF('Pointage BQ 24-25'!$F$2:$F$492,"OA",'Pointage BQ 24-25'!$C$2:$C$492))</f>
        <v>1188</v>
      </c>
      <c r="H10" s="38">
        <f t="shared" si="3"/>
        <v>12</v>
      </c>
      <c r="I10" s="168"/>
      <c r="J10" s="10"/>
      <c r="K10" s="2"/>
      <c r="L10" s="121" t="s">
        <v>111</v>
      </c>
      <c r="M10" s="122">
        <v>0.6</v>
      </c>
      <c r="O10" s="14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1:31" ht="15.75" customHeight="1" x14ac:dyDescent="0.35">
      <c r="A11" s="181" t="s">
        <v>23</v>
      </c>
      <c r="B11" s="174" t="s">
        <v>23</v>
      </c>
      <c r="C11" s="41">
        <v>490</v>
      </c>
      <c r="D11" s="160"/>
      <c r="E11" s="38">
        <f t="shared" si="2"/>
        <v>490</v>
      </c>
      <c r="F11" s="168"/>
      <c r="G11" s="38">
        <f>-(SUMIF('Pointage BQ 24-25'!$F$2:$F$492,"CFE",'Pointage BQ 24-25'!$C$2:$C$492))</f>
        <v>483</v>
      </c>
      <c r="H11" s="38">
        <f t="shared" si="3"/>
        <v>7</v>
      </c>
      <c r="I11" s="168"/>
      <c r="J11" s="10"/>
      <c r="K11" s="2"/>
      <c r="L11" s="40"/>
      <c r="M11" s="2"/>
      <c r="N11" s="12"/>
      <c r="O11" s="2"/>
      <c r="P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</row>
    <row r="12" spans="1:31" ht="15.75" customHeight="1" x14ac:dyDescent="0.35">
      <c r="A12" s="181" t="s">
        <v>259</v>
      </c>
      <c r="B12" s="174" t="s">
        <v>24</v>
      </c>
      <c r="C12" s="39">
        <v>300</v>
      </c>
      <c r="D12" s="160"/>
      <c r="E12" s="38">
        <f t="shared" si="2"/>
        <v>300</v>
      </c>
      <c r="F12" s="168"/>
      <c r="G12" s="38">
        <f>-(SUMIF('Pointage BQ 24-25'!$F$2:$F$492,"PJ",'Pointage BQ 24-25'!$C$2:$C$492))</f>
        <v>291.24</v>
      </c>
      <c r="H12" s="38">
        <f t="shared" si="3"/>
        <v>8.7599999999999909</v>
      </c>
      <c r="I12" s="168"/>
      <c r="J12" s="10"/>
      <c r="K12" s="2"/>
      <c r="L12" s="40"/>
      <c r="M12" s="2"/>
      <c r="N12" s="12"/>
      <c r="O12" s="2"/>
      <c r="P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</row>
    <row r="13" spans="1:31" ht="15.75" customHeight="1" x14ac:dyDescent="0.35">
      <c r="A13" s="181" t="s">
        <v>417</v>
      </c>
      <c r="B13" s="174" t="s">
        <v>418</v>
      </c>
      <c r="C13" s="41">
        <v>560</v>
      </c>
      <c r="D13" s="160"/>
      <c r="E13" s="38">
        <f t="shared" ref="E13:E20" si="4">C13+D13</f>
        <v>560</v>
      </c>
      <c r="F13" s="168"/>
      <c r="G13" s="38">
        <f>-(SUMIF('Pointage BQ 24-25'!$F$2:$F$492,"cle",'Pointage BQ 24-25'!$C$2:$C$492))</f>
        <v>704.74</v>
      </c>
      <c r="H13" s="38">
        <f t="shared" si="3"/>
        <v>-144.74</v>
      </c>
      <c r="I13" s="168"/>
      <c r="J13" s="10"/>
      <c r="K13" s="2"/>
      <c r="L13" s="40"/>
      <c r="M13" s="2"/>
      <c r="N13" s="12"/>
      <c r="O13" s="2"/>
      <c r="P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</row>
    <row r="14" spans="1:31" ht="15.75" customHeight="1" x14ac:dyDescent="0.2">
      <c r="A14" s="181" t="s">
        <v>403</v>
      </c>
      <c r="B14" s="174" t="s">
        <v>415</v>
      </c>
      <c r="C14" s="41">
        <f>360 +326</f>
        <v>686</v>
      </c>
      <c r="D14" s="160">
        <f t="shared" ref="D14:D20" si="5">C14*$J$1</f>
        <v>137.20000000000002</v>
      </c>
      <c r="E14" s="38">
        <f t="shared" si="4"/>
        <v>823.2</v>
      </c>
      <c r="F14" s="168"/>
      <c r="G14" s="38">
        <f>-(SUMIF('Pointage BQ 24-25'!$F$2:$F$492,"FOURN",'Pointage BQ 24-25'!$C$2:$C$492))</f>
        <v>835.18000000000006</v>
      </c>
      <c r="H14" s="38">
        <f t="shared" si="3"/>
        <v>-11.980000000000018</v>
      </c>
      <c r="I14" s="168"/>
      <c r="J14" s="10"/>
      <c r="K14" s="2"/>
      <c r="O14" s="2"/>
      <c r="P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</row>
    <row r="15" spans="1:31" ht="15.75" customHeight="1" x14ac:dyDescent="0.2">
      <c r="A15" s="181" t="s">
        <v>396</v>
      </c>
      <c r="B15" s="174" t="s">
        <v>416</v>
      </c>
      <c r="C15" s="41">
        <v>300</v>
      </c>
      <c r="D15" s="160">
        <f t="shared" ref="D15" si="6">C15*$J$1</f>
        <v>60</v>
      </c>
      <c r="E15" s="38">
        <f t="shared" ref="E15" si="7">C15+D15</f>
        <v>360</v>
      </c>
      <c r="F15" s="168"/>
      <c r="G15" s="38">
        <f>-(SUMIF('Pointage BQ 24-25'!$F$2:$F$492,"DIVERS",'Pointage BQ 24-25'!$C$2:$C$492))</f>
        <v>340.5</v>
      </c>
      <c r="H15" s="38">
        <f t="shared" si="3"/>
        <v>19.5</v>
      </c>
      <c r="I15" s="168"/>
      <c r="J15" s="10"/>
      <c r="K15" s="2"/>
      <c r="O15" s="2"/>
      <c r="P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</row>
    <row r="16" spans="1:31" ht="15.75" customHeight="1" x14ac:dyDescent="0.2">
      <c r="A16" s="181" t="s">
        <v>411</v>
      </c>
      <c r="B16" s="174" t="s">
        <v>424</v>
      </c>
      <c r="C16" s="41">
        <v>2600</v>
      </c>
      <c r="D16" s="160">
        <f t="shared" si="5"/>
        <v>520</v>
      </c>
      <c r="E16" s="38">
        <f t="shared" si="4"/>
        <v>3120</v>
      </c>
      <c r="F16" s="168"/>
      <c r="G16" s="38">
        <f>-(SUMIF('Pointage BQ 24-25'!$F$2:$F$492,"INFO MATOS",'Pointage BQ 24-25'!$C$2:$C$492))/3</f>
        <v>3023.0566666666673</v>
      </c>
      <c r="H16" s="38">
        <f t="shared" si="3"/>
        <v>96.943333333332703</v>
      </c>
      <c r="I16" s="168"/>
      <c r="J16" s="10"/>
      <c r="K16" s="158"/>
      <c r="L16" s="87"/>
      <c r="O16" s="37"/>
      <c r="P16" s="2"/>
      <c r="R16" s="99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</row>
    <row r="17" spans="1:31" ht="15.75" customHeight="1" thickBot="1" x14ac:dyDescent="0.25">
      <c r="A17" s="181" t="s">
        <v>412</v>
      </c>
      <c r="B17" s="174" t="s">
        <v>407</v>
      </c>
      <c r="C17" s="41">
        <v>1200</v>
      </c>
      <c r="D17" s="160">
        <f t="shared" si="5"/>
        <v>240</v>
      </c>
      <c r="E17" s="38">
        <f>C17+D17</f>
        <v>1440</v>
      </c>
      <c r="F17" s="168"/>
      <c r="G17" s="38">
        <f>-(SUMIF('Pointage BQ 24-25'!$F$2:$F$492,"LOGICIEL",'Pointage BQ 24-25'!$C$2:$C$492))</f>
        <v>1160.51</v>
      </c>
      <c r="H17" s="38">
        <f t="shared" si="3"/>
        <v>279.49</v>
      </c>
      <c r="I17" s="168"/>
      <c r="J17" s="17"/>
      <c r="K17" s="2"/>
      <c r="N17" s="365">
        <v>1.2</v>
      </c>
      <c r="O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</row>
    <row r="18" spans="1:31" ht="15.75" customHeight="1" x14ac:dyDescent="0.25">
      <c r="A18" s="181" t="s">
        <v>265</v>
      </c>
      <c r="B18" s="174" t="s">
        <v>25</v>
      </c>
      <c r="C18" s="41">
        <v>900</v>
      </c>
      <c r="D18" s="160">
        <f t="shared" si="5"/>
        <v>180</v>
      </c>
      <c r="E18" s="38">
        <f t="shared" si="4"/>
        <v>1080</v>
      </c>
      <c r="F18" s="168"/>
      <c r="G18" s="38">
        <f>-(SUMIF('Pointage BQ 24-25'!$F$2:$F$492,"RESTO",'Pointage BQ 24-25'!$C$2:$C$492))</f>
        <v>1173.4199999999998</v>
      </c>
      <c r="H18" s="38">
        <f t="shared" si="3"/>
        <v>-93.419999999999845</v>
      </c>
      <c r="I18" s="168"/>
      <c r="J18" s="10"/>
      <c r="K18" s="158"/>
      <c r="L18" s="108"/>
      <c r="M18" s="526" t="s">
        <v>673</v>
      </c>
      <c r="N18" s="527"/>
      <c r="O18" s="528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</row>
    <row r="19" spans="1:31" ht="15.75" customHeight="1" x14ac:dyDescent="0.25">
      <c r="A19" s="181" t="s">
        <v>404</v>
      </c>
      <c r="B19" s="174" t="s">
        <v>26</v>
      </c>
      <c r="C19" s="41">
        <v>50</v>
      </c>
      <c r="D19" s="160">
        <f t="shared" si="5"/>
        <v>10</v>
      </c>
      <c r="E19" s="38">
        <f t="shared" si="4"/>
        <v>60</v>
      </c>
      <c r="F19" s="168"/>
      <c r="G19" s="38">
        <f>-(SUMIF('Pointage BQ 24-25'!$F$2:$F$492,"POSTE",'Pointage BQ 24-25'!$C$2:$C$492))</f>
        <v>27.26</v>
      </c>
      <c r="H19" s="38">
        <f t="shared" si="3"/>
        <v>32.739999999999995</v>
      </c>
      <c r="I19" s="168"/>
      <c r="J19" s="10"/>
      <c r="K19" s="2"/>
      <c r="M19" s="349"/>
      <c r="N19" s="354" t="s">
        <v>0</v>
      </c>
      <c r="O19" s="355" t="s">
        <v>2</v>
      </c>
      <c r="P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</row>
    <row r="20" spans="1:31" ht="15.75" customHeight="1" x14ac:dyDescent="0.2">
      <c r="A20" s="181" t="s">
        <v>413</v>
      </c>
      <c r="B20" s="174" t="s">
        <v>408</v>
      </c>
      <c r="C20" s="88">
        <v>523</v>
      </c>
      <c r="D20" s="160">
        <f t="shared" si="5"/>
        <v>104.60000000000001</v>
      </c>
      <c r="E20" s="38">
        <f t="shared" si="4"/>
        <v>627.6</v>
      </c>
      <c r="F20" s="168"/>
      <c r="G20" s="38">
        <f>-(SUMIF('Pointage BQ 24-25'!$F$2:$F$492,"FBQ",'Pointage BQ 24-25'!$C$2:$C$492))</f>
        <v>649.48</v>
      </c>
      <c r="H20" s="38">
        <f t="shared" si="3"/>
        <v>-21.879999999999995</v>
      </c>
      <c r="I20" s="168"/>
      <c r="J20" s="10"/>
      <c r="K20" s="2"/>
      <c r="L20" s="108">
        <f>N20+N22</f>
        <v>370</v>
      </c>
      <c r="M20" s="367" t="s">
        <v>640</v>
      </c>
      <c r="N20" s="369">
        <v>350</v>
      </c>
      <c r="O20" s="368">
        <f>N20*$N$17</f>
        <v>420</v>
      </c>
      <c r="P20" s="6">
        <f>N20*12</f>
        <v>4200</v>
      </c>
      <c r="R20" s="356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</row>
    <row r="21" spans="1:31" ht="15.75" customHeight="1" x14ac:dyDescent="0.2">
      <c r="A21" s="181" t="s">
        <v>405</v>
      </c>
      <c r="B21" s="174" t="s">
        <v>409</v>
      </c>
      <c r="C21" s="39">
        <v>600</v>
      </c>
      <c r="D21" s="160">
        <f>C21*J1</f>
        <v>120</v>
      </c>
      <c r="E21" s="38">
        <f>D21+C21</f>
        <v>720</v>
      </c>
      <c r="F21" s="168"/>
      <c r="G21" s="38">
        <f>-(SUMIF('Pointage BQ 24-25'!$F$2:$F$492,"SITE",'Pointage BQ 24-25'!$C$2:$C$492))</f>
        <v>588.65</v>
      </c>
      <c r="H21" s="38">
        <f t="shared" si="3"/>
        <v>131.35000000000002</v>
      </c>
      <c r="I21" s="168"/>
      <c r="J21" s="10"/>
      <c r="K21" s="2"/>
      <c r="L21" s="110"/>
      <c r="M21" s="367" t="s">
        <v>641</v>
      </c>
      <c r="N21" s="369">
        <v>50</v>
      </c>
      <c r="O21" s="368">
        <f>N21*$N$17</f>
        <v>60</v>
      </c>
      <c r="P21" s="6">
        <f t="shared" ref="P21:P24" si="8">N21*12</f>
        <v>600</v>
      </c>
      <c r="R21" s="356"/>
      <c r="S21" s="2"/>
      <c r="T21" s="6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</row>
    <row r="22" spans="1:31" ht="15.75" customHeight="1" x14ac:dyDescent="0.2">
      <c r="A22" s="181" t="s">
        <v>273</v>
      </c>
      <c r="B22" s="174" t="s">
        <v>29</v>
      </c>
      <c r="C22" s="39">
        <f>40*12</f>
        <v>480</v>
      </c>
      <c r="D22" s="160">
        <f t="shared" ref="D22:D23" si="9">C22*$J$1</f>
        <v>96</v>
      </c>
      <c r="E22" s="38">
        <f>C22+D22</f>
        <v>576</v>
      </c>
      <c r="F22" s="168"/>
      <c r="G22" s="38">
        <f>-(SUMIF('Pointage BQ 24-25'!$F$2:$F$492,"TEL",'Pointage BQ 24-25'!$C$2:$C$492))</f>
        <v>319.47999999999996</v>
      </c>
      <c r="H22" s="38">
        <f t="shared" si="3"/>
        <v>256.52000000000004</v>
      </c>
      <c r="I22" s="168"/>
      <c r="J22" s="10"/>
      <c r="K22" s="2"/>
      <c r="L22" s="110"/>
      <c r="M22" s="367" t="s">
        <v>777</v>
      </c>
      <c r="N22" s="369">
        <v>20</v>
      </c>
      <c r="O22" s="368">
        <f>N22*$N$17</f>
        <v>24</v>
      </c>
      <c r="P22" s="6">
        <f t="shared" si="8"/>
        <v>240</v>
      </c>
      <c r="R22" s="356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</row>
    <row r="23" spans="1:31" ht="15.75" customHeight="1" x14ac:dyDescent="0.2">
      <c r="A23" s="181" t="s">
        <v>257</v>
      </c>
      <c r="B23" s="174" t="s">
        <v>778</v>
      </c>
      <c r="C23" s="39">
        <v>2200</v>
      </c>
      <c r="D23" s="160">
        <f t="shared" si="9"/>
        <v>440</v>
      </c>
      <c r="E23" s="38">
        <f>D23+C23</f>
        <v>2640</v>
      </c>
      <c r="F23" s="168"/>
      <c r="G23" s="38">
        <f>-(SUMIF('Pointage BQ 24-25'!$F$2:$F$492,"COMPTA",'Pointage BQ 24-25'!$C$2:$C$492))</f>
        <v>2759.67</v>
      </c>
      <c r="H23" s="38">
        <f t="shared" si="3"/>
        <v>-119.67000000000007</v>
      </c>
      <c r="I23" s="168"/>
      <c r="J23" s="10"/>
      <c r="K23" s="2"/>
      <c r="L23" s="112"/>
      <c r="M23" s="367" t="s">
        <v>642</v>
      </c>
      <c r="N23" s="369">
        <v>40</v>
      </c>
      <c r="O23" s="368">
        <f>N23*$N$17</f>
        <v>48</v>
      </c>
      <c r="P23" s="6">
        <f t="shared" si="8"/>
        <v>480</v>
      </c>
      <c r="R23" s="356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</row>
    <row r="24" spans="1:31" ht="15.75" customHeight="1" x14ac:dyDescent="0.2">
      <c r="A24" s="181" t="s">
        <v>35</v>
      </c>
      <c r="B24" s="174" t="s">
        <v>35</v>
      </c>
      <c r="C24" s="39">
        <v>1831</v>
      </c>
      <c r="E24" s="38">
        <f t="shared" ref="E24:E29" si="10">C24+D24</f>
        <v>1831</v>
      </c>
      <c r="F24" s="168"/>
      <c r="G24" s="38">
        <f>-(SUMIF('Pointage BQ 24-25'!$F$2:$F$492,"IS",'Pointage BQ 24-25'!$C$2:$C$492))</f>
        <v>1831</v>
      </c>
      <c r="H24" s="38">
        <f t="shared" si="3"/>
        <v>0</v>
      </c>
      <c r="I24" s="168"/>
      <c r="J24" s="10"/>
      <c r="K24" s="2"/>
      <c r="L24" s="10"/>
      <c r="M24" s="367" t="s">
        <v>643</v>
      </c>
      <c r="N24" s="369">
        <v>30</v>
      </c>
      <c r="O24" s="368">
        <f>N24</f>
        <v>30</v>
      </c>
      <c r="P24" s="6">
        <f t="shared" si="8"/>
        <v>360</v>
      </c>
      <c r="R24" s="356"/>
      <c r="S24" s="2"/>
      <c r="T24" s="2">
        <f>1900*1.07</f>
        <v>2033.0000000000002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</row>
    <row r="25" spans="1:31" ht="15.75" customHeight="1" x14ac:dyDescent="0.2">
      <c r="D25" s="160"/>
      <c r="E25" s="38"/>
      <c r="F25" s="168"/>
      <c r="G25" s="38"/>
      <c r="H25" s="38"/>
      <c r="I25" s="168"/>
      <c r="J25" s="10"/>
      <c r="K25" s="2"/>
      <c r="L25" s="10"/>
      <c r="M25" s="350"/>
      <c r="N25" s="142"/>
      <c r="O25" s="366"/>
      <c r="R25" s="2"/>
      <c r="S25" s="2"/>
      <c r="T25" s="2">
        <f>T24/12*1.2</f>
        <v>203.3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</row>
    <row r="26" spans="1:31" ht="15.75" customHeight="1" x14ac:dyDescent="0.2">
      <c r="A26" s="181" t="s">
        <v>274</v>
      </c>
      <c r="B26" s="178" t="s">
        <v>33</v>
      </c>
      <c r="C26" s="41">
        <v>12000</v>
      </c>
      <c r="D26" s="160">
        <f t="shared" ref="D26" si="11">C26*$J$1</f>
        <v>2400</v>
      </c>
      <c r="E26" s="38">
        <f t="shared" si="10"/>
        <v>14400</v>
      </c>
      <c r="F26" s="168"/>
      <c r="G26" s="38">
        <f>-(SUMIF('Pointage BQ 24-25'!$F$2:$F$492,"SST",'Pointage BQ 24-25'!$C$2:$C$492))</f>
        <v>16685</v>
      </c>
      <c r="H26" s="38">
        <f>E26-G26</f>
        <v>-2285</v>
      </c>
      <c r="I26" s="168"/>
      <c r="J26" s="38">
        <f>C26/12</f>
        <v>1000</v>
      </c>
      <c r="K26" s="2"/>
      <c r="L26" s="42"/>
      <c r="M26" s="350"/>
      <c r="N26" s="142"/>
      <c r="O26" s="366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</row>
    <row r="27" spans="1:31" ht="15.75" customHeight="1" x14ac:dyDescent="0.2">
      <c r="A27" s="181" t="s">
        <v>34</v>
      </c>
      <c r="B27" s="178" t="s">
        <v>34</v>
      </c>
      <c r="C27" s="41">
        <v>2600</v>
      </c>
      <c r="D27" s="160"/>
      <c r="E27" s="38">
        <f t="shared" si="10"/>
        <v>2600</v>
      </c>
      <c r="F27" s="168"/>
      <c r="G27" s="38">
        <f>-(SUMIF('Pointage BQ 24-25'!$F$2:$F$492,"CESU",'Pointage BQ 24-25'!$C$2:$C$492))</f>
        <v>2555.8000000000002</v>
      </c>
      <c r="H27" s="38">
        <f t="shared" ref="H27:H31" si="12">E27-G27</f>
        <v>44.199999999999818</v>
      </c>
      <c r="I27" s="168"/>
      <c r="J27" s="10"/>
      <c r="K27" s="2"/>
      <c r="L27" s="42"/>
      <c r="M27" s="350"/>
      <c r="N27" s="142"/>
      <c r="O27" s="366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</row>
    <row r="28" spans="1:31" ht="15.75" customHeight="1" x14ac:dyDescent="0.2">
      <c r="A28" s="181" t="s">
        <v>31</v>
      </c>
      <c r="B28" s="178" t="s">
        <v>31</v>
      </c>
      <c r="C28" s="41">
        <v>3800</v>
      </c>
      <c r="D28" s="160"/>
      <c r="E28" s="38">
        <f t="shared" si="10"/>
        <v>3800</v>
      </c>
      <c r="F28" s="168"/>
      <c r="G28" s="38">
        <f>-(SUMIF('Pointage BQ 24-25'!$F$2:$F$492,"IK",'Pointage BQ 24-25'!$C$2:$C$492))</f>
        <v>0</v>
      </c>
      <c r="H28" s="38">
        <f t="shared" si="12"/>
        <v>3800</v>
      </c>
      <c r="I28" s="168"/>
      <c r="J28" s="17" t="s">
        <v>161</v>
      </c>
      <c r="K28" s="17" t="s">
        <v>162</v>
      </c>
      <c r="M28" s="350" t="s">
        <v>644</v>
      </c>
      <c r="N28" s="356"/>
      <c r="O28" s="357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 ht="15.75" customHeight="1" x14ac:dyDescent="0.2">
      <c r="A29" s="181" t="s">
        <v>242</v>
      </c>
      <c r="B29" s="178" t="s">
        <v>158</v>
      </c>
      <c r="C29" s="41">
        <v>12000</v>
      </c>
      <c r="D29" s="160"/>
      <c r="E29" s="38">
        <f t="shared" si="10"/>
        <v>12000</v>
      </c>
      <c r="F29" s="168"/>
      <c r="G29" s="38">
        <f>-(SUMIF('Pointage BQ 24-25'!$F$2:$F$492,"ADMIN",'Pointage BQ 24-25'!$C$2:$C$492))</f>
        <v>13039.43</v>
      </c>
      <c r="H29" s="38">
        <f t="shared" si="12"/>
        <v>-1039.4300000000003</v>
      </c>
      <c r="I29" s="168"/>
      <c r="J29" s="370" t="s">
        <v>647</v>
      </c>
      <c r="K29" s="2"/>
      <c r="M29" s="350"/>
      <c r="N29" s="356"/>
      <c r="O29" s="357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</row>
    <row r="30" spans="1:31" ht="15.75" customHeight="1" thickBot="1" x14ac:dyDescent="0.25">
      <c r="A30" s="181" t="s">
        <v>414</v>
      </c>
      <c r="B30" s="178" t="s">
        <v>99</v>
      </c>
      <c r="C30" s="41"/>
      <c r="D30" s="160"/>
      <c r="E30" s="38">
        <f>C30*1.2</f>
        <v>0</v>
      </c>
      <c r="F30" s="168"/>
      <c r="G30" s="38">
        <f>-(SUMIF('Pointage BQ 24-25'!$F$2:$F$492,"LOCAL",'Pointage BQ 24-25'!$C$2:$C$492))</f>
        <v>0</v>
      </c>
      <c r="H30" s="38">
        <f t="shared" si="12"/>
        <v>0</v>
      </c>
      <c r="I30" s="168"/>
      <c r="J30" s="10"/>
      <c r="K30" s="2"/>
      <c r="M30" s="350"/>
      <c r="N30" s="356"/>
      <c r="O30" s="357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1" ht="15.75" customHeight="1" thickBot="1" x14ac:dyDescent="0.25">
      <c r="A31" s="181" t="s">
        <v>419</v>
      </c>
      <c r="B31" s="178" t="s">
        <v>420</v>
      </c>
      <c r="C31" s="41">
        <v>3000</v>
      </c>
      <c r="D31" s="160">
        <f t="shared" ref="D31" si="13">C31*$J$1</f>
        <v>600</v>
      </c>
      <c r="E31" s="38">
        <f t="shared" ref="E31" si="14">C31+D31</f>
        <v>3600</v>
      </c>
      <c r="F31" s="168"/>
      <c r="G31" s="38">
        <f>-(SUMIF('Pointage BQ 24-25'!$F$2:$F$492,"RECOUV",'Pointage BQ 24-25'!$C$2:$C$492))</f>
        <v>2940.46</v>
      </c>
      <c r="H31" s="38">
        <f t="shared" si="12"/>
        <v>659.54</v>
      </c>
      <c r="I31" s="168"/>
      <c r="J31" s="10"/>
      <c r="K31" s="2"/>
      <c r="M31" s="352" t="s">
        <v>632</v>
      </c>
      <c r="N31" s="359">
        <f>SUM(N20:N28)</f>
        <v>490</v>
      </c>
      <c r="O31" s="360">
        <f>SUM(O20:O29)</f>
        <v>582</v>
      </c>
      <c r="P31" s="427">
        <f>SUM(P20:P29)</f>
        <v>5880</v>
      </c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</row>
    <row r="32" spans="1:31" ht="15.75" customHeight="1" thickBot="1" x14ac:dyDescent="0.25">
      <c r="C32" s="41"/>
      <c r="D32" s="160"/>
      <c r="E32" s="38"/>
      <c r="F32" s="168"/>
      <c r="G32" s="38"/>
      <c r="H32" s="38"/>
      <c r="I32" s="168"/>
      <c r="J32" s="10"/>
      <c r="K32" s="2"/>
      <c r="M32" s="351"/>
      <c r="N32" s="361"/>
      <c r="O32" s="36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</row>
    <row r="33" spans="2:31" ht="15.75" customHeight="1" x14ac:dyDescent="0.2">
      <c r="B33" s="178"/>
      <c r="C33" s="41"/>
      <c r="D33" s="160"/>
      <c r="E33" s="38"/>
      <c r="F33" s="168"/>
      <c r="G33" s="38"/>
      <c r="H33" s="38"/>
      <c r="I33" s="168"/>
      <c r="J33" s="10"/>
      <c r="K33" s="2"/>
      <c r="N33" s="157"/>
      <c r="O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</row>
    <row r="34" spans="2:31" ht="15.75" customHeight="1" x14ac:dyDescent="0.2">
      <c r="B34" s="178"/>
      <c r="C34" s="41"/>
      <c r="D34" s="160"/>
      <c r="E34" s="38"/>
      <c r="F34" s="168"/>
      <c r="G34" s="38"/>
      <c r="H34" s="38"/>
      <c r="I34" s="168"/>
      <c r="J34" s="10"/>
      <c r="K34" s="2"/>
      <c r="O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</row>
    <row r="35" spans="2:31" ht="15.75" customHeight="1" thickBot="1" x14ac:dyDescent="0.25">
      <c r="B35" s="525" t="s">
        <v>623</v>
      </c>
      <c r="C35" s="525"/>
      <c r="D35" s="160"/>
      <c r="E35" s="100" t="s">
        <v>584</v>
      </c>
      <c r="F35" s="168"/>
      <c r="G35" s="525" t="s">
        <v>624</v>
      </c>
      <c r="H35" s="525"/>
      <c r="I35" s="168"/>
      <c r="J35" s="10"/>
      <c r="O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</row>
    <row r="36" spans="2:31" ht="19.5" customHeight="1" thickBot="1" x14ac:dyDescent="0.3">
      <c r="B36" s="173" t="s">
        <v>398</v>
      </c>
      <c r="C36" s="186">
        <f>SUM(C9:C24)</f>
        <v>20020</v>
      </c>
      <c r="E36" s="100">
        <f>C36/12</f>
        <v>1668.3333333333333</v>
      </c>
      <c r="F36" s="169"/>
      <c r="G36" s="173" t="s">
        <v>398</v>
      </c>
      <c r="H36" s="186">
        <f>SUM(G9:G24)</f>
        <v>22237.76666666667</v>
      </c>
      <c r="I36" s="169"/>
      <c r="J36" s="2"/>
      <c r="L36" s="42"/>
      <c r="M36" s="353">
        <v>12</v>
      </c>
      <c r="N36" s="353">
        <v>10</v>
      </c>
      <c r="O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</row>
    <row r="37" spans="2:31" ht="19.5" customHeight="1" thickBot="1" x14ac:dyDescent="0.3">
      <c r="B37" s="175" t="s">
        <v>399</v>
      </c>
      <c r="C37" s="187">
        <f>SUM(C3:C6)</f>
        <v>38340</v>
      </c>
      <c r="E37" s="100">
        <f>C37/12</f>
        <v>3195</v>
      </c>
      <c r="F37" s="169"/>
      <c r="G37" s="175" t="s">
        <v>399</v>
      </c>
      <c r="H37" s="187">
        <f>SUM(G3:G6)</f>
        <v>36302.6</v>
      </c>
      <c r="I37" s="169"/>
      <c r="J37" s="2"/>
      <c r="L37" s="42"/>
      <c r="M37" s="526" t="s">
        <v>646</v>
      </c>
      <c r="N37" s="527"/>
      <c r="O37" s="528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</row>
    <row r="38" spans="2:31" ht="19.5" customHeight="1" thickBot="1" x14ac:dyDescent="0.3">
      <c r="B38" s="184" t="s">
        <v>400</v>
      </c>
      <c r="C38" s="185">
        <f>C36+C37</f>
        <v>58360</v>
      </c>
      <c r="E38" s="161">
        <f>C38/12</f>
        <v>4863.333333333333</v>
      </c>
      <c r="F38" s="170"/>
      <c r="G38" s="184" t="s">
        <v>400</v>
      </c>
      <c r="H38" s="185">
        <f>H36+H37</f>
        <v>58540.366666666669</v>
      </c>
      <c r="I38" s="170"/>
      <c r="J38" s="2"/>
      <c r="L38" s="2"/>
      <c r="M38" s="349"/>
      <c r="N38" s="354" t="s">
        <v>584</v>
      </c>
      <c r="O38" s="355" t="s">
        <v>625</v>
      </c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</row>
    <row r="39" spans="2:31" ht="19.5" customHeight="1" thickBot="1" x14ac:dyDescent="0.3">
      <c r="B39" s="177" t="s">
        <v>401</v>
      </c>
      <c r="C39" s="179">
        <f>SUM(C26:C31)</f>
        <v>33400</v>
      </c>
      <c r="D39" s="161"/>
      <c r="E39" s="161">
        <f>C39/12</f>
        <v>2783.3333333333335</v>
      </c>
      <c r="F39" s="170"/>
      <c r="G39" s="177" t="s">
        <v>401</v>
      </c>
      <c r="H39" s="179">
        <f>SUM(G26:G31)</f>
        <v>35220.69</v>
      </c>
      <c r="I39" s="170"/>
      <c r="J39" s="2"/>
      <c r="L39" s="2"/>
      <c r="M39" s="350" t="s">
        <v>629</v>
      </c>
      <c r="N39" s="356"/>
      <c r="O39" s="357">
        <f>15*12</f>
        <v>180</v>
      </c>
      <c r="P39" s="353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2:31" ht="19.5" customHeight="1" thickBot="1" x14ac:dyDescent="0.3">
      <c r="B40" s="180" t="s">
        <v>425</v>
      </c>
      <c r="C40" s="428">
        <f>C38+C39</f>
        <v>91760</v>
      </c>
      <c r="D40" s="100"/>
      <c r="E40" s="326">
        <f>C40/12</f>
        <v>7646.666666666667</v>
      </c>
      <c r="F40" s="169"/>
      <c r="G40" s="180" t="s">
        <v>425</v>
      </c>
      <c r="H40" s="44">
        <f>H38+H39</f>
        <v>93761.056666666671</v>
      </c>
      <c r="I40" s="169"/>
      <c r="J40" s="2"/>
      <c r="L40" s="2"/>
      <c r="M40" s="350" t="s">
        <v>630</v>
      </c>
      <c r="N40" s="356"/>
      <c r="O40" s="357">
        <f>88/1.2</f>
        <v>73.333333333333343</v>
      </c>
      <c r="P40" s="353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  <row r="41" spans="2:31" ht="19.5" customHeight="1" thickBot="1" x14ac:dyDescent="0.25">
      <c r="B41" s="100"/>
      <c r="C41" s="429"/>
      <c r="D41" s="430"/>
      <c r="E41" s="181"/>
      <c r="F41" s="171"/>
      <c r="G41" s="2"/>
      <c r="H41" s="2"/>
      <c r="I41" s="171"/>
      <c r="J41" s="2"/>
      <c r="L41" s="2"/>
      <c r="M41" s="350" t="s">
        <v>628</v>
      </c>
      <c r="N41" s="356">
        <v>0</v>
      </c>
      <c r="O41" s="357">
        <v>0</v>
      </c>
      <c r="P41" s="353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</row>
    <row r="42" spans="2:31" ht="19.5" customHeight="1" thickBot="1" x14ac:dyDescent="0.3">
      <c r="B42" s="183" t="s">
        <v>423</v>
      </c>
      <c r="C42" s="183">
        <f>C40</f>
        <v>91760</v>
      </c>
      <c r="D42" s="100"/>
      <c r="E42" s="2"/>
      <c r="F42" s="171"/>
      <c r="G42" s="2"/>
      <c r="H42" s="2"/>
      <c r="I42" s="171"/>
      <c r="J42" s="2"/>
      <c r="L42" s="2"/>
      <c r="M42" s="350" t="s">
        <v>626</v>
      </c>
      <c r="N42" s="356"/>
      <c r="O42" s="357">
        <f>83.88/1.2</f>
        <v>69.900000000000006</v>
      </c>
      <c r="P42" s="353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</row>
    <row r="43" spans="2:31" ht="19.5" customHeight="1" x14ac:dyDescent="0.25">
      <c r="B43" s="3"/>
      <c r="C43" s="4"/>
      <c r="D43" s="100"/>
      <c r="J43" s="37"/>
      <c r="L43" s="2"/>
      <c r="M43" s="350" t="s">
        <v>627</v>
      </c>
      <c r="N43" s="356">
        <v>50</v>
      </c>
      <c r="O43" s="357">
        <v>720</v>
      </c>
      <c r="P43" s="358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</row>
    <row r="44" spans="2:31" ht="19.5" customHeight="1" thickBot="1" x14ac:dyDescent="0.3">
      <c r="B44" s="3"/>
      <c r="C44" s="4"/>
      <c r="D44" s="100"/>
      <c r="J44" s="2"/>
      <c r="L44" s="2"/>
      <c r="M44" s="350" t="s">
        <v>633</v>
      </c>
      <c r="N44" s="356"/>
      <c r="O44" s="357">
        <f>238.8/1.2</f>
        <v>199.00000000000003</v>
      </c>
      <c r="P44" s="298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</row>
    <row r="45" spans="2:31" ht="19.5" customHeight="1" thickBot="1" x14ac:dyDescent="0.3">
      <c r="B45" s="45" t="s">
        <v>215</v>
      </c>
      <c r="C45" s="449">
        <f>1-('Prévisionnel 24-25'!C42/'facturation 24-25'!C5)</f>
        <v>1.9882311108110895E-2</v>
      </c>
      <c r="D45" s="100"/>
      <c r="E45" s="6"/>
      <c r="F45" s="169"/>
      <c r="G45" s="6"/>
      <c r="H45" s="6"/>
      <c r="I45" s="169"/>
      <c r="J45" s="2"/>
      <c r="L45" s="2"/>
      <c r="M45" s="350" t="s">
        <v>634</v>
      </c>
      <c r="N45" s="356">
        <f>16</f>
        <v>16</v>
      </c>
      <c r="O45" s="357">
        <f>N45*M36</f>
        <v>192</v>
      </c>
      <c r="P45" s="298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</row>
    <row r="46" spans="2:31" ht="19.5" customHeight="1" x14ac:dyDescent="0.2">
      <c r="B46" s="2"/>
      <c r="C46" s="15"/>
      <c r="D46" s="100"/>
      <c r="E46" s="2"/>
      <c r="F46" s="171"/>
      <c r="G46" s="2"/>
      <c r="H46" s="2"/>
      <c r="I46" s="171"/>
      <c r="J46" s="2"/>
      <c r="L46" s="2"/>
      <c r="M46" s="350" t="s">
        <v>635</v>
      </c>
      <c r="N46" s="356"/>
      <c r="O46" s="357">
        <f>99/1.2</f>
        <v>82.5</v>
      </c>
      <c r="P46" s="298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</row>
    <row r="47" spans="2:31" ht="19.5" customHeight="1" thickBot="1" x14ac:dyDescent="0.25">
      <c r="B47" s="363" t="s">
        <v>36</v>
      </c>
      <c r="C47" s="364"/>
      <c r="D47" s="100"/>
      <c r="E47" s="2"/>
      <c r="F47" s="171"/>
      <c r="G47" s="2"/>
      <c r="H47" s="2"/>
      <c r="I47" s="171"/>
      <c r="J47" s="2"/>
      <c r="L47" s="2"/>
      <c r="M47" s="350" t="s">
        <v>636</v>
      </c>
      <c r="N47" s="356">
        <f>29/1.2</f>
        <v>24.166666666666668</v>
      </c>
      <c r="O47" s="357">
        <f>N47*M36</f>
        <v>290</v>
      </c>
      <c r="P47" s="298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</row>
    <row r="48" spans="2:31" ht="19.5" customHeight="1" thickBot="1" x14ac:dyDescent="0.3">
      <c r="B48" s="47" t="s">
        <v>37</v>
      </c>
      <c r="C48" s="48">
        <f>'facturation 24-25'!C5</f>
        <v>93621.41</v>
      </c>
      <c r="D48" s="161"/>
      <c r="E48" s="6"/>
      <c r="F48" s="169"/>
      <c r="G48" s="6"/>
      <c r="H48" s="6"/>
      <c r="I48" s="169"/>
      <c r="J48" s="2"/>
      <c r="L48" s="2"/>
      <c r="M48" s="350" t="s">
        <v>637</v>
      </c>
      <c r="N48" s="356">
        <f>26.21/1.2</f>
        <v>21.841666666666669</v>
      </c>
      <c r="O48" s="357">
        <f>N48*M36</f>
        <v>262.10000000000002</v>
      </c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</row>
    <row r="49" spans="2:31" ht="19.5" customHeight="1" thickBot="1" x14ac:dyDescent="0.3">
      <c r="B49" s="49" t="s">
        <v>38</v>
      </c>
      <c r="C49" s="392">
        <f>'Planning facturation 24-25'!O58+'Planning facturation 24-25'!B58</f>
        <v>18806.013333333336</v>
      </c>
      <c r="D49" s="100" t="s">
        <v>666</v>
      </c>
      <c r="J49" s="2"/>
      <c r="L49" s="2"/>
      <c r="M49" s="350" t="s">
        <v>645</v>
      </c>
      <c r="N49" s="356"/>
      <c r="O49" s="357">
        <f>(132+45.9)/1.2</f>
        <v>148.25</v>
      </c>
      <c r="P49" s="157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</row>
    <row r="50" spans="2:31" ht="19.5" customHeight="1" thickBot="1" x14ac:dyDescent="0.3">
      <c r="B50" s="49" t="s">
        <v>39</v>
      </c>
      <c r="C50" s="50">
        <f>C48+C49</f>
        <v>112427.42333333334</v>
      </c>
      <c r="D50" s="100"/>
      <c r="E50" s="2"/>
      <c r="F50" s="171"/>
      <c r="G50" s="2"/>
      <c r="H50" s="2"/>
      <c r="I50" s="171"/>
      <c r="J50" s="2"/>
      <c r="L50" s="2"/>
      <c r="M50" s="352" t="s">
        <v>632</v>
      </c>
      <c r="N50" s="359"/>
      <c r="O50" s="360">
        <f>SUM(O39:O49)</f>
        <v>2217.0833333333335</v>
      </c>
      <c r="P50" s="6">
        <f>O50-O44-O45</f>
        <v>1826.0833333333335</v>
      </c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</row>
    <row r="51" spans="2:31" ht="15.75" customHeight="1" thickBot="1" x14ac:dyDescent="0.25">
      <c r="B51" s="2"/>
      <c r="D51" s="100"/>
      <c r="E51" s="2"/>
      <c r="F51" s="171"/>
      <c r="G51" s="2"/>
      <c r="H51" s="2"/>
      <c r="I51" s="171"/>
      <c r="J51" s="2"/>
      <c r="L51" s="2"/>
      <c r="M51" s="351" t="s">
        <v>631</v>
      </c>
      <c r="N51" s="361"/>
      <c r="O51" s="362">
        <f>O50/12</f>
        <v>184.75694444444446</v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</row>
    <row r="52" spans="2:31" ht="15.75" customHeight="1" x14ac:dyDescent="0.2">
      <c r="B52" s="2"/>
      <c r="C52" s="15"/>
      <c r="D52" s="100"/>
      <c r="E52" s="2"/>
      <c r="F52" s="171"/>
      <c r="G52" s="2"/>
      <c r="H52" s="2"/>
      <c r="I52" s="171"/>
      <c r="J52" s="2"/>
      <c r="L52" s="2"/>
      <c r="M52" s="2"/>
      <c r="N52" s="1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</row>
    <row r="53" spans="2:31" ht="15.75" customHeight="1" x14ac:dyDescent="0.2">
      <c r="B53" s="2"/>
      <c r="C53" s="15"/>
      <c r="D53" s="100"/>
      <c r="E53" s="2"/>
      <c r="F53" s="171"/>
      <c r="G53" s="2"/>
      <c r="H53" s="2"/>
      <c r="I53" s="171"/>
      <c r="J53" s="2"/>
      <c r="L53" s="2"/>
      <c r="M53" s="2"/>
      <c r="N53" s="1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</row>
    <row r="54" spans="2:31" ht="15.75" customHeight="1" x14ac:dyDescent="0.2">
      <c r="B54" s="2"/>
      <c r="C54" s="15"/>
      <c r="D54" s="100"/>
      <c r="E54" s="2"/>
      <c r="F54" s="171"/>
      <c r="G54" s="2"/>
      <c r="H54" s="2"/>
      <c r="I54" s="171"/>
      <c r="J54" s="2"/>
      <c r="L54" s="2"/>
      <c r="M54" s="2"/>
      <c r="N54" s="1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</row>
    <row r="55" spans="2:31" ht="15.75" customHeight="1" x14ac:dyDescent="0.2">
      <c r="B55" s="2"/>
      <c r="C55" s="15"/>
      <c r="D55" s="100"/>
      <c r="E55" s="2"/>
      <c r="F55" s="171"/>
      <c r="G55" s="2"/>
      <c r="H55" s="2"/>
      <c r="I55" s="171"/>
      <c r="J55" s="2"/>
      <c r="L55" s="298"/>
      <c r="M55" s="298"/>
      <c r="N55" s="402"/>
      <c r="O55" s="298"/>
      <c r="P55" s="298"/>
      <c r="Q55" s="298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</row>
    <row r="56" spans="2:31" ht="15.75" customHeight="1" x14ac:dyDescent="0.25">
      <c r="B56" s="2"/>
      <c r="C56" s="15"/>
      <c r="D56" s="100"/>
      <c r="E56" s="2"/>
      <c r="F56" s="171"/>
      <c r="G56" s="2"/>
      <c r="H56" s="2"/>
      <c r="I56" s="171"/>
      <c r="J56" s="2"/>
      <c r="L56" s="298"/>
      <c r="M56" s="529"/>
      <c r="N56" s="529"/>
      <c r="O56" s="529"/>
      <c r="P56" s="298"/>
      <c r="Q56" s="298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</row>
    <row r="57" spans="2:31" ht="15.75" customHeight="1" x14ac:dyDescent="0.25">
      <c r="B57" s="2"/>
      <c r="C57" s="15"/>
      <c r="D57" s="100"/>
      <c r="E57" s="2"/>
      <c r="F57" s="171"/>
      <c r="G57" s="2"/>
      <c r="H57" s="2"/>
      <c r="I57" s="171"/>
      <c r="J57" s="2"/>
      <c r="L57" s="298"/>
      <c r="M57" s="296"/>
      <c r="N57" s="354"/>
      <c r="O57" s="354"/>
      <c r="P57" s="298"/>
      <c r="Q57" s="298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</row>
    <row r="58" spans="2:31" ht="15.75" customHeight="1" x14ac:dyDescent="0.2">
      <c r="B58" s="2"/>
      <c r="C58" s="15"/>
      <c r="D58" s="100"/>
      <c r="E58" s="2"/>
      <c r="F58" s="171"/>
      <c r="G58" s="2"/>
      <c r="H58" s="2"/>
      <c r="I58" s="171"/>
      <c r="J58" s="2"/>
      <c r="L58" s="298"/>
      <c r="M58" s="403"/>
      <c r="N58" s="369"/>
      <c r="O58" s="369"/>
      <c r="P58" s="298"/>
      <c r="Q58" s="298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</row>
    <row r="59" spans="2:31" ht="15.75" customHeight="1" x14ac:dyDescent="0.2">
      <c r="B59" s="2"/>
      <c r="C59" s="15"/>
      <c r="D59" s="100"/>
      <c r="E59" s="2"/>
      <c r="F59" s="171"/>
      <c r="G59" s="2"/>
      <c r="H59" s="2"/>
      <c r="I59" s="171"/>
      <c r="J59" s="2"/>
      <c r="L59" s="298"/>
      <c r="M59" s="403"/>
      <c r="N59" s="369"/>
      <c r="O59" s="369"/>
      <c r="P59" s="298"/>
      <c r="Q59" s="298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</row>
    <row r="60" spans="2:31" ht="15.75" customHeight="1" x14ac:dyDescent="0.2">
      <c r="B60" s="2"/>
      <c r="C60" s="15"/>
      <c r="D60" s="100"/>
      <c r="E60" s="2"/>
      <c r="F60" s="171"/>
      <c r="G60" s="2"/>
      <c r="H60" s="2"/>
      <c r="I60" s="171"/>
      <c r="J60" s="2"/>
      <c r="K60" s="2"/>
      <c r="L60" s="298"/>
      <c r="M60" s="403"/>
      <c r="N60" s="369"/>
      <c r="O60" s="369"/>
      <c r="P60" s="298"/>
      <c r="Q60" s="298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</row>
    <row r="61" spans="2:31" ht="15.75" customHeight="1" x14ac:dyDescent="0.2">
      <c r="B61" s="2"/>
      <c r="C61" s="15"/>
      <c r="D61" s="100"/>
      <c r="E61" s="2"/>
      <c r="F61" s="171"/>
      <c r="G61" s="2"/>
      <c r="H61" s="2"/>
      <c r="I61" s="171"/>
      <c r="J61" s="2"/>
      <c r="K61" s="2"/>
      <c r="L61" s="298"/>
      <c r="M61" s="403"/>
      <c r="N61" s="369"/>
      <c r="O61" s="369"/>
      <c r="P61" s="298"/>
      <c r="Q61" s="298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</row>
    <row r="62" spans="2:31" ht="15.75" customHeight="1" x14ac:dyDescent="0.2">
      <c r="B62" s="2"/>
      <c r="C62" s="15"/>
      <c r="D62" s="100"/>
      <c r="E62" s="2"/>
      <c r="F62" s="171"/>
      <c r="G62" s="2"/>
      <c r="H62" s="2"/>
      <c r="I62" s="171"/>
      <c r="J62" s="2"/>
      <c r="K62" s="2"/>
      <c r="L62" s="298"/>
      <c r="M62" s="403"/>
      <c r="N62" s="369"/>
      <c r="O62" s="369"/>
      <c r="P62" s="298"/>
      <c r="Q62" s="298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</row>
    <row r="63" spans="2:31" ht="15.75" customHeight="1" x14ac:dyDescent="0.2">
      <c r="B63" s="2"/>
      <c r="C63" s="15"/>
      <c r="D63" s="100"/>
      <c r="E63" s="2"/>
      <c r="F63" s="171"/>
      <c r="G63" s="2"/>
      <c r="H63" s="2"/>
      <c r="I63" s="171"/>
      <c r="J63" s="2"/>
      <c r="K63" s="2"/>
      <c r="L63" s="298"/>
      <c r="M63" s="298"/>
      <c r="N63" s="404"/>
      <c r="O63" s="405"/>
      <c r="P63" s="298"/>
      <c r="Q63" s="298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2:31" ht="15.75" customHeight="1" x14ac:dyDescent="0.2">
      <c r="B64" s="2"/>
      <c r="C64" s="15"/>
      <c r="D64" s="100"/>
      <c r="E64" s="2"/>
      <c r="F64" s="171"/>
      <c r="G64" s="2"/>
      <c r="H64" s="2"/>
      <c r="I64" s="171"/>
      <c r="J64" s="2"/>
      <c r="K64" s="2"/>
      <c r="L64" s="298"/>
      <c r="M64" s="298"/>
      <c r="N64" s="404"/>
      <c r="O64" s="405"/>
      <c r="P64" s="298"/>
      <c r="Q64" s="298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2:31" ht="15.75" customHeight="1" x14ac:dyDescent="0.2">
      <c r="B65" s="2"/>
      <c r="C65" s="15"/>
      <c r="D65" s="100"/>
      <c r="E65" s="2"/>
      <c r="F65" s="171"/>
      <c r="G65" s="2"/>
      <c r="H65" s="2"/>
      <c r="I65" s="171"/>
      <c r="J65" s="2"/>
      <c r="K65" s="2"/>
      <c r="L65" s="298"/>
      <c r="M65" s="298"/>
      <c r="N65" s="404"/>
      <c r="O65" s="405"/>
      <c r="P65" s="298"/>
      <c r="Q65" s="298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2:31" ht="15.75" customHeight="1" x14ac:dyDescent="0.2">
      <c r="B66" s="2"/>
      <c r="C66" s="15"/>
      <c r="D66" s="100"/>
      <c r="E66" s="2"/>
      <c r="F66" s="171"/>
      <c r="G66" s="2"/>
      <c r="H66" s="2"/>
      <c r="I66" s="171"/>
      <c r="J66" s="2"/>
      <c r="K66" s="2"/>
      <c r="L66" s="298"/>
      <c r="M66" s="298"/>
      <c r="N66" s="356"/>
      <c r="O66" s="406"/>
      <c r="P66" s="298"/>
      <c r="Q66" s="298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67" spans="2:31" ht="15.75" customHeight="1" x14ac:dyDescent="0.2">
      <c r="B67" s="2"/>
      <c r="C67" s="15"/>
      <c r="D67" s="100"/>
      <c r="E67" s="2"/>
      <c r="F67" s="171"/>
      <c r="G67" s="2"/>
      <c r="H67" s="2"/>
      <c r="I67" s="171"/>
      <c r="J67" s="2"/>
      <c r="K67" s="2"/>
      <c r="L67" s="298"/>
      <c r="M67" s="298"/>
      <c r="N67" s="356"/>
      <c r="O67" s="406"/>
      <c r="P67" s="298"/>
      <c r="Q67" s="298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</row>
    <row r="68" spans="2:31" ht="15.75" customHeight="1" x14ac:dyDescent="0.2">
      <c r="B68" s="2"/>
      <c r="C68" s="15"/>
      <c r="D68" s="100"/>
      <c r="E68" s="2"/>
      <c r="F68" s="171"/>
      <c r="G68" s="2"/>
      <c r="H68" s="2"/>
      <c r="I68" s="171"/>
      <c r="J68" s="2"/>
      <c r="K68" s="2"/>
      <c r="L68" s="298"/>
      <c r="M68" s="298"/>
      <c r="N68" s="356"/>
      <c r="O68" s="406"/>
      <c r="P68" s="298"/>
      <c r="Q68" s="298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</row>
    <row r="69" spans="2:31" ht="15.75" customHeight="1" x14ac:dyDescent="0.2">
      <c r="B69" s="2"/>
      <c r="C69" s="15"/>
      <c r="D69" s="100"/>
      <c r="E69" s="2"/>
      <c r="F69" s="171"/>
      <c r="G69" s="2"/>
      <c r="H69" s="2"/>
      <c r="I69" s="171"/>
      <c r="J69" s="2"/>
      <c r="K69" s="2"/>
      <c r="L69" s="298"/>
      <c r="M69" s="298"/>
      <c r="N69" s="356"/>
      <c r="O69" s="406"/>
      <c r="P69" s="298"/>
      <c r="Q69" s="298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</row>
    <row r="70" spans="2:31" ht="15.75" customHeight="1" x14ac:dyDescent="0.2">
      <c r="B70" s="2"/>
      <c r="C70" s="15"/>
      <c r="D70" s="100"/>
      <c r="E70" s="2"/>
      <c r="F70" s="171"/>
      <c r="G70" s="2"/>
      <c r="H70" s="2"/>
      <c r="I70" s="171"/>
      <c r="J70" s="2"/>
      <c r="K70" s="2"/>
      <c r="L70" s="298"/>
      <c r="M70" s="298"/>
      <c r="N70" s="356"/>
      <c r="O70" s="406"/>
      <c r="P70" s="298"/>
      <c r="Q70" s="298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</row>
    <row r="71" spans="2:31" ht="15.75" customHeight="1" x14ac:dyDescent="0.2">
      <c r="B71" s="2"/>
      <c r="C71" s="15"/>
      <c r="D71" s="100"/>
      <c r="E71" s="2"/>
      <c r="F71" s="171"/>
      <c r="G71" s="2"/>
      <c r="H71" s="2"/>
      <c r="I71" s="171"/>
      <c r="J71" s="2"/>
      <c r="K71" s="2"/>
      <c r="L71" s="2"/>
      <c r="M71" s="2"/>
      <c r="N71" s="1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</row>
    <row r="72" spans="2:31" ht="15.75" customHeight="1" x14ac:dyDescent="0.2">
      <c r="B72" s="2"/>
      <c r="C72" s="15"/>
      <c r="D72" s="100"/>
      <c r="E72" s="2"/>
      <c r="F72" s="171"/>
      <c r="G72" s="2"/>
      <c r="H72" s="2"/>
      <c r="I72" s="171"/>
      <c r="J72" s="2"/>
      <c r="K72" s="2"/>
      <c r="L72" s="2"/>
      <c r="M72" s="2"/>
      <c r="N72" s="1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</row>
    <row r="73" spans="2:31" ht="15.75" customHeight="1" x14ac:dyDescent="0.2">
      <c r="B73" s="2"/>
      <c r="C73" s="15"/>
      <c r="D73" s="100"/>
      <c r="E73" s="2"/>
      <c r="F73" s="171"/>
      <c r="G73" s="2"/>
      <c r="H73" s="2"/>
      <c r="I73" s="171"/>
      <c r="J73" s="2"/>
      <c r="K73" s="2"/>
      <c r="L73" s="2"/>
      <c r="M73" s="2"/>
      <c r="N73" s="1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</row>
    <row r="74" spans="2:31" ht="15.75" customHeight="1" x14ac:dyDescent="0.2">
      <c r="B74" s="2"/>
      <c r="C74" s="15"/>
      <c r="D74" s="100"/>
      <c r="E74" s="2"/>
      <c r="F74" s="171"/>
      <c r="G74" s="2"/>
      <c r="H74" s="2"/>
      <c r="I74" s="171"/>
      <c r="J74" s="2"/>
      <c r="K74" s="2"/>
      <c r="L74" s="2"/>
      <c r="M74" s="2"/>
      <c r="N74" s="1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</row>
    <row r="75" spans="2:31" ht="15.75" customHeight="1" x14ac:dyDescent="0.2">
      <c r="B75" s="2"/>
      <c r="C75" s="15"/>
      <c r="D75" s="100"/>
      <c r="E75" s="2"/>
      <c r="F75" s="171"/>
      <c r="G75" s="2"/>
      <c r="H75" s="2"/>
      <c r="I75" s="171"/>
      <c r="J75" s="2"/>
      <c r="K75" s="2"/>
      <c r="L75" s="2"/>
      <c r="M75" s="2"/>
      <c r="N75" s="1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</row>
    <row r="76" spans="2:31" ht="15.75" customHeight="1" x14ac:dyDescent="0.2">
      <c r="B76" s="2"/>
      <c r="C76" s="15"/>
      <c r="D76" s="100"/>
      <c r="E76" s="2"/>
      <c r="F76" s="171"/>
      <c r="G76" s="2"/>
      <c r="H76" s="2"/>
      <c r="I76" s="171"/>
      <c r="J76" s="2"/>
      <c r="K76" s="2"/>
      <c r="L76" s="2"/>
      <c r="M76" s="2"/>
      <c r="N76" s="1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</row>
    <row r="77" spans="2:31" ht="15.75" customHeight="1" x14ac:dyDescent="0.2">
      <c r="B77" s="2"/>
      <c r="C77" s="15"/>
      <c r="D77" s="100"/>
      <c r="E77" s="2"/>
      <c r="F77" s="171"/>
      <c r="G77" s="2"/>
      <c r="H77" s="2"/>
      <c r="I77" s="171"/>
      <c r="J77" s="2"/>
      <c r="K77" s="2"/>
      <c r="L77" s="2"/>
      <c r="M77" s="2"/>
      <c r="N77" s="1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</row>
    <row r="78" spans="2:31" ht="15.75" customHeight="1" x14ac:dyDescent="0.2">
      <c r="B78" s="2"/>
      <c r="C78" s="15"/>
      <c r="D78" s="100"/>
      <c r="E78" s="2"/>
      <c r="F78" s="171"/>
      <c r="G78" s="2"/>
      <c r="H78" s="2"/>
      <c r="I78" s="171"/>
      <c r="J78" s="2"/>
      <c r="K78" s="2"/>
      <c r="L78" s="2"/>
      <c r="M78" s="2"/>
      <c r="N78" s="1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</row>
    <row r="79" spans="2:31" ht="15.75" customHeight="1" x14ac:dyDescent="0.2">
      <c r="B79" s="2"/>
      <c r="C79" s="15"/>
      <c r="D79" s="100"/>
      <c r="E79" s="2"/>
      <c r="F79" s="171"/>
      <c r="G79" s="2"/>
      <c r="H79" s="2"/>
      <c r="I79" s="171"/>
      <c r="J79" s="2"/>
      <c r="K79" s="2"/>
      <c r="L79" s="2"/>
      <c r="M79" s="2"/>
      <c r="N79" s="1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</row>
    <row r="80" spans="2:31" ht="15.75" customHeight="1" x14ac:dyDescent="0.2">
      <c r="B80" s="2"/>
      <c r="C80" s="15"/>
      <c r="D80" s="100"/>
      <c r="E80" s="2"/>
      <c r="F80" s="171"/>
      <c r="G80" s="2"/>
      <c r="H80" s="2"/>
      <c r="I80" s="171"/>
      <c r="J80" s="2"/>
      <c r="K80" s="2"/>
      <c r="L80" s="2"/>
      <c r="M80" s="2"/>
      <c r="N80" s="1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</row>
    <row r="81" spans="2:31" ht="15.75" customHeight="1" x14ac:dyDescent="0.2">
      <c r="B81" s="2"/>
      <c r="C81" s="15"/>
      <c r="D81" s="100"/>
      <c r="E81" s="2"/>
      <c r="F81" s="171"/>
      <c r="G81" s="2"/>
      <c r="H81" s="2"/>
      <c r="I81" s="171"/>
      <c r="J81" s="2"/>
      <c r="K81" s="2"/>
      <c r="L81" s="2"/>
      <c r="M81" s="2"/>
      <c r="N81" s="1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</row>
    <row r="82" spans="2:31" ht="15.75" customHeight="1" x14ac:dyDescent="0.2">
      <c r="B82" s="2"/>
      <c r="C82" s="15"/>
      <c r="D82" s="100"/>
      <c r="E82" s="2"/>
      <c r="F82" s="171"/>
      <c r="G82" s="2"/>
      <c r="H82" s="2"/>
      <c r="I82" s="171"/>
      <c r="J82" s="2"/>
      <c r="K82" s="2"/>
      <c r="L82" s="2"/>
      <c r="M82" s="2"/>
      <c r="N82" s="1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</row>
    <row r="83" spans="2:31" ht="15.75" customHeight="1" x14ac:dyDescent="0.2">
      <c r="B83" s="2"/>
      <c r="C83" s="15"/>
      <c r="D83" s="100"/>
      <c r="E83" s="2"/>
      <c r="F83" s="171"/>
      <c r="G83" s="2"/>
      <c r="H83" s="2"/>
      <c r="I83" s="171"/>
      <c r="J83" s="2"/>
      <c r="K83" s="2"/>
      <c r="L83" s="2"/>
      <c r="M83" s="2"/>
      <c r="N83" s="1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</row>
    <row r="84" spans="2:31" ht="15.75" customHeight="1" x14ac:dyDescent="0.2">
      <c r="B84" s="2"/>
      <c r="C84" s="15"/>
      <c r="D84" s="100"/>
      <c r="E84" s="2"/>
      <c r="F84" s="171"/>
      <c r="G84" s="2"/>
      <c r="H84" s="2"/>
      <c r="I84" s="171"/>
      <c r="J84" s="2"/>
      <c r="K84" s="2"/>
      <c r="L84" s="2"/>
      <c r="M84" s="2"/>
      <c r="N84" s="1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</row>
    <row r="85" spans="2:31" ht="15.75" customHeight="1" x14ac:dyDescent="0.2">
      <c r="B85" s="2"/>
      <c r="C85" s="15"/>
      <c r="D85" s="100"/>
      <c r="E85" s="2"/>
      <c r="F85" s="171"/>
      <c r="G85" s="2"/>
      <c r="H85" s="2"/>
      <c r="I85" s="171"/>
      <c r="J85" s="2"/>
      <c r="K85" s="2"/>
      <c r="L85" s="2"/>
      <c r="M85" s="2"/>
      <c r="N85" s="1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</row>
    <row r="86" spans="2:31" ht="15.75" customHeight="1" x14ac:dyDescent="0.2">
      <c r="B86" s="2"/>
      <c r="C86" s="15"/>
      <c r="D86" s="100"/>
      <c r="E86" s="2"/>
      <c r="F86" s="171"/>
      <c r="G86" s="2"/>
      <c r="H86" s="2"/>
      <c r="I86" s="171"/>
      <c r="J86" s="2"/>
      <c r="K86" s="2"/>
      <c r="L86" s="2"/>
      <c r="M86" s="2"/>
      <c r="N86" s="1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</row>
    <row r="87" spans="2:31" ht="15.75" customHeight="1" x14ac:dyDescent="0.2">
      <c r="B87" s="2"/>
      <c r="C87" s="15"/>
      <c r="D87" s="100"/>
      <c r="E87" s="2"/>
      <c r="F87" s="171"/>
      <c r="G87" s="2"/>
      <c r="H87" s="2"/>
      <c r="I87" s="171"/>
      <c r="J87" s="2"/>
      <c r="K87" s="2"/>
      <c r="L87" s="2"/>
      <c r="M87" s="2"/>
      <c r="N87" s="1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</row>
    <row r="88" spans="2:31" ht="15.75" customHeight="1" x14ac:dyDescent="0.2">
      <c r="B88" s="2"/>
      <c r="C88" s="15"/>
      <c r="D88" s="100"/>
      <c r="E88" s="2"/>
      <c r="F88" s="171"/>
      <c r="G88" s="2"/>
      <c r="H88" s="2"/>
      <c r="I88" s="171"/>
      <c r="J88" s="2"/>
      <c r="K88" s="2"/>
      <c r="L88" s="2"/>
      <c r="M88" s="2"/>
      <c r="N88" s="1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</row>
    <row r="89" spans="2:31" ht="15.75" customHeight="1" x14ac:dyDescent="0.2">
      <c r="B89" s="2"/>
      <c r="C89" s="15"/>
      <c r="D89" s="100"/>
      <c r="E89" s="2"/>
      <c r="F89" s="171"/>
      <c r="G89" s="2"/>
      <c r="H89" s="2"/>
      <c r="I89" s="171"/>
      <c r="J89" s="2"/>
      <c r="K89" s="2"/>
      <c r="L89" s="2"/>
      <c r="M89" s="2"/>
      <c r="N89" s="1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</row>
    <row r="90" spans="2:31" ht="15.75" customHeight="1" x14ac:dyDescent="0.2">
      <c r="B90" s="2"/>
      <c r="C90" s="15"/>
      <c r="D90" s="100"/>
      <c r="E90" s="2"/>
      <c r="F90" s="171"/>
      <c r="G90" s="2"/>
      <c r="H90" s="2"/>
      <c r="I90" s="171"/>
      <c r="J90" s="2"/>
      <c r="K90" s="2"/>
      <c r="L90" s="2"/>
      <c r="M90" s="2"/>
      <c r="N90" s="1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</row>
    <row r="91" spans="2:31" ht="15.75" customHeight="1" x14ac:dyDescent="0.2">
      <c r="B91" s="2"/>
      <c r="C91" s="15"/>
      <c r="D91" s="100"/>
      <c r="E91" s="2"/>
      <c r="F91" s="171"/>
      <c r="G91" s="2"/>
      <c r="H91" s="2"/>
      <c r="I91" s="171"/>
      <c r="J91" s="2"/>
      <c r="K91" s="2"/>
      <c r="L91" s="2"/>
      <c r="M91" s="2"/>
      <c r="N91" s="1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</row>
    <row r="92" spans="2:31" ht="15.75" customHeight="1" x14ac:dyDescent="0.2">
      <c r="B92" s="2"/>
      <c r="C92" s="15"/>
      <c r="D92" s="100"/>
      <c r="E92" s="2"/>
      <c r="F92" s="171"/>
      <c r="G92" s="2"/>
      <c r="H92" s="2"/>
      <c r="I92" s="171"/>
      <c r="J92" s="2"/>
      <c r="K92" s="2"/>
      <c r="L92" s="2"/>
      <c r="M92" s="2"/>
      <c r="N92" s="1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</row>
    <row r="93" spans="2:31" ht="15.75" customHeight="1" x14ac:dyDescent="0.2">
      <c r="B93" s="2"/>
      <c r="C93" s="15"/>
      <c r="D93" s="100"/>
      <c r="E93" s="2"/>
      <c r="F93" s="171"/>
      <c r="G93" s="2"/>
      <c r="H93" s="2"/>
      <c r="I93" s="171"/>
      <c r="J93" s="2"/>
      <c r="K93" s="2"/>
      <c r="L93" s="2"/>
      <c r="M93" s="2"/>
      <c r="N93" s="1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</row>
    <row r="94" spans="2:31" ht="15.75" customHeight="1" x14ac:dyDescent="0.2">
      <c r="B94" s="2"/>
      <c r="C94" s="15"/>
      <c r="D94" s="100"/>
      <c r="E94" s="2"/>
      <c r="F94" s="171"/>
      <c r="G94" s="2"/>
      <c r="H94" s="2"/>
      <c r="I94" s="171"/>
      <c r="J94" s="2"/>
      <c r="K94" s="2"/>
      <c r="L94" s="2"/>
      <c r="M94" s="2"/>
      <c r="N94" s="1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</row>
    <row r="95" spans="2:31" ht="15.75" customHeight="1" x14ac:dyDescent="0.2">
      <c r="B95" s="2"/>
      <c r="C95" s="15"/>
      <c r="D95" s="100"/>
      <c r="E95" s="2"/>
      <c r="F95" s="171"/>
      <c r="G95" s="2"/>
      <c r="H95" s="2"/>
      <c r="I95" s="171"/>
      <c r="J95" s="2"/>
      <c r="K95" s="2"/>
      <c r="L95" s="2"/>
      <c r="M95" s="2"/>
      <c r="N95" s="1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</row>
    <row r="96" spans="2:31" ht="15.75" customHeight="1" x14ac:dyDescent="0.2">
      <c r="B96" s="2"/>
      <c r="C96" s="15"/>
      <c r="D96" s="100"/>
      <c r="E96" s="2"/>
      <c r="F96" s="171"/>
      <c r="G96" s="2"/>
      <c r="H96" s="2"/>
      <c r="I96" s="171"/>
      <c r="J96" s="2"/>
      <c r="K96" s="2"/>
      <c r="L96" s="2"/>
      <c r="M96" s="2"/>
      <c r="N96" s="1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</row>
    <row r="97" spans="2:31" ht="15.75" customHeight="1" x14ac:dyDescent="0.2">
      <c r="B97" s="2"/>
      <c r="C97" s="15"/>
      <c r="D97" s="100"/>
      <c r="E97" s="2"/>
      <c r="F97" s="171"/>
      <c r="G97" s="2"/>
      <c r="H97" s="2"/>
      <c r="I97" s="171"/>
      <c r="J97" s="2"/>
      <c r="K97" s="2"/>
      <c r="L97" s="2"/>
      <c r="M97" s="2"/>
      <c r="N97" s="1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</row>
    <row r="98" spans="2:31" ht="15.75" customHeight="1" x14ac:dyDescent="0.2">
      <c r="B98" s="2"/>
      <c r="C98" s="15"/>
      <c r="D98" s="100"/>
      <c r="E98" s="2"/>
      <c r="F98" s="171"/>
      <c r="G98" s="2"/>
      <c r="H98" s="2"/>
      <c r="I98" s="171"/>
      <c r="J98" s="2"/>
      <c r="K98" s="2"/>
      <c r="L98" s="2"/>
      <c r="M98" s="2"/>
      <c r="N98" s="1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</row>
    <row r="99" spans="2:31" ht="15.75" customHeight="1" x14ac:dyDescent="0.2">
      <c r="B99" s="2"/>
      <c r="C99" s="15"/>
      <c r="D99" s="100"/>
      <c r="E99" s="2"/>
      <c r="F99" s="171"/>
      <c r="G99" s="2"/>
      <c r="H99" s="2"/>
      <c r="I99" s="171"/>
      <c r="J99" s="2"/>
      <c r="K99" s="2"/>
      <c r="L99" s="2"/>
      <c r="M99" s="2"/>
      <c r="N99" s="1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</row>
    <row r="100" spans="2:31" ht="15.75" customHeight="1" x14ac:dyDescent="0.2">
      <c r="B100" s="2"/>
      <c r="C100" s="15"/>
      <c r="D100" s="100"/>
      <c r="E100" s="2"/>
      <c r="F100" s="171"/>
      <c r="G100" s="2"/>
      <c r="H100" s="2"/>
      <c r="I100" s="171"/>
      <c r="J100" s="2"/>
      <c r="K100" s="2"/>
      <c r="L100" s="2"/>
      <c r="M100" s="2"/>
      <c r="N100" s="1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</row>
    <row r="101" spans="2:31" ht="15.75" customHeight="1" x14ac:dyDescent="0.2">
      <c r="B101" s="2"/>
      <c r="C101" s="15"/>
      <c r="D101" s="100"/>
      <c r="E101" s="2"/>
      <c r="F101" s="171"/>
      <c r="G101" s="2"/>
      <c r="H101" s="2"/>
      <c r="I101" s="171"/>
      <c r="J101" s="2"/>
      <c r="K101" s="2"/>
      <c r="L101" s="2"/>
      <c r="M101" s="2"/>
      <c r="N101" s="1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</row>
    <row r="102" spans="2:31" ht="15.75" customHeight="1" x14ac:dyDescent="0.2">
      <c r="B102" s="2"/>
      <c r="C102" s="15"/>
      <c r="D102" s="100"/>
      <c r="E102" s="2"/>
      <c r="F102" s="171"/>
      <c r="G102" s="2"/>
      <c r="H102" s="2"/>
      <c r="I102" s="171"/>
      <c r="J102" s="2"/>
      <c r="K102" s="2"/>
      <c r="L102" s="2"/>
      <c r="M102" s="2"/>
      <c r="N102" s="1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</row>
    <row r="103" spans="2:31" ht="15.75" customHeight="1" x14ac:dyDescent="0.2">
      <c r="B103" s="2"/>
      <c r="C103" s="15"/>
      <c r="D103" s="100"/>
      <c r="E103" s="2"/>
      <c r="F103" s="171"/>
      <c r="G103" s="2"/>
      <c r="H103" s="2"/>
      <c r="I103" s="171"/>
      <c r="J103" s="2"/>
      <c r="K103" s="2"/>
      <c r="L103" s="2"/>
      <c r="M103" s="2"/>
      <c r="N103" s="1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</row>
    <row r="104" spans="2:31" ht="15.75" customHeight="1" x14ac:dyDescent="0.2">
      <c r="B104" s="2"/>
      <c r="C104" s="15"/>
      <c r="D104" s="100"/>
      <c r="E104" s="2"/>
      <c r="F104" s="171"/>
      <c r="G104" s="2"/>
      <c r="H104" s="2"/>
      <c r="I104" s="171"/>
      <c r="J104" s="2"/>
      <c r="K104" s="2"/>
      <c r="L104" s="2"/>
      <c r="M104" s="2"/>
      <c r="N104" s="1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</row>
    <row r="105" spans="2:31" ht="15.75" customHeight="1" x14ac:dyDescent="0.2">
      <c r="B105" s="2"/>
      <c r="C105" s="15"/>
      <c r="D105" s="100"/>
      <c r="E105" s="2"/>
      <c r="F105" s="171"/>
      <c r="G105" s="2"/>
      <c r="H105" s="2"/>
      <c r="I105" s="171"/>
      <c r="J105" s="2"/>
      <c r="K105" s="2"/>
      <c r="L105" s="2"/>
      <c r="M105" s="2"/>
      <c r="N105" s="1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</row>
    <row r="106" spans="2:31" ht="15.75" customHeight="1" x14ac:dyDescent="0.2">
      <c r="B106" s="2"/>
      <c r="C106" s="15"/>
      <c r="D106" s="100"/>
      <c r="E106" s="2"/>
      <c r="F106" s="171"/>
      <c r="G106" s="2"/>
      <c r="H106" s="2"/>
      <c r="I106" s="171"/>
      <c r="J106" s="2"/>
      <c r="K106" s="2"/>
      <c r="L106" s="2"/>
      <c r="M106" s="2"/>
      <c r="N106" s="1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</row>
    <row r="107" spans="2:31" ht="15.75" customHeight="1" x14ac:dyDescent="0.2">
      <c r="B107" s="2"/>
      <c r="C107" s="15"/>
      <c r="D107" s="100"/>
      <c r="E107" s="2"/>
      <c r="F107" s="171"/>
      <c r="G107" s="2"/>
      <c r="H107" s="2"/>
      <c r="I107" s="171"/>
      <c r="J107" s="2"/>
      <c r="K107" s="2"/>
      <c r="L107" s="2"/>
      <c r="M107" s="2"/>
      <c r="N107" s="1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</row>
    <row r="108" spans="2:31" ht="15.75" customHeight="1" x14ac:dyDescent="0.2">
      <c r="B108" s="2"/>
      <c r="C108" s="15"/>
      <c r="D108" s="100"/>
      <c r="E108" s="2"/>
      <c r="F108" s="171"/>
      <c r="G108" s="2"/>
      <c r="H108" s="2"/>
      <c r="I108" s="171"/>
      <c r="J108" s="2"/>
      <c r="K108" s="2"/>
      <c r="L108" s="2"/>
      <c r="M108" s="2"/>
      <c r="N108" s="1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</row>
    <row r="109" spans="2:31" ht="15.75" customHeight="1" x14ac:dyDescent="0.2">
      <c r="B109" s="2"/>
      <c r="C109" s="15"/>
      <c r="D109" s="100"/>
      <c r="E109" s="2"/>
      <c r="F109" s="171"/>
      <c r="G109" s="2"/>
      <c r="H109" s="2"/>
      <c r="I109" s="171"/>
      <c r="J109" s="2"/>
      <c r="K109" s="2"/>
      <c r="L109" s="2"/>
      <c r="M109" s="2"/>
      <c r="N109" s="1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</row>
    <row r="110" spans="2:31" ht="15.75" customHeight="1" x14ac:dyDescent="0.2">
      <c r="B110" s="2"/>
      <c r="C110" s="15"/>
      <c r="D110" s="100"/>
      <c r="E110" s="2"/>
      <c r="F110" s="171"/>
      <c r="G110" s="2"/>
      <c r="H110" s="2"/>
      <c r="I110" s="171"/>
      <c r="J110" s="2"/>
      <c r="K110" s="2"/>
      <c r="L110" s="2"/>
      <c r="M110" s="2"/>
      <c r="N110" s="1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</row>
    <row r="111" spans="2:31" ht="15.75" customHeight="1" x14ac:dyDescent="0.2">
      <c r="B111" s="2"/>
      <c r="C111" s="15"/>
      <c r="D111" s="100"/>
      <c r="E111" s="2"/>
      <c r="F111" s="171"/>
      <c r="G111" s="2"/>
      <c r="H111" s="2"/>
      <c r="I111" s="171"/>
      <c r="J111" s="2"/>
      <c r="K111" s="2"/>
      <c r="L111" s="2"/>
      <c r="M111" s="2"/>
      <c r="N111" s="1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</row>
    <row r="112" spans="2:31" ht="15.75" customHeight="1" x14ac:dyDescent="0.2">
      <c r="B112" s="2"/>
      <c r="C112" s="15"/>
      <c r="D112" s="100"/>
      <c r="E112" s="2"/>
      <c r="F112" s="171"/>
      <c r="G112" s="2"/>
      <c r="H112" s="2"/>
      <c r="I112" s="171"/>
      <c r="J112" s="2"/>
      <c r="K112" s="2"/>
      <c r="L112" s="2"/>
      <c r="M112" s="2"/>
      <c r="N112" s="1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</row>
    <row r="113" spans="2:31" ht="15.75" customHeight="1" x14ac:dyDescent="0.2">
      <c r="B113" s="2"/>
      <c r="C113" s="15"/>
      <c r="D113" s="100"/>
      <c r="E113" s="2"/>
      <c r="F113" s="171"/>
      <c r="G113" s="2"/>
      <c r="H113" s="2"/>
      <c r="I113" s="171"/>
      <c r="J113" s="2"/>
      <c r="K113" s="2"/>
      <c r="L113" s="2"/>
      <c r="M113" s="2"/>
      <c r="N113" s="1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</row>
    <row r="114" spans="2:31" ht="15.75" customHeight="1" x14ac:dyDescent="0.2">
      <c r="B114" s="2"/>
      <c r="C114" s="15"/>
      <c r="D114" s="100"/>
      <c r="E114" s="2"/>
      <c r="F114" s="171"/>
      <c r="G114" s="2"/>
      <c r="H114" s="2"/>
      <c r="I114" s="171"/>
      <c r="J114" s="2"/>
      <c r="K114" s="2"/>
      <c r="L114" s="2"/>
      <c r="M114" s="2"/>
      <c r="N114" s="1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</row>
    <row r="115" spans="2:31" ht="15.75" customHeight="1" x14ac:dyDescent="0.2">
      <c r="B115" s="2"/>
      <c r="C115" s="15"/>
      <c r="D115" s="100"/>
      <c r="E115" s="2"/>
      <c r="F115" s="171"/>
      <c r="G115" s="2"/>
      <c r="H115" s="2"/>
      <c r="I115" s="171"/>
      <c r="J115" s="2"/>
      <c r="K115" s="2"/>
      <c r="L115" s="2"/>
      <c r="M115" s="2"/>
      <c r="N115" s="1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</row>
    <row r="116" spans="2:31" ht="15.75" customHeight="1" x14ac:dyDescent="0.2">
      <c r="B116" s="2"/>
      <c r="C116" s="15"/>
      <c r="D116" s="100"/>
      <c r="E116" s="2"/>
      <c r="F116" s="171"/>
      <c r="G116" s="2"/>
      <c r="H116" s="2"/>
      <c r="I116" s="171"/>
      <c r="J116" s="2"/>
      <c r="K116" s="2"/>
      <c r="L116" s="2"/>
      <c r="M116" s="2"/>
      <c r="N116" s="1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</row>
    <row r="117" spans="2:31" ht="15.75" customHeight="1" x14ac:dyDescent="0.2">
      <c r="B117" s="2"/>
      <c r="C117" s="15"/>
      <c r="D117" s="100"/>
      <c r="E117" s="2"/>
      <c r="F117" s="171"/>
      <c r="G117" s="2"/>
      <c r="H117" s="2"/>
      <c r="I117" s="171"/>
      <c r="J117" s="2"/>
      <c r="K117" s="2"/>
      <c r="L117" s="2"/>
      <c r="M117" s="2"/>
      <c r="N117" s="1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</row>
    <row r="118" spans="2:31" ht="15.75" customHeight="1" x14ac:dyDescent="0.2">
      <c r="B118" s="2"/>
      <c r="C118" s="15"/>
      <c r="D118" s="100"/>
      <c r="E118" s="2"/>
      <c r="F118" s="171"/>
      <c r="G118" s="2"/>
      <c r="H118" s="2"/>
      <c r="I118" s="171"/>
      <c r="J118" s="2"/>
      <c r="K118" s="2"/>
      <c r="L118" s="2"/>
      <c r="M118" s="2"/>
      <c r="N118" s="1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</row>
    <row r="119" spans="2:31" ht="15.75" customHeight="1" x14ac:dyDescent="0.2">
      <c r="B119" s="2"/>
      <c r="C119" s="15"/>
      <c r="D119" s="100"/>
      <c r="E119" s="2"/>
      <c r="F119" s="171"/>
      <c r="G119" s="2"/>
      <c r="H119" s="2"/>
      <c r="I119" s="171"/>
      <c r="J119" s="2"/>
      <c r="K119" s="2"/>
      <c r="L119" s="2"/>
      <c r="M119" s="2"/>
      <c r="N119" s="1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</row>
    <row r="120" spans="2:31" ht="15.75" customHeight="1" x14ac:dyDescent="0.2">
      <c r="B120" s="2"/>
      <c r="C120" s="15"/>
      <c r="D120" s="100"/>
      <c r="E120" s="2"/>
      <c r="F120" s="171"/>
      <c r="G120" s="2"/>
      <c r="H120" s="2"/>
      <c r="I120" s="171"/>
      <c r="J120" s="2"/>
      <c r="K120" s="2"/>
      <c r="L120" s="2"/>
      <c r="M120" s="2"/>
      <c r="N120" s="1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</row>
    <row r="121" spans="2:31" ht="15.75" customHeight="1" x14ac:dyDescent="0.2">
      <c r="B121" s="2"/>
      <c r="C121" s="15"/>
      <c r="D121" s="100"/>
      <c r="E121" s="2"/>
      <c r="F121" s="171"/>
      <c r="G121" s="2"/>
      <c r="H121" s="2"/>
      <c r="I121" s="171"/>
      <c r="J121" s="2"/>
      <c r="K121" s="2"/>
      <c r="L121" s="2"/>
      <c r="M121" s="2"/>
      <c r="N121" s="1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</row>
    <row r="122" spans="2:31" ht="15.75" customHeight="1" x14ac:dyDescent="0.2">
      <c r="B122" s="2"/>
      <c r="C122" s="15"/>
      <c r="D122" s="100"/>
      <c r="E122" s="2"/>
      <c r="F122" s="171"/>
      <c r="G122" s="2"/>
      <c r="H122" s="2"/>
      <c r="I122" s="171"/>
      <c r="J122" s="2"/>
      <c r="K122" s="2"/>
      <c r="L122" s="2"/>
      <c r="M122" s="2"/>
      <c r="N122" s="1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</row>
    <row r="123" spans="2:31" ht="15.75" customHeight="1" x14ac:dyDescent="0.2">
      <c r="B123" s="2"/>
      <c r="C123" s="15"/>
      <c r="D123" s="100"/>
      <c r="E123" s="2"/>
      <c r="F123" s="171"/>
      <c r="G123" s="2"/>
      <c r="H123" s="2"/>
      <c r="I123" s="171"/>
      <c r="J123" s="2"/>
      <c r="K123" s="2"/>
      <c r="L123" s="2"/>
      <c r="M123" s="2"/>
      <c r="N123" s="1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</row>
    <row r="124" spans="2:31" ht="15.75" customHeight="1" x14ac:dyDescent="0.2">
      <c r="B124" s="2"/>
      <c r="C124" s="15"/>
      <c r="D124" s="100"/>
      <c r="E124" s="2"/>
      <c r="F124" s="171"/>
      <c r="G124" s="2"/>
      <c r="H124" s="2"/>
      <c r="I124" s="171"/>
      <c r="J124" s="2"/>
      <c r="K124" s="2"/>
      <c r="L124" s="2"/>
      <c r="M124" s="2"/>
      <c r="N124" s="1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</row>
    <row r="125" spans="2:31" ht="15.75" customHeight="1" x14ac:dyDescent="0.2">
      <c r="B125" s="2"/>
      <c r="C125" s="15"/>
      <c r="D125" s="100"/>
      <c r="E125" s="2"/>
      <c r="F125" s="171"/>
      <c r="G125" s="2"/>
      <c r="H125" s="2"/>
      <c r="I125" s="171"/>
      <c r="J125" s="2"/>
      <c r="K125" s="2"/>
      <c r="L125" s="2"/>
      <c r="M125" s="2"/>
      <c r="N125" s="1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</row>
    <row r="126" spans="2:31" ht="15.75" customHeight="1" x14ac:dyDescent="0.2">
      <c r="B126" s="2"/>
      <c r="C126" s="15"/>
      <c r="D126" s="100"/>
      <c r="E126" s="2"/>
      <c r="F126" s="171"/>
      <c r="G126" s="2"/>
      <c r="H126" s="2"/>
      <c r="I126" s="171"/>
      <c r="J126" s="2"/>
      <c r="K126" s="2"/>
      <c r="L126" s="2"/>
      <c r="M126" s="2"/>
      <c r="N126" s="1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</row>
    <row r="127" spans="2:31" ht="15.75" customHeight="1" x14ac:dyDescent="0.2">
      <c r="B127" s="2"/>
      <c r="C127" s="15"/>
      <c r="D127" s="100"/>
      <c r="E127" s="2"/>
      <c r="F127" s="171"/>
      <c r="G127" s="2"/>
      <c r="H127" s="2"/>
      <c r="I127" s="171"/>
      <c r="J127" s="2"/>
      <c r="K127" s="2"/>
      <c r="L127" s="2"/>
      <c r="M127" s="2"/>
      <c r="N127" s="1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</row>
    <row r="128" spans="2:31" ht="15.75" customHeight="1" x14ac:dyDescent="0.2">
      <c r="B128" s="2"/>
      <c r="C128" s="15"/>
      <c r="D128" s="100"/>
      <c r="E128" s="2"/>
      <c r="F128" s="171"/>
      <c r="G128" s="2"/>
      <c r="H128" s="2"/>
      <c r="I128" s="171"/>
      <c r="J128" s="2"/>
      <c r="K128" s="2"/>
      <c r="L128" s="2"/>
      <c r="M128" s="2"/>
      <c r="N128" s="1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</row>
    <row r="129" spans="2:31" ht="15.75" customHeight="1" x14ac:dyDescent="0.2">
      <c r="B129" s="2"/>
      <c r="C129" s="15"/>
      <c r="D129" s="100"/>
      <c r="E129" s="2"/>
      <c r="F129" s="171"/>
      <c r="G129" s="2"/>
      <c r="H129" s="2"/>
      <c r="I129" s="171"/>
      <c r="J129" s="2"/>
      <c r="K129" s="2"/>
      <c r="L129" s="2"/>
      <c r="M129" s="2"/>
      <c r="N129" s="1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</row>
    <row r="130" spans="2:31" ht="15.75" customHeight="1" x14ac:dyDescent="0.2">
      <c r="B130" s="2"/>
      <c r="C130" s="15"/>
      <c r="D130" s="100"/>
      <c r="E130" s="2"/>
      <c r="F130" s="171"/>
      <c r="G130" s="2"/>
      <c r="H130" s="2"/>
      <c r="I130" s="171"/>
      <c r="J130" s="2"/>
      <c r="K130" s="2"/>
      <c r="L130" s="2"/>
      <c r="M130" s="2"/>
      <c r="N130" s="1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</row>
    <row r="131" spans="2:31" ht="15.75" customHeight="1" x14ac:dyDescent="0.2">
      <c r="B131" s="2"/>
      <c r="C131" s="15"/>
      <c r="D131" s="100"/>
      <c r="E131" s="2"/>
      <c r="F131" s="171"/>
      <c r="G131" s="2"/>
      <c r="H131" s="2"/>
      <c r="I131" s="171"/>
      <c r="J131" s="2"/>
      <c r="K131" s="2"/>
      <c r="L131" s="2"/>
      <c r="M131" s="2"/>
      <c r="N131" s="1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</row>
    <row r="132" spans="2:31" ht="15.75" customHeight="1" x14ac:dyDescent="0.2">
      <c r="B132" s="2"/>
      <c r="C132" s="15"/>
      <c r="D132" s="100"/>
      <c r="E132" s="2"/>
      <c r="F132" s="171"/>
      <c r="G132" s="2"/>
      <c r="H132" s="2"/>
      <c r="I132" s="171"/>
      <c r="J132" s="2"/>
      <c r="K132" s="2"/>
      <c r="L132" s="2"/>
      <c r="M132" s="2"/>
      <c r="N132" s="1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</row>
    <row r="133" spans="2:31" ht="15.75" customHeight="1" x14ac:dyDescent="0.2">
      <c r="B133" s="2"/>
      <c r="C133" s="15"/>
      <c r="D133" s="100"/>
      <c r="E133" s="2"/>
      <c r="F133" s="171"/>
      <c r="G133" s="2"/>
      <c r="H133" s="2"/>
      <c r="I133" s="171"/>
      <c r="J133" s="2"/>
      <c r="K133" s="2"/>
      <c r="L133" s="2"/>
      <c r="M133" s="2"/>
      <c r="N133" s="1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</row>
    <row r="134" spans="2:31" ht="15.75" customHeight="1" x14ac:dyDescent="0.2">
      <c r="B134" s="2"/>
      <c r="C134" s="15"/>
      <c r="D134" s="100"/>
      <c r="E134" s="2"/>
      <c r="F134" s="171"/>
      <c r="G134" s="2"/>
      <c r="H134" s="2"/>
      <c r="I134" s="171"/>
      <c r="J134" s="2"/>
      <c r="K134" s="2"/>
      <c r="L134" s="2"/>
      <c r="M134" s="2"/>
      <c r="N134" s="1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</row>
    <row r="135" spans="2:31" ht="15.75" customHeight="1" x14ac:dyDescent="0.2">
      <c r="B135" s="2"/>
      <c r="C135" s="15"/>
      <c r="D135" s="100"/>
      <c r="E135" s="2"/>
      <c r="F135" s="171"/>
      <c r="G135" s="2"/>
      <c r="H135" s="2"/>
      <c r="I135" s="171"/>
      <c r="J135" s="2"/>
      <c r="K135" s="2"/>
      <c r="L135" s="2"/>
      <c r="M135" s="2"/>
      <c r="N135" s="1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</row>
    <row r="136" spans="2:31" ht="15.75" customHeight="1" x14ac:dyDescent="0.2">
      <c r="B136" s="2"/>
      <c r="C136" s="15"/>
      <c r="D136" s="100"/>
      <c r="E136" s="2"/>
      <c r="F136" s="171"/>
      <c r="G136" s="2"/>
      <c r="H136" s="2"/>
      <c r="I136" s="171"/>
      <c r="J136" s="2"/>
      <c r="K136" s="2"/>
      <c r="L136" s="2"/>
      <c r="M136" s="2"/>
      <c r="N136" s="1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</row>
    <row r="137" spans="2:31" ht="15.75" customHeight="1" x14ac:dyDescent="0.2">
      <c r="B137" s="2"/>
      <c r="C137" s="15"/>
      <c r="D137" s="100"/>
      <c r="E137" s="2"/>
      <c r="F137" s="171"/>
      <c r="G137" s="2"/>
      <c r="H137" s="2"/>
      <c r="I137" s="171"/>
      <c r="J137" s="2"/>
      <c r="K137" s="2"/>
      <c r="L137" s="2"/>
      <c r="M137" s="2"/>
      <c r="N137" s="1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</row>
    <row r="138" spans="2:31" ht="15.75" customHeight="1" x14ac:dyDescent="0.2">
      <c r="B138" s="2"/>
      <c r="C138" s="15"/>
      <c r="D138" s="100"/>
      <c r="E138" s="2"/>
      <c r="F138" s="171"/>
      <c r="G138" s="2"/>
      <c r="H138" s="2"/>
      <c r="I138" s="171"/>
      <c r="J138" s="2"/>
      <c r="K138" s="2"/>
      <c r="L138" s="2"/>
      <c r="M138" s="2"/>
      <c r="N138" s="1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</row>
    <row r="139" spans="2:31" ht="15.75" customHeight="1" x14ac:dyDescent="0.2">
      <c r="B139" s="2"/>
      <c r="C139" s="15"/>
      <c r="D139" s="100"/>
      <c r="E139" s="2"/>
      <c r="F139" s="171"/>
      <c r="G139" s="2"/>
      <c r="H139" s="2"/>
      <c r="I139" s="171"/>
      <c r="J139" s="2"/>
      <c r="K139" s="2"/>
      <c r="L139" s="2"/>
      <c r="M139" s="2"/>
      <c r="N139" s="1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</row>
    <row r="140" spans="2:31" ht="15.75" customHeight="1" x14ac:dyDescent="0.2">
      <c r="B140" s="2"/>
      <c r="C140" s="15"/>
      <c r="D140" s="100"/>
      <c r="E140" s="2"/>
      <c r="F140" s="171"/>
      <c r="G140" s="2"/>
      <c r="H140" s="2"/>
      <c r="I140" s="171"/>
      <c r="J140" s="2"/>
      <c r="K140" s="2"/>
      <c r="L140" s="2"/>
      <c r="M140" s="2"/>
      <c r="N140" s="1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</row>
    <row r="141" spans="2:31" ht="15.75" customHeight="1" x14ac:dyDescent="0.2">
      <c r="B141" s="2"/>
      <c r="C141" s="15"/>
      <c r="D141" s="100"/>
      <c r="E141" s="2"/>
      <c r="F141" s="171"/>
      <c r="G141" s="2"/>
      <c r="H141" s="2"/>
      <c r="I141" s="171"/>
      <c r="J141" s="2"/>
      <c r="K141" s="2"/>
      <c r="L141" s="2"/>
      <c r="M141" s="2"/>
      <c r="N141" s="1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</row>
    <row r="142" spans="2:31" ht="15.75" customHeight="1" x14ac:dyDescent="0.2">
      <c r="B142" s="2"/>
      <c r="C142" s="15"/>
      <c r="D142" s="100"/>
      <c r="E142" s="2"/>
      <c r="F142" s="171"/>
      <c r="G142" s="2"/>
      <c r="H142" s="2"/>
      <c r="I142" s="171"/>
      <c r="J142" s="2"/>
      <c r="K142" s="2"/>
      <c r="L142" s="2"/>
      <c r="M142" s="2"/>
      <c r="N142" s="1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</row>
    <row r="143" spans="2:31" ht="15.75" customHeight="1" x14ac:dyDescent="0.2">
      <c r="B143" s="2"/>
      <c r="C143" s="15"/>
      <c r="D143" s="100"/>
      <c r="E143" s="2"/>
      <c r="F143" s="171"/>
      <c r="G143" s="2"/>
      <c r="H143" s="2"/>
      <c r="I143" s="171"/>
      <c r="J143" s="2"/>
      <c r="K143" s="2"/>
      <c r="L143" s="2"/>
      <c r="M143" s="2"/>
      <c r="N143" s="1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</row>
    <row r="144" spans="2:31" ht="15.75" customHeight="1" x14ac:dyDescent="0.2">
      <c r="B144" s="2"/>
      <c r="C144" s="15"/>
      <c r="D144" s="100"/>
      <c r="E144" s="2"/>
      <c r="F144" s="171"/>
      <c r="G144" s="2"/>
      <c r="H144" s="2"/>
      <c r="I144" s="171"/>
      <c r="J144" s="2"/>
      <c r="K144" s="2"/>
      <c r="L144" s="2"/>
      <c r="M144" s="2"/>
      <c r="N144" s="1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</row>
    <row r="145" spans="2:31" ht="15.75" customHeight="1" x14ac:dyDescent="0.2">
      <c r="B145" s="2"/>
      <c r="C145" s="15"/>
      <c r="D145" s="100"/>
      <c r="E145" s="2"/>
      <c r="F145" s="171"/>
      <c r="G145" s="2"/>
      <c r="H145" s="2"/>
      <c r="I145" s="171"/>
      <c r="J145" s="2"/>
      <c r="K145" s="2"/>
      <c r="L145" s="2"/>
      <c r="M145" s="2"/>
      <c r="N145" s="1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</row>
    <row r="146" spans="2:31" ht="15.75" customHeight="1" x14ac:dyDescent="0.2">
      <c r="B146" s="2"/>
      <c r="C146" s="15"/>
      <c r="D146" s="100"/>
      <c r="E146" s="2"/>
      <c r="F146" s="171"/>
      <c r="G146" s="2"/>
      <c r="H146" s="2"/>
      <c r="I146" s="171"/>
      <c r="J146" s="2"/>
      <c r="K146" s="2"/>
      <c r="L146" s="2"/>
      <c r="M146" s="2"/>
      <c r="N146" s="1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</row>
    <row r="147" spans="2:31" ht="15.75" customHeight="1" x14ac:dyDescent="0.2">
      <c r="B147" s="2"/>
      <c r="C147" s="15"/>
      <c r="D147" s="100"/>
      <c r="E147" s="2"/>
      <c r="F147" s="171"/>
      <c r="G147" s="2"/>
      <c r="H147" s="2"/>
      <c r="I147" s="171"/>
      <c r="J147" s="2"/>
      <c r="K147" s="2"/>
      <c r="L147" s="2"/>
      <c r="M147" s="2"/>
      <c r="N147" s="1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</row>
    <row r="148" spans="2:31" ht="15.75" customHeight="1" x14ac:dyDescent="0.2">
      <c r="B148" s="2"/>
      <c r="C148" s="15"/>
      <c r="D148" s="100"/>
      <c r="E148" s="2"/>
      <c r="F148" s="171"/>
      <c r="G148" s="2"/>
      <c r="H148" s="2"/>
      <c r="I148" s="171"/>
      <c r="J148" s="2"/>
      <c r="K148" s="2"/>
      <c r="L148" s="2"/>
      <c r="M148" s="2"/>
      <c r="N148" s="1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</row>
    <row r="149" spans="2:31" ht="15.75" customHeight="1" x14ac:dyDescent="0.2">
      <c r="B149" s="2"/>
      <c r="C149" s="15"/>
      <c r="D149" s="100"/>
      <c r="E149" s="2"/>
      <c r="F149" s="171"/>
      <c r="G149" s="2"/>
      <c r="H149" s="2"/>
      <c r="I149" s="171"/>
      <c r="J149" s="2"/>
      <c r="K149" s="2"/>
      <c r="L149" s="2"/>
      <c r="M149" s="2"/>
      <c r="N149" s="1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</row>
    <row r="150" spans="2:31" ht="15.75" customHeight="1" x14ac:dyDescent="0.2">
      <c r="B150" s="2"/>
      <c r="C150" s="15"/>
      <c r="D150" s="100"/>
      <c r="E150" s="2"/>
      <c r="F150" s="171"/>
      <c r="G150" s="2"/>
      <c r="H150" s="2"/>
      <c r="I150" s="171"/>
      <c r="J150" s="2"/>
      <c r="K150" s="2"/>
      <c r="L150" s="2"/>
      <c r="M150" s="2"/>
      <c r="N150" s="1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</row>
    <row r="151" spans="2:31" ht="15.75" customHeight="1" x14ac:dyDescent="0.2">
      <c r="B151" s="2"/>
      <c r="C151" s="15"/>
      <c r="D151" s="100"/>
      <c r="E151" s="2"/>
      <c r="F151" s="171"/>
      <c r="G151" s="2"/>
      <c r="H151" s="2"/>
      <c r="I151" s="171"/>
      <c r="J151" s="2"/>
      <c r="K151" s="2"/>
      <c r="L151" s="2"/>
      <c r="M151" s="2"/>
      <c r="N151" s="1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</row>
    <row r="152" spans="2:31" ht="15.75" customHeight="1" x14ac:dyDescent="0.2">
      <c r="B152" s="2"/>
      <c r="C152" s="15"/>
      <c r="D152" s="100"/>
      <c r="E152" s="2"/>
      <c r="F152" s="171"/>
      <c r="G152" s="2"/>
      <c r="H152" s="2"/>
      <c r="I152" s="171"/>
      <c r="J152" s="2"/>
      <c r="K152" s="2"/>
      <c r="L152" s="2"/>
      <c r="M152" s="2"/>
      <c r="N152" s="1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</row>
    <row r="153" spans="2:31" ht="15.75" customHeight="1" x14ac:dyDescent="0.2">
      <c r="B153" s="2"/>
      <c r="C153" s="15"/>
      <c r="D153" s="100"/>
      <c r="E153" s="2"/>
      <c r="F153" s="171"/>
      <c r="G153" s="2"/>
      <c r="H153" s="2"/>
      <c r="I153" s="171"/>
      <c r="J153" s="2"/>
      <c r="K153" s="2"/>
      <c r="L153" s="2"/>
      <c r="M153" s="2"/>
      <c r="N153" s="1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</row>
    <row r="154" spans="2:31" ht="15.75" customHeight="1" x14ac:dyDescent="0.2">
      <c r="B154" s="2"/>
      <c r="C154" s="15"/>
      <c r="D154" s="100"/>
      <c r="E154" s="2"/>
      <c r="F154" s="171"/>
      <c r="G154" s="2"/>
      <c r="H154" s="2"/>
      <c r="I154" s="171"/>
      <c r="J154" s="2"/>
      <c r="K154" s="2"/>
      <c r="L154" s="2"/>
      <c r="M154" s="2"/>
      <c r="N154" s="1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</row>
    <row r="155" spans="2:31" ht="15.75" customHeight="1" x14ac:dyDescent="0.2">
      <c r="B155" s="2"/>
      <c r="C155" s="15"/>
      <c r="D155" s="100"/>
      <c r="E155" s="2"/>
      <c r="F155" s="171"/>
      <c r="G155" s="2"/>
      <c r="H155" s="2"/>
      <c r="I155" s="171"/>
      <c r="J155" s="2"/>
      <c r="K155" s="2"/>
      <c r="L155" s="2"/>
      <c r="M155" s="2"/>
      <c r="N155" s="1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</row>
    <row r="156" spans="2:31" ht="15.75" customHeight="1" x14ac:dyDescent="0.2">
      <c r="B156" s="2"/>
      <c r="C156" s="15"/>
      <c r="D156" s="100"/>
      <c r="E156" s="2"/>
      <c r="F156" s="171"/>
      <c r="G156" s="2"/>
      <c r="H156" s="2"/>
      <c r="I156" s="171"/>
      <c r="J156" s="2"/>
      <c r="K156" s="2"/>
      <c r="L156" s="2"/>
      <c r="M156" s="2"/>
      <c r="N156" s="1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</row>
    <row r="157" spans="2:31" ht="15.75" customHeight="1" x14ac:dyDescent="0.2">
      <c r="B157" s="2"/>
      <c r="C157" s="15"/>
      <c r="D157" s="100"/>
      <c r="E157" s="2"/>
      <c r="F157" s="171"/>
      <c r="G157" s="2"/>
      <c r="H157" s="2"/>
      <c r="I157" s="171"/>
      <c r="J157" s="2"/>
      <c r="K157" s="2"/>
      <c r="L157" s="2"/>
      <c r="M157" s="2"/>
      <c r="N157" s="1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</row>
    <row r="158" spans="2:31" ht="15.75" customHeight="1" x14ac:dyDescent="0.2">
      <c r="B158" s="2"/>
      <c r="C158" s="15"/>
      <c r="D158" s="100"/>
      <c r="E158" s="2"/>
      <c r="F158" s="171"/>
      <c r="G158" s="2"/>
      <c r="H158" s="2"/>
      <c r="I158" s="171"/>
      <c r="J158" s="2"/>
      <c r="K158" s="2"/>
      <c r="L158" s="2"/>
      <c r="M158" s="2"/>
      <c r="N158" s="1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</row>
    <row r="159" spans="2:31" ht="15.75" customHeight="1" x14ac:dyDescent="0.2">
      <c r="B159" s="2"/>
      <c r="C159" s="15"/>
      <c r="D159" s="100"/>
      <c r="E159" s="2"/>
      <c r="F159" s="171"/>
      <c r="G159" s="2"/>
      <c r="H159" s="2"/>
      <c r="I159" s="171"/>
      <c r="J159" s="2"/>
      <c r="K159" s="2"/>
      <c r="L159" s="2"/>
      <c r="M159" s="2"/>
      <c r="N159" s="1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</row>
    <row r="160" spans="2:31" ht="15.75" customHeight="1" x14ac:dyDescent="0.2">
      <c r="B160" s="2"/>
      <c r="C160" s="15"/>
      <c r="D160" s="100"/>
      <c r="E160" s="2"/>
      <c r="F160" s="171"/>
      <c r="G160" s="2"/>
      <c r="H160" s="2"/>
      <c r="I160" s="171"/>
      <c r="J160" s="2"/>
      <c r="K160" s="2"/>
      <c r="L160" s="2"/>
      <c r="M160" s="2"/>
      <c r="N160" s="1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</row>
    <row r="161" spans="2:31" ht="15.75" customHeight="1" x14ac:dyDescent="0.2">
      <c r="B161" s="2"/>
      <c r="C161" s="15"/>
      <c r="D161" s="100"/>
      <c r="E161" s="2"/>
      <c r="F161" s="171"/>
      <c r="G161" s="2"/>
      <c r="H161" s="2"/>
      <c r="I161" s="171"/>
      <c r="J161" s="2"/>
      <c r="K161" s="2"/>
      <c r="L161" s="2"/>
      <c r="M161" s="2"/>
      <c r="N161" s="1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</row>
    <row r="162" spans="2:31" ht="15.75" customHeight="1" x14ac:dyDescent="0.2">
      <c r="B162" s="2"/>
      <c r="C162" s="15"/>
      <c r="D162" s="100"/>
      <c r="E162" s="2"/>
      <c r="F162" s="171"/>
      <c r="G162" s="2"/>
      <c r="H162" s="2"/>
      <c r="I162" s="171"/>
      <c r="J162" s="2"/>
      <c r="K162" s="2"/>
      <c r="L162" s="2"/>
      <c r="M162" s="2"/>
      <c r="N162" s="1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</row>
    <row r="163" spans="2:31" ht="15.75" customHeight="1" x14ac:dyDescent="0.2">
      <c r="B163" s="2"/>
      <c r="C163" s="15"/>
      <c r="D163" s="100"/>
      <c r="E163" s="2"/>
      <c r="F163" s="171"/>
      <c r="G163" s="2"/>
      <c r="H163" s="2"/>
      <c r="I163" s="171"/>
      <c r="J163" s="2"/>
      <c r="K163" s="2"/>
      <c r="L163" s="2"/>
      <c r="M163" s="2"/>
      <c r="N163" s="1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</row>
    <row r="164" spans="2:31" ht="15.75" customHeight="1" x14ac:dyDescent="0.2">
      <c r="B164" s="2"/>
      <c r="C164" s="15"/>
      <c r="D164" s="100"/>
      <c r="E164" s="2"/>
      <c r="F164" s="171"/>
      <c r="G164" s="2"/>
      <c r="H164" s="2"/>
      <c r="I164" s="171"/>
      <c r="J164" s="2"/>
      <c r="K164" s="2"/>
      <c r="L164" s="2"/>
      <c r="M164" s="2"/>
      <c r="N164" s="1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</row>
    <row r="165" spans="2:31" ht="15.75" customHeight="1" x14ac:dyDescent="0.2">
      <c r="B165" s="2"/>
      <c r="C165" s="15"/>
      <c r="D165" s="100"/>
      <c r="E165" s="2"/>
      <c r="F165" s="171"/>
      <c r="G165" s="2"/>
      <c r="H165" s="2"/>
      <c r="I165" s="171"/>
      <c r="J165" s="2"/>
      <c r="K165" s="2"/>
      <c r="L165" s="2"/>
      <c r="M165" s="2"/>
      <c r="N165" s="1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</row>
    <row r="166" spans="2:31" ht="15.75" customHeight="1" x14ac:dyDescent="0.2">
      <c r="B166" s="2"/>
      <c r="C166" s="15"/>
      <c r="D166" s="100"/>
      <c r="E166" s="2"/>
      <c r="F166" s="171"/>
      <c r="G166" s="2"/>
      <c r="H166" s="2"/>
      <c r="I166" s="171"/>
      <c r="J166" s="2"/>
      <c r="K166" s="2"/>
      <c r="L166" s="2"/>
      <c r="M166" s="2"/>
      <c r="N166" s="1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</row>
    <row r="167" spans="2:31" ht="15.75" customHeight="1" x14ac:dyDescent="0.2">
      <c r="B167" s="2"/>
      <c r="C167" s="15"/>
      <c r="D167" s="100"/>
      <c r="E167" s="2"/>
      <c r="F167" s="171"/>
      <c r="G167" s="2"/>
      <c r="H167" s="2"/>
      <c r="I167" s="171"/>
      <c r="J167" s="2"/>
      <c r="K167" s="2"/>
      <c r="L167" s="2"/>
      <c r="M167" s="2"/>
      <c r="N167" s="1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</row>
    <row r="168" spans="2:31" ht="15.75" customHeight="1" x14ac:dyDescent="0.2">
      <c r="B168" s="2"/>
      <c r="C168" s="15"/>
      <c r="D168" s="100"/>
      <c r="E168" s="2"/>
      <c r="F168" s="171"/>
      <c r="G168" s="2"/>
      <c r="H168" s="2"/>
      <c r="I168" s="171"/>
      <c r="J168" s="2"/>
      <c r="K168" s="2"/>
      <c r="L168" s="2"/>
      <c r="M168" s="2"/>
      <c r="N168" s="1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</row>
    <row r="169" spans="2:31" ht="15.75" customHeight="1" x14ac:dyDescent="0.2">
      <c r="B169" s="2"/>
      <c r="C169" s="15"/>
      <c r="D169" s="100"/>
      <c r="E169" s="2"/>
      <c r="F169" s="171"/>
      <c r="G169" s="2"/>
      <c r="H169" s="2"/>
      <c r="I169" s="171"/>
      <c r="J169" s="2"/>
      <c r="K169" s="2"/>
      <c r="L169" s="2"/>
      <c r="M169" s="2"/>
      <c r="N169" s="1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</row>
    <row r="170" spans="2:31" ht="15.75" customHeight="1" x14ac:dyDescent="0.2">
      <c r="B170" s="2"/>
      <c r="C170" s="15"/>
      <c r="D170" s="100"/>
      <c r="E170" s="2"/>
      <c r="F170" s="171"/>
      <c r="G170" s="2"/>
      <c r="H170" s="2"/>
      <c r="I170" s="171"/>
      <c r="J170" s="2"/>
      <c r="K170" s="2"/>
      <c r="L170" s="2"/>
      <c r="M170" s="2"/>
      <c r="N170" s="1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</row>
    <row r="171" spans="2:31" ht="15.75" customHeight="1" x14ac:dyDescent="0.2">
      <c r="B171" s="2"/>
      <c r="C171" s="15"/>
      <c r="D171" s="100"/>
      <c r="E171" s="2"/>
      <c r="F171" s="171"/>
      <c r="G171" s="2"/>
      <c r="H171" s="2"/>
      <c r="I171" s="171"/>
      <c r="J171" s="2"/>
      <c r="K171" s="2"/>
      <c r="L171" s="2"/>
      <c r="M171" s="2"/>
      <c r="N171" s="1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</row>
    <row r="172" spans="2:31" ht="15.75" customHeight="1" x14ac:dyDescent="0.2">
      <c r="B172" s="2"/>
      <c r="C172" s="15"/>
      <c r="D172" s="100"/>
      <c r="E172" s="2"/>
      <c r="F172" s="171"/>
      <c r="G172" s="2"/>
      <c r="H172" s="2"/>
      <c r="I172" s="171"/>
      <c r="J172" s="2"/>
      <c r="K172" s="2"/>
      <c r="L172" s="2"/>
      <c r="M172" s="2"/>
      <c r="N172" s="1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</row>
    <row r="173" spans="2:31" ht="15.75" customHeight="1" x14ac:dyDescent="0.2">
      <c r="B173" s="2"/>
      <c r="C173" s="15"/>
      <c r="D173" s="100"/>
      <c r="E173" s="2"/>
      <c r="F173" s="171"/>
      <c r="G173" s="2"/>
      <c r="H173" s="2"/>
      <c r="I173" s="171"/>
      <c r="J173" s="2"/>
      <c r="K173" s="2"/>
      <c r="L173" s="2"/>
      <c r="M173" s="2"/>
      <c r="N173" s="1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</row>
    <row r="174" spans="2:31" ht="15.75" customHeight="1" x14ac:dyDescent="0.2">
      <c r="B174" s="2"/>
      <c r="C174" s="15"/>
      <c r="D174" s="100"/>
      <c r="E174" s="2"/>
      <c r="F174" s="171"/>
      <c r="G174" s="2"/>
      <c r="H174" s="2"/>
      <c r="I174" s="171"/>
      <c r="J174" s="2"/>
      <c r="K174" s="2"/>
      <c r="L174" s="2"/>
      <c r="M174" s="2"/>
      <c r="N174" s="1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</row>
    <row r="175" spans="2:31" ht="15.75" customHeight="1" x14ac:dyDescent="0.2">
      <c r="B175" s="2"/>
      <c r="C175" s="15"/>
      <c r="D175" s="100"/>
      <c r="E175" s="2"/>
      <c r="F175" s="171"/>
      <c r="G175" s="2"/>
      <c r="H175" s="2"/>
      <c r="I175" s="171"/>
      <c r="J175" s="2"/>
      <c r="K175" s="2"/>
      <c r="L175" s="2"/>
      <c r="M175" s="2"/>
      <c r="N175" s="1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</row>
    <row r="176" spans="2:31" ht="15.75" customHeight="1" x14ac:dyDescent="0.2">
      <c r="B176" s="2"/>
      <c r="C176" s="15"/>
      <c r="D176" s="100"/>
      <c r="E176" s="2"/>
      <c r="F176" s="171"/>
      <c r="G176" s="2"/>
      <c r="H176" s="2"/>
      <c r="I176" s="171"/>
      <c r="J176" s="2"/>
      <c r="K176" s="2"/>
      <c r="L176" s="2"/>
      <c r="M176" s="2"/>
      <c r="N176" s="1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</row>
    <row r="177" spans="2:31" ht="15.75" customHeight="1" x14ac:dyDescent="0.2">
      <c r="B177" s="2"/>
      <c r="C177" s="15"/>
      <c r="D177" s="100"/>
      <c r="E177" s="2"/>
      <c r="F177" s="171"/>
      <c r="G177" s="2"/>
      <c r="H177" s="2"/>
      <c r="I177" s="171"/>
      <c r="J177" s="2"/>
      <c r="K177" s="2"/>
      <c r="L177" s="2"/>
      <c r="M177" s="2"/>
      <c r="N177" s="1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</row>
    <row r="178" spans="2:31" ht="15.75" customHeight="1" x14ac:dyDescent="0.2">
      <c r="B178" s="2"/>
      <c r="C178" s="15"/>
      <c r="D178" s="100"/>
      <c r="E178" s="2"/>
      <c r="F178" s="171"/>
      <c r="G178" s="2"/>
      <c r="H178" s="2"/>
      <c r="I178" s="171"/>
      <c r="J178" s="2"/>
      <c r="K178" s="2"/>
      <c r="L178" s="2"/>
      <c r="M178" s="2"/>
      <c r="N178" s="1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</row>
    <row r="179" spans="2:31" ht="15.75" customHeight="1" x14ac:dyDescent="0.2">
      <c r="B179" s="2"/>
      <c r="C179" s="15"/>
      <c r="D179" s="100"/>
      <c r="E179" s="2"/>
      <c r="F179" s="171"/>
      <c r="G179" s="2"/>
      <c r="H179" s="2"/>
      <c r="I179" s="171"/>
      <c r="J179" s="2"/>
      <c r="K179" s="2"/>
      <c r="L179" s="2"/>
      <c r="M179" s="2"/>
      <c r="N179" s="1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</row>
    <row r="180" spans="2:31" ht="15.75" customHeight="1" x14ac:dyDescent="0.2">
      <c r="B180" s="2"/>
      <c r="C180" s="15"/>
      <c r="D180" s="100"/>
      <c r="E180" s="2"/>
      <c r="F180" s="171"/>
      <c r="G180" s="2"/>
      <c r="H180" s="2"/>
      <c r="I180" s="171"/>
      <c r="J180" s="2"/>
      <c r="K180" s="2"/>
      <c r="L180" s="2"/>
      <c r="M180" s="2"/>
      <c r="N180" s="1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</row>
    <row r="181" spans="2:31" ht="15.75" customHeight="1" x14ac:dyDescent="0.2">
      <c r="B181" s="2"/>
      <c r="C181" s="15"/>
      <c r="D181" s="100"/>
      <c r="E181" s="2"/>
      <c r="F181" s="171"/>
      <c r="G181" s="2"/>
      <c r="H181" s="2"/>
      <c r="I181" s="171"/>
      <c r="J181" s="2"/>
      <c r="K181" s="2"/>
      <c r="L181" s="2"/>
      <c r="M181" s="2"/>
      <c r="N181" s="1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</row>
    <row r="182" spans="2:31" ht="15.75" customHeight="1" x14ac:dyDescent="0.2">
      <c r="B182" s="2"/>
      <c r="C182" s="15"/>
      <c r="D182" s="100"/>
      <c r="E182" s="2"/>
      <c r="F182" s="171"/>
      <c r="G182" s="2"/>
      <c r="H182" s="2"/>
      <c r="I182" s="171"/>
      <c r="J182" s="2"/>
      <c r="K182" s="2"/>
      <c r="L182" s="2"/>
      <c r="M182" s="2"/>
      <c r="N182" s="1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</row>
    <row r="183" spans="2:31" ht="15.75" customHeight="1" x14ac:dyDescent="0.2">
      <c r="B183" s="2"/>
      <c r="C183" s="15"/>
      <c r="D183" s="100"/>
      <c r="E183" s="2"/>
      <c r="F183" s="171"/>
      <c r="G183" s="2"/>
      <c r="H183" s="2"/>
      <c r="I183" s="171"/>
      <c r="J183" s="2"/>
      <c r="K183" s="2"/>
      <c r="L183" s="2"/>
      <c r="M183" s="2"/>
      <c r="N183" s="1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</row>
    <row r="184" spans="2:31" ht="15.75" customHeight="1" x14ac:dyDescent="0.2">
      <c r="B184" s="2"/>
      <c r="C184" s="15"/>
      <c r="D184" s="100"/>
      <c r="E184" s="2"/>
      <c r="F184" s="171"/>
      <c r="G184" s="2"/>
      <c r="H184" s="2"/>
      <c r="I184" s="171"/>
      <c r="J184" s="2"/>
      <c r="K184" s="2"/>
      <c r="L184" s="2"/>
      <c r="M184" s="2"/>
      <c r="N184" s="1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</row>
    <row r="185" spans="2:31" ht="15.75" customHeight="1" x14ac:dyDescent="0.2">
      <c r="B185" s="2"/>
      <c r="C185" s="15"/>
      <c r="D185" s="100"/>
      <c r="E185" s="2"/>
      <c r="F185" s="171"/>
      <c r="G185" s="2"/>
      <c r="H185" s="2"/>
      <c r="I185" s="171"/>
      <c r="J185" s="2"/>
      <c r="K185" s="2"/>
      <c r="L185" s="2"/>
      <c r="M185" s="2"/>
      <c r="N185" s="1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</row>
    <row r="186" spans="2:31" ht="15.75" customHeight="1" x14ac:dyDescent="0.2">
      <c r="B186" s="2"/>
      <c r="C186" s="15"/>
      <c r="D186" s="100"/>
      <c r="E186" s="2"/>
      <c r="F186" s="171"/>
      <c r="G186" s="2"/>
      <c r="H186" s="2"/>
      <c r="I186" s="171"/>
      <c r="J186" s="2"/>
      <c r="K186" s="2"/>
      <c r="L186" s="2"/>
      <c r="M186" s="2"/>
      <c r="N186" s="1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</row>
    <row r="187" spans="2:31" ht="15.75" customHeight="1" x14ac:dyDescent="0.2">
      <c r="B187" s="2"/>
      <c r="C187" s="15"/>
      <c r="D187" s="100"/>
      <c r="E187" s="2"/>
      <c r="F187" s="171"/>
      <c r="G187" s="2"/>
      <c r="H187" s="2"/>
      <c r="I187" s="171"/>
      <c r="J187" s="2"/>
      <c r="K187" s="2"/>
      <c r="L187" s="2"/>
      <c r="M187" s="2"/>
      <c r="N187" s="1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</row>
    <row r="188" spans="2:31" ht="15.75" customHeight="1" x14ac:dyDescent="0.2">
      <c r="B188" s="2"/>
      <c r="C188" s="15"/>
      <c r="D188" s="100"/>
      <c r="E188" s="2"/>
      <c r="F188" s="171"/>
      <c r="G188" s="2"/>
      <c r="H188" s="2"/>
      <c r="I188" s="171"/>
      <c r="J188" s="2"/>
      <c r="K188" s="2"/>
      <c r="L188" s="2"/>
      <c r="M188" s="2"/>
      <c r="N188" s="1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</row>
    <row r="189" spans="2:31" ht="15.75" customHeight="1" x14ac:dyDescent="0.2">
      <c r="B189" s="2"/>
      <c r="C189" s="15"/>
      <c r="D189" s="100"/>
      <c r="E189" s="2"/>
      <c r="F189" s="171"/>
      <c r="G189" s="2"/>
      <c r="H189" s="2"/>
      <c r="I189" s="171"/>
      <c r="J189" s="2"/>
      <c r="K189" s="2"/>
      <c r="L189" s="2"/>
      <c r="M189" s="2"/>
      <c r="N189" s="1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</row>
    <row r="190" spans="2:31" ht="15.75" customHeight="1" x14ac:dyDescent="0.2">
      <c r="B190" s="2"/>
      <c r="C190" s="15"/>
      <c r="D190" s="100"/>
      <c r="E190" s="2"/>
      <c r="F190" s="171"/>
      <c r="G190" s="2"/>
      <c r="H190" s="2"/>
      <c r="I190" s="171"/>
      <c r="J190" s="2"/>
      <c r="K190" s="2"/>
      <c r="L190" s="2"/>
      <c r="M190" s="2"/>
      <c r="N190" s="1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</row>
    <row r="191" spans="2:31" ht="15.75" customHeight="1" x14ac:dyDescent="0.2">
      <c r="B191" s="2"/>
      <c r="C191" s="15"/>
      <c r="D191" s="100"/>
      <c r="E191" s="2"/>
      <c r="F191" s="171"/>
      <c r="G191" s="2"/>
      <c r="H191" s="2"/>
      <c r="I191" s="171"/>
      <c r="J191" s="2"/>
      <c r="K191" s="2"/>
      <c r="L191" s="2"/>
      <c r="M191" s="2"/>
      <c r="N191" s="1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</row>
    <row r="192" spans="2:31" ht="15.75" customHeight="1" x14ac:dyDescent="0.2">
      <c r="B192" s="2"/>
      <c r="C192" s="15"/>
      <c r="D192" s="100"/>
      <c r="E192" s="2"/>
      <c r="F192" s="171"/>
      <c r="G192" s="2"/>
      <c r="H192" s="2"/>
      <c r="I192" s="171"/>
      <c r="J192" s="2"/>
      <c r="K192" s="2"/>
      <c r="L192" s="2"/>
      <c r="M192" s="2"/>
      <c r="N192" s="1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</row>
    <row r="193" spans="2:31" ht="15.75" customHeight="1" x14ac:dyDescent="0.2">
      <c r="B193" s="2"/>
      <c r="C193" s="15"/>
      <c r="D193" s="100"/>
      <c r="E193" s="2"/>
      <c r="F193" s="171"/>
      <c r="G193" s="2"/>
      <c r="H193" s="2"/>
      <c r="I193" s="171"/>
      <c r="J193" s="2"/>
      <c r="K193" s="2"/>
      <c r="L193" s="2"/>
      <c r="M193" s="2"/>
      <c r="N193" s="1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</row>
    <row r="194" spans="2:31" ht="15.75" customHeight="1" x14ac:dyDescent="0.2">
      <c r="B194" s="2"/>
      <c r="C194" s="15"/>
      <c r="D194" s="100"/>
      <c r="E194" s="2"/>
      <c r="F194" s="171"/>
      <c r="G194" s="2"/>
      <c r="H194" s="2"/>
      <c r="I194" s="171"/>
      <c r="J194" s="2"/>
      <c r="K194" s="2"/>
      <c r="L194" s="2"/>
      <c r="M194" s="2"/>
      <c r="N194" s="1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</row>
    <row r="195" spans="2:31" ht="15.75" customHeight="1" x14ac:dyDescent="0.2">
      <c r="B195" s="2"/>
      <c r="C195" s="15"/>
      <c r="D195" s="100"/>
      <c r="E195" s="2"/>
      <c r="F195" s="171"/>
      <c r="G195" s="2"/>
      <c r="H195" s="2"/>
      <c r="I195" s="171"/>
      <c r="J195" s="2"/>
      <c r="K195" s="2"/>
      <c r="L195" s="2"/>
      <c r="M195" s="2"/>
      <c r="N195" s="1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</row>
    <row r="196" spans="2:31" ht="15.75" customHeight="1" x14ac:dyDescent="0.2">
      <c r="B196" s="2"/>
      <c r="C196" s="15"/>
      <c r="D196" s="100"/>
      <c r="E196" s="2"/>
      <c r="F196" s="171"/>
      <c r="G196" s="2"/>
      <c r="H196" s="2"/>
      <c r="I196" s="171"/>
      <c r="J196" s="2"/>
      <c r="K196" s="2"/>
      <c r="L196" s="2"/>
      <c r="M196" s="2"/>
      <c r="N196" s="1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</row>
    <row r="197" spans="2:31" ht="15.75" customHeight="1" x14ac:dyDescent="0.2">
      <c r="B197" s="2"/>
      <c r="C197" s="15"/>
      <c r="D197" s="100"/>
      <c r="E197" s="2"/>
      <c r="F197" s="171"/>
      <c r="G197" s="2"/>
      <c r="H197" s="2"/>
      <c r="I197" s="171"/>
      <c r="J197" s="2"/>
      <c r="K197" s="2"/>
      <c r="L197" s="2"/>
      <c r="M197" s="2"/>
      <c r="N197" s="1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</row>
    <row r="198" spans="2:31" ht="15.75" customHeight="1" x14ac:dyDescent="0.2">
      <c r="B198" s="2"/>
      <c r="C198" s="15"/>
      <c r="D198" s="100"/>
      <c r="E198" s="2"/>
      <c r="F198" s="171"/>
      <c r="G198" s="2"/>
      <c r="H198" s="2"/>
      <c r="I198" s="171"/>
      <c r="J198" s="2"/>
      <c r="K198" s="2"/>
      <c r="L198" s="2"/>
      <c r="M198" s="2"/>
      <c r="N198" s="1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</row>
    <row r="199" spans="2:31" ht="15.75" customHeight="1" x14ac:dyDescent="0.2">
      <c r="B199" s="2"/>
      <c r="C199" s="15"/>
      <c r="D199" s="100"/>
      <c r="E199" s="2"/>
      <c r="F199" s="171"/>
      <c r="G199" s="2"/>
      <c r="H199" s="2"/>
      <c r="I199" s="171"/>
      <c r="J199" s="2"/>
      <c r="K199" s="2"/>
      <c r="L199" s="2"/>
      <c r="M199" s="2"/>
      <c r="N199" s="1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</row>
    <row r="200" spans="2:31" ht="15.75" customHeight="1" x14ac:dyDescent="0.2">
      <c r="B200" s="2"/>
      <c r="C200" s="15"/>
      <c r="D200" s="100"/>
      <c r="E200" s="2"/>
      <c r="F200" s="171"/>
      <c r="G200" s="2"/>
      <c r="H200" s="2"/>
      <c r="I200" s="171"/>
      <c r="J200" s="2"/>
      <c r="K200" s="2"/>
      <c r="L200" s="2"/>
      <c r="M200" s="2"/>
      <c r="N200" s="1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</row>
    <row r="201" spans="2:31" ht="15.75" customHeight="1" x14ac:dyDescent="0.2">
      <c r="B201" s="2"/>
      <c r="C201" s="15"/>
      <c r="D201" s="100"/>
      <c r="E201" s="2"/>
      <c r="F201" s="171"/>
      <c r="G201" s="2"/>
      <c r="H201" s="2"/>
      <c r="I201" s="171"/>
      <c r="J201" s="2"/>
      <c r="K201" s="2"/>
      <c r="L201" s="2"/>
      <c r="M201" s="2"/>
      <c r="N201" s="1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</row>
    <row r="202" spans="2:31" ht="15.75" customHeight="1" x14ac:dyDescent="0.2">
      <c r="B202" s="2"/>
      <c r="C202" s="15"/>
      <c r="D202" s="100"/>
      <c r="E202" s="2"/>
      <c r="F202" s="171"/>
      <c r="G202" s="2"/>
      <c r="H202" s="2"/>
      <c r="I202" s="171"/>
      <c r="J202" s="2"/>
      <c r="K202" s="2"/>
      <c r="L202" s="2"/>
      <c r="M202" s="2"/>
      <c r="N202" s="1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</row>
    <row r="203" spans="2:31" ht="15.75" customHeight="1" x14ac:dyDescent="0.2">
      <c r="B203" s="2"/>
      <c r="C203" s="15"/>
      <c r="D203" s="100"/>
      <c r="E203" s="2"/>
      <c r="F203" s="171"/>
      <c r="G203" s="2"/>
      <c r="H203" s="2"/>
      <c r="I203" s="171"/>
      <c r="J203" s="2"/>
      <c r="K203" s="2"/>
      <c r="L203" s="2"/>
      <c r="M203" s="2"/>
      <c r="N203" s="1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</row>
    <row r="204" spans="2:31" ht="15.75" customHeight="1" x14ac:dyDescent="0.2">
      <c r="B204" s="2"/>
      <c r="C204" s="15"/>
      <c r="D204" s="100"/>
      <c r="E204" s="2"/>
      <c r="F204" s="171"/>
      <c r="G204" s="2"/>
      <c r="H204" s="2"/>
      <c r="I204" s="171"/>
      <c r="J204" s="2"/>
      <c r="K204" s="2"/>
      <c r="L204" s="2"/>
      <c r="M204" s="2"/>
      <c r="N204" s="1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</row>
    <row r="205" spans="2:31" ht="15.75" customHeight="1" x14ac:dyDescent="0.2">
      <c r="B205" s="2"/>
      <c r="C205" s="15"/>
      <c r="D205" s="100"/>
      <c r="E205" s="2"/>
      <c r="F205" s="171"/>
      <c r="G205" s="2"/>
      <c r="H205" s="2"/>
      <c r="I205" s="171"/>
      <c r="J205" s="2"/>
      <c r="K205" s="2"/>
      <c r="L205" s="2"/>
      <c r="M205" s="2"/>
      <c r="N205" s="1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</row>
    <row r="206" spans="2:31" ht="15.75" customHeight="1" x14ac:dyDescent="0.2">
      <c r="B206" s="2"/>
      <c r="C206" s="15"/>
      <c r="D206" s="100"/>
      <c r="E206" s="2"/>
      <c r="F206" s="171"/>
      <c r="G206" s="2"/>
      <c r="H206" s="2"/>
      <c r="I206" s="171"/>
      <c r="J206" s="2"/>
      <c r="K206" s="2"/>
      <c r="L206" s="2"/>
      <c r="M206" s="2"/>
      <c r="N206" s="1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</row>
    <row r="207" spans="2:31" ht="15.75" customHeight="1" x14ac:dyDescent="0.2">
      <c r="B207" s="2"/>
      <c r="C207" s="15"/>
      <c r="D207" s="100"/>
      <c r="E207" s="2"/>
      <c r="F207" s="171"/>
      <c r="G207" s="2"/>
      <c r="H207" s="2"/>
      <c r="I207" s="171"/>
      <c r="J207" s="2"/>
      <c r="K207" s="2"/>
      <c r="L207" s="2"/>
      <c r="M207" s="2"/>
      <c r="N207" s="1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</row>
    <row r="208" spans="2:31" ht="15.75" customHeight="1" x14ac:dyDescent="0.2">
      <c r="B208" s="2"/>
      <c r="C208" s="15"/>
      <c r="D208" s="100"/>
      <c r="E208" s="2"/>
      <c r="F208" s="171"/>
      <c r="G208" s="2"/>
      <c r="H208" s="2"/>
      <c r="I208" s="171"/>
      <c r="J208" s="2"/>
      <c r="K208" s="2"/>
      <c r="L208" s="2"/>
      <c r="M208" s="2"/>
      <c r="N208" s="1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</row>
    <row r="209" spans="2:31" ht="15.75" customHeight="1" x14ac:dyDescent="0.2">
      <c r="B209" s="2"/>
      <c r="C209" s="15"/>
      <c r="D209" s="100"/>
      <c r="E209" s="2"/>
      <c r="F209" s="171"/>
      <c r="G209" s="2"/>
      <c r="H209" s="2"/>
      <c r="I209" s="171"/>
      <c r="J209" s="2"/>
      <c r="K209" s="2"/>
      <c r="L209" s="2"/>
      <c r="M209" s="2"/>
      <c r="N209" s="1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</row>
    <row r="210" spans="2:31" ht="15.75" customHeight="1" x14ac:dyDescent="0.2">
      <c r="B210" s="2"/>
      <c r="C210" s="15"/>
      <c r="D210" s="100"/>
      <c r="E210" s="2"/>
      <c r="F210" s="171"/>
      <c r="G210" s="2"/>
      <c r="H210" s="2"/>
      <c r="I210" s="171"/>
      <c r="J210" s="2"/>
      <c r="K210" s="2"/>
      <c r="L210" s="2"/>
      <c r="M210" s="2"/>
      <c r="N210" s="1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</row>
    <row r="211" spans="2:31" ht="15.75" customHeight="1" x14ac:dyDescent="0.2">
      <c r="B211" s="2"/>
      <c r="C211" s="15"/>
      <c r="D211" s="100"/>
      <c r="E211" s="2"/>
      <c r="F211" s="171"/>
      <c r="G211" s="2"/>
      <c r="H211" s="2"/>
      <c r="I211" s="171"/>
      <c r="J211" s="2"/>
      <c r="K211" s="2"/>
      <c r="L211" s="2"/>
      <c r="M211" s="2"/>
      <c r="N211" s="1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</row>
    <row r="212" spans="2:31" ht="15.75" customHeight="1" x14ac:dyDescent="0.2">
      <c r="B212" s="2"/>
      <c r="C212" s="15"/>
      <c r="D212" s="100"/>
      <c r="E212" s="2"/>
      <c r="F212" s="171"/>
      <c r="G212" s="2"/>
      <c r="H212" s="2"/>
      <c r="I212" s="171"/>
      <c r="J212" s="2"/>
      <c r="K212" s="2"/>
      <c r="L212" s="2"/>
      <c r="M212" s="2"/>
      <c r="N212" s="1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</row>
    <row r="213" spans="2:31" ht="15.75" customHeight="1" x14ac:dyDescent="0.2">
      <c r="B213" s="2"/>
      <c r="C213" s="15"/>
      <c r="D213" s="100"/>
      <c r="E213" s="2"/>
      <c r="F213" s="171"/>
      <c r="G213" s="2"/>
      <c r="H213" s="2"/>
      <c r="I213" s="171"/>
      <c r="J213" s="2"/>
      <c r="K213" s="2"/>
      <c r="L213" s="2"/>
      <c r="M213" s="2"/>
      <c r="N213" s="1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</row>
    <row r="214" spans="2:31" ht="15.75" customHeight="1" x14ac:dyDescent="0.2">
      <c r="B214" s="2"/>
      <c r="C214" s="15"/>
      <c r="D214" s="100"/>
      <c r="E214" s="2"/>
      <c r="F214" s="171"/>
      <c r="G214" s="2"/>
      <c r="H214" s="2"/>
      <c r="I214" s="171"/>
      <c r="J214" s="2"/>
      <c r="K214" s="2"/>
      <c r="L214" s="2"/>
      <c r="M214" s="2"/>
      <c r="N214" s="1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</row>
    <row r="215" spans="2:31" ht="15.75" customHeight="1" x14ac:dyDescent="0.2">
      <c r="B215" s="2"/>
      <c r="C215" s="15"/>
      <c r="D215" s="100"/>
      <c r="E215" s="2"/>
      <c r="F215" s="171"/>
      <c r="G215" s="2"/>
      <c r="H215" s="2"/>
      <c r="I215" s="171"/>
      <c r="J215" s="2"/>
      <c r="K215" s="2"/>
      <c r="L215" s="2"/>
      <c r="M215" s="2"/>
      <c r="N215" s="1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</row>
    <row r="216" spans="2:31" ht="15.75" customHeight="1" x14ac:dyDescent="0.2">
      <c r="B216" s="2"/>
      <c r="C216" s="15"/>
      <c r="D216" s="100"/>
      <c r="E216" s="2"/>
      <c r="F216" s="171"/>
      <c r="G216" s="2"/>
      <c r="H216" s="2"/>
      <c r="I216" s="171"/>
      <c r="J216" s="2"/>
      <c r="K216" s="2"/>
      <c r="L216" s="2"/>
      <c r="M216" s="2"/>
      <c r="N216" s="1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</row>
    <row r="217" spans="2:31" ht="15.75" customHeight="1" x14ac:dyDescent="0.2">
      <c r="B217" s="2"/>
      <c r="C217" s="15"/>
      <c r="D217" s="100"/>
      <c r="E217" s="2"/>
      <c r="F217" s="171"/>
      <c r="G217" s="2"/>
      <c r="H217" s="2"/>
      <c r="I217" s="171"/>
      <c r="J217" s="2"/>
      <c r="K217" s="2"/>
      <c r="L217" s="2"/>
      <c r="M217" s="2"/>
      <c r="N217" s="1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</row>
    <row r="218" spans="2:31" ht="15.75" customHeight="1" x14ac:dyDescent="0.2">
      <c r="B218" s="2"/>
      <c r="C218" s="15"/>
      <c r="D218" s="100"/>
      <c r="E218" s="2"/>
      <c r="F218" s="171"/>
      <c r="G218" s="2"/>
      <c r="H218" s="2"/>
      <c r="I218" s="171"/>
      <c r="J218" s="2"/>
      <c r="K218" s="2"/>
      <c r="L218" s="2"/>
      <c r="M218" s="2"/>
      <c r="N218" s="1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</row>
    <row r="219" spans="2:31" ht="15.75" customHeight="1" x14ac:dyDescent="0.2">
      <c r="B219" s="2"/>
      <c r="C219" s="15"/>
      <c r="D219" s="100"/>
      <c r="E219" s="2"/>
      <c r="F219" s="171"/>
      <c r="G219" s="2"/>
      <c r="H219" s="2"/>
      <c r="I219" s="171"/>
      <c r="J219" s="2"/>
      <c r="K219" s="2"/>
      <c r="L219" s="2"/>
      <c r="M219" s="2"/>
      <c r="N219" s="1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</row>
    <row r="220" spans="2:31" ht="15.75" customHeight="1" x14ac:dyDescent="0.2">
      <c r="B220" s="2"/>
      <c r="C220" s="15"/>
      <c r="D220" s="100"/>
      <c r="E220" s="2"/>
      <c r="F220" s="171"/>
      <c r="G220" s="2"/>
      <c r="H220" s="2"/>
      <c r="I220" s="171"/>
      <c r="J220" s="2"/>
      <c r="K220" s="2"/>
      <c r="L220" s="2"/>
      <c r="M220" s="2"/>
      <c r="N220" s="1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</row>
    <row r="221" spans="2:31" ht="15.75" customHeight="1" x14ac:dyDescent="0.2">
      <c r="B221" s="2"/>
      <c r="C221" s="15"/>
      <c r="D221" s="100"/>
      <c r="E221" s="2"/>
      <c r="F221" s="171"/>
      <c r="G221" s="2"/>
      <c r="H221" s="2"/>
      <c r="I221" s="171"/>
      <c r="J221" s="2"/>
      <c r="K221" s="2"/>
      <c r="L221" s="2"/>
      <c r="M221" s="2"/>
      <c r="N221" s="1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</row>
    <row r="222" spans="2:31" ht="15.75" customHeight="1" x14ac:dyDescent="0.2">
      <c r="B222" s="2"/>
      <c r="C222" s="15"/>
      <c r="D222" s="100"/>
      <c r="E222" s="2"/>
      <c r="F222" s="171"/>
      <c r="G222" s="2"/>
      <c r="H222" s="2"/>
      <c r="I222" s="171"/>
      <c r="J222" s="2"/>
      <c r="K222" s="2"/>
      <c r="L222" s="2"/>
      <c r="M222" s="2"/>
      <c r="N222" s="1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</row>
    <row r="223" spans="2:31" ht="15.75" customHeight="1" x14ac:dyDescent="0.2">
      <c r="B223" s="2"/>
      <c r="C223" s="15"/>
      <c r="D223" s="100"/>
      <c r="E223" s="2"/>
      <c r="F223" s="171"/>
      <c r="G223" s="2"/>
      <c r="H223" s="2"/>
      <c r="I223" s="171"/>
      <c r="J223" s="2"/>
      <c r="K223" s="2"/>
      <c r="L223" s="2"/>
      <c r="M223" s="2"/>
      <c r="N223" s="1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</row>
    <row r="224" spans="2:31" ht="15.75" customHeight="1" x14ac:dyDescent="0.2">
      <c r="B224" s="2"/>
      <c r="C224" s="15"/>
      <c r="D224" s="100"/>
      <c r="E224" s="2"/>
      <c r="F224" s="171"/>
      <c r="G224" s="2"/>
      <c r="H224" s="2"/>
      <c r="I224" s="171"/>
      <c r="J224" s="2"/>
      <c r="K224" s="2"/>
      <c r="L224" s="2"/>
      <c r="M224" s="2"/>
      <c r="N224" s="1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</row>
    <row r="225" spans="2:31" ht="15.75" customHeight="1" x14ac:dyDescent="0.2">
      <c r="B225" s="2"/>
      <c r="C225" s="15"/>
      <c r="D225" s="100"/>
      <c r="E225" s="2"/>
      <c r="F225" s="171"/>
      <c r="G225" s="2"/>
      <c r="H225" s="2"/>
      <c r="I225" s="171"/>
      <c r="J225" s="2"/>
      <c r="K225" s="2"/>
      <c r="L225" s="2"/>
      <c r="M225" s="2"/>
      <c r="N225" s="1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</row>
    <row r="226" spans="2:31" ht="15.75" customHeight="1" x14ac:dyDescent="0.2">
      <c r="B226" s="2"/>
      <c r="C226" s="15"/>
      <c r="D226" s="100"/>
      <c r="E226" s="2"/>
      <c r="F226" s="171"/>
      <c r="G226" s="2"/>
      <c r="H226" s="2"/>
      <c r="I226" s="171"/>
      <c r="J226" s="2"/>
      <c r="K226" s="2"/>
      <c r="L226" s="2"/>
      <c r="M226" s="2"/>
      <c r="N226" s="1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</row>
    <row r="227" spans="2:31" ht="15.75" customHeight="1" x14ac:dyDescent="0.2">
      <c r="B227" s="2"/>
      <c r="C227" s="15"/>
      <c r="D227" s="100"/>
      <c r="E227" s="2"/>
      <c r="F227" s="171"/>
      <c r="G227" s="2"/>
      <c r="H227" s="2"/>
      <c r="I227" s="171"/>
      <c r="J227" s="2"/>
      <c r="K227" s="2"/>
      <c r="L227" s="2"/>
      <c r="M227" s="2"/>
      <c r="N227" s="1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</row>
    <row r="228" spans="2:31" ht="15.75" customHeight="1" x14ac:dyDescent="0.2">
      <c r="B228" s="2"/>
      <c r="C228" s="15"/>
      <c r="D228" s="100"/>
      <c r="E228" s="2"/>
      <c r="F228" s="171"/>
      <c r="G228" s="2"/>
      <c r="H228" s="2"/>
      <c r="I228" s="171"/>
      <c r="J228" s="2"/>
      <c r="K228" s="2"/>
      <c r="L228" s="2"/>
      <c r="M228" s="2"/>
      <c r="N228" s="1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</row>
    <row r="229" spans="2:31" ht="15.75" customHeight="1" x14ac:dyDescent="0.2">
      <c r="B229" s="2"/>
      <c r="C229" s="15"/>
      <c r="D229" s="100"/>
      <c r="E229" s="2"/>
      <c r="F229" s="171"/>
      <c r="G229" s="2"/>
      <c r="H229" s="2"/>
      <c r="I229" s="171"/>
      <c r="J229" s="2"/>
      <c r="K229" s="2"/>
      <c r="L229" s="2"/>
      <c r="M229" s="2"/>
      <c r="N229" s="1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</row>
    <row r="230" spans="2:31" ht="15.75" customHeight="1" x14ac:dyDescent="0.2">
      <c r="B230" s="2"/>
      <c r="C230" s="15"/>
      <c r="D230" s="100"/>
      <c r="E230" s="2"/>
      <c r="F230" s="171"/>
      <c r="G230" s="2"/>
      <c r="H230" s="2"/>
      <c r="I230" s="171"/>
      <c r="J230" s="2"/>
      <c r="K230" s="2"/>
      <c r="L230" s="2"/>
      <c r="M230" s="2"/>
      <c r="N230" s="1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</row>
    <row r="231" spans="2:31" ht="15.75" customHeight="1" x14ac:dyDescent="0.2">
      <c r="B231" s="2"/>
      <c r="C231" s="15"/>
      <c r="D231" s="100"/>
      <c r="E231" s="2"/>
      <c r="F231" s="171"/>
      <c r="G231" s="2"/>
      <c r="H231" s="2"/>
      <c r="I231" s="171"/>
      <c r="J231" s="2"/>
      <c r="K231" s="2"/>
      <c r="L231" s="2"/>
      <c r="M231" s="2"/>
      <c r="N231" s="1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</row>
    <row r="232" spans="2:31" ht="15.75" customHeight="1" x14ac:dyDescent="0.2">
      <c r="B232" s="2"/>
      <c r="C232" s="15"/>
      <c r="D232" s="100"/>
      <c r="E232" s="2"/>
      <c r="F232" s="171"/>
      <c r="G232" s="2"/>
      <c r="H232" s="2"/>
      <c r="I232" s="171"/>
      <c r="J232" s="2"/>
      <c r="K232" s="2"/>
      <c r="L232" s="2"/>
      <c r="M232" s="2"/>
      <c r="N232" s="1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</row>
    <row r="233" spans="2:31" ht="15.75" customHeight="1" x14ac:dyDescent="0.2">
      <c r="B233" s="2"/>
      <c r="C233" s="15"/>
      <c r="D233" s="100"/>
      <c r="E233" s="2"/>
      <c r="F233" s="171"/>
      <c r="G233" s="2"/>
      <c r="H233" s="2"/>
      <c r="I233" s="171"/>
      <c r="J233" s="2"/>
      <c r="K233" s="2"/>
      <c r="L233" s="2"/>
      <c r="M233" s="2"/>
      <c r="N233" s="1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</row>
    <row r="234" spans="2:31" ht="15.75" customHeight="1" x14ac:dyDescent="0.2">
      <c r="B234" s="2"/>
      <c r="C234" s="15"/>
      <c r="D234" s="100"/>
      <c r="E234" s="2"/>
      <c r="F234" s="171"/>
      <c r="G234" s="2"/>
      <c r="H234" s="2"/>
      <c r="I234" s="171"/>
      <c r="J234" s="2"/>
      <c r="K234" s="2"/>
      <c r="L234" s="2"/>
      <c r="M234" s="2"/>
      <c r="N234" s="1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</row>
    <row r="235" spans="2:31" ht="15.75" customHeight="1" x14ac:dyDescent="0.2">
      <c r="B235" s="2"/>
      <c r="C235" s="15"/>
      <c r="D235" s="100"/>
      <c r="E235" s="2"/>
      <c r="F235" s="171"/>
      <c r="G235" s="2"/>
      <c r="H235" s="2"/>
      <c r="I235" s="171"/>
      <c r="J235" s="2"/>
      <c r="K235" s="2"/>
      <c r="L235" s="2"/>
      <c r="M235" s="2"/>
      <c r="N235" s="1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</row>
    <row r="236" spans="2:31" ht="15.75" customHeight="1" x14ac:dyDescent="0.2">
      <c r="B236" s="2"/>
      <c r="C236" s="15"/>
      <c r="D236" s="100"/>
      <c r="E236" s="2"/>
      <c r="F236" s="171"/>
      <c r="G236" s="2"/>
      <c r="H236" s="2"/>
      <c r="I236" s="171"/>
      <c r="J236" s="2"/>
      <c r="K236" s="2"/>
      <c r="L236" s="2"/>
      <c r="M236" s="2"/>
      <c r="N236" s="1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</row>
    <row r="237" spans="2:31" ht="15.75" customHeight="1" x14ac:dyDescent="0.2">
      <c r="B237" s="2"/>
      <c r="C237" s="15"/>
      <c r="D237" s="100"/>
      <c r="E237" s="2"/>
      <c r="F237" s="171"/>
      <c r="G237" s="2"/>
      <c r="H237" s="2"/>
      <c r="I237" s="171"/>
      <c r="J237" s="2"/>
      <c r="K237" s="2"/>
      <c r="L237" s="2"/>
      <c r="M237" s="2"/>
      <c r="N237" s="1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</row>
    <row r="238" spans="2:31" ht="15.75" customHeight="1" x14ac:dyDescent="0.2">
      <c r="B238" s="2"/>
      <c r="C238" s="15"/>
      <c r="D238" s="100"/>
      <c r="E238" s="2"/>
      <c r="F238" s="171"/>
      <c r="G238" s="2"/>
      <c r="H238" s="2"/>
      <c r="I238" s="171"/>
      <c r="J238" s="2"/>
      <c r="K238" s="2"/>
      <c r="L238" s="2"/>
      <c r="M238" s="2"/>
      <c r="N238" s="1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</row>
    <row r="239" spans="2:31" ht="15.75" customHeight="1" x14ac:dyDescent="0.2">
      <c r="B239" s="2"/>
      <c r="C239" s="15"/>
      <c r="D239" s="100"/>
      <c r="E239" s="2"/>
      <c r="F239" s="171"/>
      <c r="G239" s="2"/>
      <c r="H239" s="2"/>
      <c r="I239" s="171"/>
      <c r="J239" s="2"/>
      <c r="K239" s="2"/>
      <c r="L239" s="2"/>
      <c r="M239" s="2"/>
      <c r="N239" s="1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</row>
    <row r="240" spans="2:31" ht="15.75" customHeight="1" x14ac:dyDescent="0.2">
      <c r="B240" s="2"/>
      <c r="C240" s="15"/>
      <c r="D240" s="100"/>
      <c r="E240" s="2"/>
      <c r="F240" s="171"/>
      <c r="G240" s="2"/>
      <c r="H240" s="2"/>
      <c r="I240" s="171"/>
      <c r="J240" s="2"/>
      <c r="K240" s="2"/>
      <c r="L240" s="2"/>
      <c r="M240" s="2"/>
      <c r="N240" s="1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</row>
    <row r="241" spans="2:31" ht="15.75" customHeight="1" x14ac:dyDescent="0.2">
      <c r="B241" s="2"/>
      <c r="C241" s="15"/>
      <c r="D241" s="100"/>
      <c r="E241" s="2"/>
      <c r="F241" s="171"/>
      <c r="G241" s="2"/>
      <c r="H241" s="2"/>
      <c r="I241" s="171"/>
      <c r="J241" s="2"/>
      <c r="K241" s="2"/>
      <c r="M241" s="2"/>
      <c r="N241" s="1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</row>
    <row r="242" spans="2:31" ht="15.75" customHeight="1" x14ac:dyDescent="0.2">
      <c r="B242" s="2"/>
      <c r="C242" s="15"/>
      <c r="D242" s="100"/>
      <c r="E242" s="2"/>
      <c r="F242" s="171"/>
      <c r="G242" s="2"/>
      <c r="H242" s="2"/>
      <c r="I242" s="171"/>
      <c r="J242" s="2"/>
      <c r="K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</row>
    <row r="243" spans="2:31" ht="15.75" customHeight="1" x14ac:dyDescent="0.2">
      <c r="B243" s="2"/>
      <c r="C243" s="15"/>
      <c r="D243" s="100"/>
      <c r="E243" s="2"/>
      <c r="F243" s="171"/>
      <c r="G243" s="2"/>
      <c r="H243" s="2"/>
      <c r="I243" s="171"/>
      <c r="J243" s="2"/>
      <c r="K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</row>
    <row r="244" spans="2:31" ht="15.75" customHeight="1" x14ac:dyDescent="0.2">
      <c r="B244" s="2"/>
      <c r="C244" s="15"/>
      <c r="D244" s="100"/>
      <c r="E244" s="2"/>
      <c r="F244" s="171"/>
      <c r="G244" s="2"/>
      <c r="H244" s="2"/>
      <c r="I244" s="171"/>
      <c r="J244" s="2"/>
      <c r="K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</row>
    <row r="245" spans="2:31" ht="15.75" customHeight="1" x14ac:dyDescent="0.2">
      <c r="B245" s="2"/>
      <c r="C245" s="15"/>
      <c r="D245" s="100"/>
      <c r="E245" s="2"/>
      <c r="F245" s="171"/>
      <c r="G245" s="2"/>
      <c r="H245" s="2"/>
      <c r="I245" s="171"/>
      <c r="J245" s="2"/>
      <c r="K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</row>
    <row r="246" spans="2:31" ht="15.75" customHeight="1" x14ac:dyDescent="0.2">
      <c r="B246" s="2"/>
      <c r="C246" s="15"/>
      <c r="D246" s="100"/>
      <c r="E246" s="2"/>
      <c r="F246" s="171"/>
      <c r="G246" s="2"/>
      <c r="H246" s="2"/>
      <c r="I246" s="171"/>
      <c r="J246" s="2"/>
      <c r="K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</row>
    <row r="247" spans="2:31" ht="15.75" customHeight="1" x14ac:dyDescent="0.2">
      <c r="B247" s="2"/>
      <c r="C247" s="15"/>
      <c r="D247" s="100"/>
      <c r="E247" s="2"/>
      <c r="F247" s="171"/>
      <c r="G247" s="2"/>
      <c r="H247" s="2"/>
      <c r="I247" s="171"/>
      <c r="J247" s="2"/>
      <c r="K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</row>
    <row r="248" spans="2:31" ht="15.75" customHeight="1" x14ac:dyDescent="0.2">
      <c r="B248" s="2"/>
      <c r="C248" s="15"/>
      <c r="D248" s="100"/>
      <c r="E248" s="2"/>
      <c r="F248" s="171"/>
      <c r="G248" s="2"/>
      <c r="H248" s="2"/>
      <c r="I248" s="171"/>
      <c r="J248" s="2"/>
      <c r="K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</row>
    <row r="249" spans="2:31" ht="15.75" customHeight="1" x14ac:dyDescent="0.2">
      <c r="B249" s="2"/>
      <c r="C249" s="15"/>
      <c r="D249" s="100"/>
      <c r="E249" s="2"/>
      <c r="F249" s="171"/>
      <c r="G249" s="2"/>
      <c r="H249" s="2"/>
      <c r="I249" s="171"/>
      <c r="J249" s="2"/>
      <c r="K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</row>
    <row r="250" spans="2:31" ht="15.75" customHeight="1" x14ac:dyDescent="0.2">
      <c r="B250" s="2"/>
      <c r="C250" s="15"/>
      <c r="D250" s="100"/>
      <c r="E250" s="2"/>
      <c r="F250" s="171"/>
      <c r="G250" s="2"/>
      <c r="H250" s="2"/>
      <c r="I250" s="171"/>
      <c r="J250" s="2"/>
      <c r="K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</row>
    <row r="251" spans="2:31" ht="15.75" customHeight="1" x14ac:dyDescent="0.2">
      <c r="C251" s="15"/>
      <c r="O251" s="2"/>
    </row>
    <row r="252" spans="2:31" ht="15.75" customHeight="1" x14ac:dyDescent="0.2"/>
    <row r="253" spans="2:31" ht="15.75" customHeight="1" x14ac:dyDescent="0.2"/>
    <row r="254" spans="2:31" ht="15.75" customHeight="1" x14ac:dyDescent="0.2"/>
    <row r="255" spans="2:31" ht="15.75" customHeight="1" x14ac:dyDescent="0.2"/>
    <row r="256" spans="2:31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</sheetData>
  <mergeCells count="5">
    <mergeCell ref="B35:C35"/>
    <mergeCell ref="G35:H35"/>
    <mergeCell ref="M37:O37"/>
    <mergeCell ref="M18:O18"/>
    <mergeCell ref="M56:O56"/>
  </mergeCells>
  <conditionalFormatting sqref="H3:H6 H9:H24">
    <cfRule type="cellIs" dxfId="4" priority="4" operator="lessThan">
      <formula>0</formula>
    </cfRule>
  </conditionalFormatting>
  <conditionalFormatting sqref="H26:H31">
    <cfRule type="cellIs" dxfId="3" priority="1" operator="lessThan">
      <formula>0</formula>
    </cfRule>
  </conditionalFormatting>
  <pageMargins left="0" right="0" top="0.1388888888888889" bottom="0.1388888888888889" header="0" footer="0"/>
  <pageSetup paperSize="9" scale="96" pageOrder="overThenDown" orientation="portrait" r:id="rId1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B3A9-FB4E-CE4B-9AFF-8331091B2CE6}">
  <sheetPr codeName="Feuil5">
    <tabColor rgb="FF92D050"/>
  </sheetPr>
  <dimension ref="A1:Q57"/>
  <sheetViews>
    <sheetView showZeros="0" zoomScale="90" zoomScaleNormal="90" workbookViewId="0">
      <pane ySplit="1" topLeftCell="A2" activePane="bottomLeft" state="frozen"/>
      <selection pane="bottomLeft" activeCell="L35" sqref="L35"/>
    </sheetView>
  </sheetViews>
  <sheetFormatPr baseColWidth="10" defaultRowHeight="16" x14ac:dyDescent="0.2"/>
  <cols>
    <col min="2" max="2" width="26.28515625" customWidth="1"/>
    <col min="3" max="4" width="11.7109375" bestFit="1" customWidth="1"/>
    <col min="5" max="5" width="11.85546875" bestFit="1" customWidth="1"/>
    <col min="6" max="6" width="11.7109375" bestFit="1" customWidth="1"/>
    <col min="7" max="7" width="12" bestFit="1" customWidth="1"/>
    <col min="8" max="8" width="11.85546875" bestFit="1" customWidth="1"/>
    <col min="9" max="10" width="11.7109375" bestFit="1" customWidth="1"/>
    <col min="11" max="14" width="11.85546875" bestFit="1" customWidth="1"/>
    <col min="15" max="15" width="11.7109375" bestFit="1" customWidth="1"/>
    <col min="17" max="17" width="12.42578125" style="108" bestFit="1" customWidth="1"/>
  </cols>
  <sheetData>
    <row r="1" spans="1:17" ht="17" x14ac:dyDescent="0.2">
      <c r="A1" s="156" t="s">
        <v>237</v>
      </c>
      <c r="B1" s="147"/>
      <c r="C1" s="148">
        <v>45474</v>
      </c>
      <c r="D1" s="148">
        <v>45505</v>
      </c>
      <c r="E1" s="148">
        <v>45536</v>
      </c>
      <c r="F1" s="148">
        <v>45566</v>
      </c>
      <c r="G1" s="148">
        <v>45597</v>
      </c>
      <c r="H1" s="148">
        <v>45627</v>
      </c>
      <c r="I1" s="148">
        <v>45658</v>
      </c>
      <c r="J1" s="148">
        <v>45689</v>
      </c>
      <c r="K1" s="148">
        <v>45717</v>
      </c>
      <c r="L1" s="148">
        <v>45748</v>
      </c>
      <c r="M1" s="148">
        <v>45778</v>
      </c>
      <c r="N1" s="149">
        <v>45809</v>
      </c>
      <c r="O1" s="150" t="s">
        <v>238</v>
      </c>
      <c r="P1" s="148" t="s">
        <v>239</v>
      </c>
      <c r="Q1" s="248" t="s">
        <v>240</v>
      </c>
    </row>
    <row r="2" spans="1:17" ht="20" customHeight="1" x14ac:dyDescent="0.2">
      <c r="A2" s="533" t="s">
        <v>243</v>
      </c>
      <c r="B2" s="155" t="s">
        <v>244</v>
      </c>
      <c r="C2" s="464">
        <f>SUMIF('Pointage BQ 24-25'!$F$2:$F$29,"VENTE",'Pointage BQ 24-25'!$D$2:$D$29)</f>
        <v>3396.15</v>
      </c>
      <c r="D2" s="464">
        <f>SUMIF('Pointage BQ 24-25'!$F$31:$F$52,"VENTE",'Pointage BQ 24-25'!$D$31:$D$52)</f>
        <v>4471.6099999999997</v>
      </c>
      <c r="E2" s="464">
        <f>SUMIF('Pointage BQ 24-25'!$F$54:$F$88,"VENTE",'Pointage BQ 24-25'!$D$54:$D$88)</f>
        <v>5699.91</v>
      </c>
      <c r="F2" s="464">
        <f>SUMIF('Pointage BQ 24-25'!$F$90:$F$114,"VENTE",'Pointage BQ 24-25'!$D$90:$D$114)</f>
        <v>6844</v>
      </c>
      <c r="G2" s="464">
        <f>SUMIF('Pointage BQ 24-25'!$F$116:$F$155,"VENTE",'Pointage BQ 24-25'!$D$116:$D$155)</f>
        <v>22622</v>
      </c>
      <c r="H2" s="464">
        <f>SUMIF('Pointage BQ 24-25'!$F$157:$F$191,"VENTE",'Pointage BQ 24-25'!$D$157:$D$191)</f>
        <v>7956</v>
      </c>
      <c r="I2" s="464">
        <f>SUMIF('Pointage BQ 24-25'!$F$193:$F$224,"VENTE",'Pointage BQ 24-25'!$D$193:$D$224)</f>
        <v>3692.15</v>
      </c>
      <c r="J2" s="464">
        <f>SUMIF('Pointage BQ 24-25'!$F$226:$F$257,"VENTE",'Pointage BQ 24-25'!$D$226:$D$257)</f>
        <v>1631</v>
      </c>
      <c r="K2" s="464">
        <f>SUMIF('Pointage BQ 24-25'!$F$259:$F$285,"VENTE",'Pointage BQ 24-25'!$D$259:$D$285)</f>
        <v>10552</v>
      </c>
      <c r="L2" s="464">
        <f>SUMIF('Pointage BQ 24-25'!$F$287:$F$331,"VENTE",'Pointage BQ 24-25'!$D$287:$D$331)</f>
        <v>10008.200000000001</v>
      </c>
      <c r="M2" s="464">
        <f>SUMIF('Pointage BQ 24-25'!$F$333:$F$365,"VENTE",'Pointage BQ 24-25'!$D$333:$D$365)</f>
        <v>13814.2</v>
      </c>
      <c r="N2" s="464">
        <f>SUMIF('Pointage BQ 24-25'!$F$367:$F$400,"VENTE",'Pointage BQ 24-25'!$D$367:$D$400)</f>
        <v>12401.6</v>
      </c>
      <c r="O2" s="465">
        <f>SUM(C2:N2)</f>
        <v>103088.82</v>
      </c>
      <c r="P2" s="464">
        <f>'Prévisionnel 24-25'!C42</f>
        <v>91760</v>
      </c>
      <c r="Q2" s="466">
        <f t="shared" ref="Q2:Q31" si="0">P2-O2</f>
        <v>-11328.820000000007</v>
      </c>
    </row>
    <row r="3" spans="1:17" ht="20" customHeight="1" x14ac:dyDescent="0.2">
      <c r="A3" s="533"/>
      <c r="B3" s="155" t="s">
        <v>829</v>
      </c>
      <c r="C3" s="450">
        <f>-(SUMIF('Pointage BQ 24-25'!$F$2:$F$29,"VENTE",'Pointage BQ 24-25'!$C$2:$C$29))</f>
        <v>0</v>
      </c>
      <c r="D3" s="451">
        <f>-(SUMIF('Pointage BQ 24-25'!$F$31:$F$52,"VENTE",'Pointage BQ 24-25'!$C$31:$C$52))</f>
        <v>0</v>
      </c>
      <c r="E3" s="450">
        <f>-(SUMIF('Pointage BQ 24-25'!$F$54:$F$88,"VENTE",'Pointage BQ 24-25'!$C$54:$C$88))</f>
        <v>0</v>
      </c>
      <c r="F3" s="450">
        <f>-(SUMIF('Pointage BQ 24-25'!$F$90:$F$114,"VENTE",'Pointage BQ 24-25'!$C$90:$C$114))</f>
        <v>0</v>
      </c>
      <c r="G3" s="450">
        <f>-(SUMIF('Pointage BQ 24-25'!$F$116:$F$155,"VENTE",'Pointage BQ 24-25'!$C$116:$C$155))</f>
        <v>0</v>
      </c>
      <c r="H3" s="450">
        <f>-(SUMIF('Pointage BQ 24-25'!$F$157:$F$191,"VENTE",'Pointage BQ 24-25'!$C$157:$C$191))</f>
        <v>1000</v>
      </c>
      <c r="I3" s="450">
        <f>-(SUMIF('Pointage BQ 24-25'!$F$193:$F$224,"VENTE",'Pointage BQ 24-25'!$C$193:$C$224))</f>
        <v>0</v>
      </c>
      <c r="J3" s="450">
        <f>-(SUMIF('Pointage BQ 24-25'!$F$226:$F$257,"VENTE",'Pointage BQ 24-25'!$C$226:$C$257))</f>
        <v>0</v>
      </c>
      <c r="K3" s="450">
        <f>-(SUMIF('Pointage BQ 24-25'!$F$259:$F$285,"VENTE",'Pointage BQ 24-25'!$C$259:$C$285))</f>
        <v>0</v>
      </c>
      <c r="L3" s="450">
        <f>-(SUMIF('Pointage BQ 24-25'!$F$287:$F$331,"VENTE",'Pointage BQ 24-25'!$C$287:$C$331))</f>
        <v>0</v>
      </c>
      <c r="M3" s="450">
        <f>-(SUMIF('Pointage BQ 24-25'!$F$333:$F$365,"VENTE",'Pointage BQ 24-25'!$C$333:$C$365))</f>
        <v>0</v>
      </c>
      <c r="N3" s="450">
        <f>-(SUMIF('Pointage BQ 24-25'!$F$367:$F$400,"VENTE",'Pointage BQ 24-25'!$C$367:$C$400))</f>
        <v>0</v>
      </c>
      <c r="O3" s="152">
        <f>SUM(C3:N3)</f>
        <v>1000</v>
      </c>
      <c r="P3" s="151"/>
      <c r="Q3" s="249"/>
    </row>
    <row r="4" spans="1:17" ht="20" customHeight="1" x14ac:dyDescent="0.2">
      <c r="A4" s="157" t="s">
        <v>246</v>
      </c>
      <c r="B4" s="165" t="s">
        <v>16</v>
      </c>
      <c r="C4" s="450">
        <f>-(SUMIF('Pointage BQ 24-25'!$F$2:$F$29,"REM",'Pointage BQ 24-25'!$C$2:$C$29))</f>
        <v>3700</v>
      </c>
      <c r="D4" s="451">
        <f>-(SUMIF('Pointage BQ 24-25'!$F$31:$F$52,"REM",'Pointage BQ 24-25'!$C$31:$C$52))</f>
        <v>1900</v>
      </c>
      <c r="E4" s="450">
        <f>-(SUMIF('Pointage BQ 24-25'!$F$54:$F$88,"REM",'Pointage BQ 24-25'!$C$54:$C$88))</f>
        <v>2200</v>
      </c>
      <c r="F4" s="450">
        <f>-(SUMIF('Pointage BQ 24-25'!$F$90:$F$114,"REM",'Pointage BQ 24-25'!$C$90:$C$114))</f>
        <v>2200</v>
      </c>
      <c r="G4" s="450">
        <f>-(SUMIF('Pointage BQ 24-25'!$F$116:$F$155,"REM",'Pointage BQ 24-25'!$C$116:$C$155))</f>
        <v>2200</v>
      </c>
      <c r="H4" s="450">
        <f>-(SUMIF('Pointage BQ 24-25'!$F$157:$F$191,"REM",'Pointage BQ 24-25'!$C$157:$C$191))</f>
        <v>2200</v>
      </c>
      <c r="I4" s="450">
        <f>-(SUMIF('Pointage BQ 24-25'!$F$193:$F$224,"REM",'Pointage BQ 24-25'!$C$193:$C$224))</f>
        <v>2200</v>
      </c>
      <c r="J4" s="450">
        <f>-(SUMIF('Pointage BQ 24-25'!$F$226:$F$257,"REM",'Pointage BQ 24-25'!$C$226:$C$257))</f>
        <v>2200</v>
      </c>
      <c r="K4" s="450">
        <f>-(SUMIF('Pointage BQ 24-25'!$F$259:$F$285,"REM",'Pointage BQ 24-25'!$C$259:$C$285))</f>
        <v>2200</v>
      </c>
      <c r="L4" s="450">
        <f>-(SUMIF('Pointage BQ 24-25'!$F$287:$F$331,"REM",'Pointage BQ 24-25'!$C$287:$C$331))</f>
        <v>2200</v>
      </c>
      <c r="M4" s="450">
        <f>-(SUMIF('Pointage BQ 24-25'!$F$333:$F$365,"REM",'Pointage BQ 24-25'!$C$333:$C$365))</f>
        <v>2200</v>
      </c>
      <c r="N4" s="450">
        <f>-(SUMIF('Pointage BQ 24-25'!$F$367:$F$400,"REM",'Pointage BQ 24-25'!$C$367:$C$400))</f>
        <v>2200</v>
      </c>
      <c r="O4" s="152">
        <f t="shared" ref="O4:O37" si="1">SUM(C4:N4)</f>
        <v>27600</v>
      </c>
      <c r="P4" s="151">
        <f>'Prévisionnel 24-25'!E3</f>
        <v>26400</v>
      </c>
      <c r="Q4" s="249">
        <f t="shared" si="0"/>
        <v>-1200</v>
      </c>
    </row>
    <row r="5" spans="1:17" ht="20" customHeight="1" x14ac:dyDescent="0.2">
      <c r="A5" s="471" t="s">
        <v>248</v>
      </c>
      <c r="B5" s="165" t="s">
        <v>18</v>
      </c>
      <c r="C5" s="450">
        <f>-(SUMIF('Pointage BQ 24-25'!$F$2:$F$29,"URSSAF",'Pointage BQ 24-25'!$C$2:$C$29))</f>
        <v>629</v>
      </c>
      <c r="D5" s="450">
        <f>-(SUMIF('Pointage BQ 24-25'!$F$31:$F$52,"URSSAF",'Pointage BQ 24-25'!$C$31:$C$52))</f>
        <v>629</v>
      </c>
      <c r="E5" s="450">
        <f>-(SUMIF('Pointage BQ 24-25'!$F$54:$F$88,"URSSAF",'Pointage BQ 24-25'!$C$54:$C$88))</f>
        <v>629</v>
      </c>
      <c r="F5" s="450">
        <f>-(SUMIF('Pointage BQ 24-25'!$F$90:$F$114,"URSSAF",'Pointage BQ 24-25'!$C$90:$C$114))</f>
        <v>629</v>
      </c>
      <c r="G5" s="450">
        <f>-(SUMIF('Pointage BQ 24-25'!$F$116:$F$155,"URSSAF",'Pointage BQ 24-25'!$C$116:$C$155))</f>
        <v>745</v>
      </c>
      <c r="H5" s="450">
        <f>-(SUMIF('Pointage BQ 24-25'!$F$157:$F$191,"URSSAF",'Pointage BQ 24-25'!$C$157:$C$191))</f>
        <v>621</v>
      </c>
      <c r="I5" s="450">
        <f>-(SUMIF('Pointage BQ 24-25'!$F$193:$F$224,"URSSAF",'Pointage BQ 24-25'!$C$193:$C$224))</f>
        <v>623</v>
      </c>
      <c r="J5" s="450">
        <f>-(SUMIF('Pointage BQ 24-25'!$F$226:$F$257,"URSSAF",'Pointage BQ 24-25'!$C$226:$C$257))</f>
        <v>623</v>
      </c>
      <c r="K5" s="450">
        <f>-(SUMIF('Pointage BQ 24-25'!$F$259:$F$285,"URSSAF",'Pointage BQ 24-25'!$C$259:$C$285))</f>
        <v>623</v>
      </c>
      <c r="L5" s="450">
        <f>-(SUMIF('Pointage BQ 24-25'!$F$287:$F$331,"URSSAF",'Pointage BQ 24-25'!$C$287:$C$331))</f>
        <v>623</v>
      </c>
      <c r="M5" s="450">
        <f>-(SUMIF('Pointage BQ 24-25'!$F$333:$F$365,"URSSAF",'Pointage BQ 24-25'!$C$333:$C$365))</f>
        <v>746</v>
      </c>
      <c r="N5" s="450">
        <f>-(SUMIF('Pointage BQ 24-25'!$F$367:$F$400,"URSSAF",'Pointage BQ 24-25'!$C$367:$C$400))</f>
        <v>749</v>
      </c>
      <c r="O5" s="152">
        <f>SUM(C5:N5)</f>
        <v>7869</v>
      </c>
      <c r="P5" s="151">
        <f>'Prévisionnel 24-25'!E4</f>
        <v>9240</v>
      </c>
      <c r="Q5" s="249">
        <f t="shared" si="0"/>
        <v>1371</v>
      </c>
    </row>
    <row r="6" spans="1:17" ht="20" customHeight="1" x14ac:dyDescent="0.2">
      <c r="A6" s="471" t="s">
        <v>251</v>
      </c>
      <c r="B6" s="165" t="s">
        <v>19</v>
      </c>
      <c r="C6" s="450">
        <f>-(SUMIF('Pointage BQ 24-25'!$F$2:$F$29,"PREV",'Pointage BQ 24-25'!$C$2:$C$29))</f>
        <v>65.84</v>
      </c>
      <c r="D6" s="450">
        <f>-(SUMIF('Pointage BQ 24-25'!$F$31:$F$52,"PREV",'Pointage BQ 24-25'!$C$31:$C$52))</f>
        <v>65.84</v>
      </c>
      <c r="E6" s="450">
        <f>-(SUMIF('Pointage BQ 24-25'!$F$54:$F$88,"PREV",'Pointage BQ 24-25'!$C$54:$C$88))</f>
        <v>65.84</v>
      </c>
      <c r="F6" s="450">
        <f>-(SUMIF('Pointage BQ 24-25'!$F$90:$F$114,"PREV",'Pointage BQ 24-25'!$C$90:$C$114))</f>
        <v>65.84</v>
      </c>
      <c r="G6" s="450">
        <f>-(SUMIF('Pointage BQ 24-25'!$F$116:$F$155,"PREV",'Pointage BQ 24-25'!$C$116:$C$155))</f>
        <v>71.28</v>
      </c>
      <c r="H6" s="450">
        <f>-(SUMIF('Pointage BQ 24-25'!$F$157:$F$191,"PREV",'Pointage BQ 24-25'!$C$157:$C$191))</f>
        <v>71.28</v>
      </c>
      <c r="I6" s="450">
        <f>-(SUMIF('Pointage BQ 24-25'!$F$193:$F$224,"PREV",'Pointage BQ 24-25'!$C$193:$C$224))</f>
        <v>71.28</v>
      </c>
      <c r="J6" s="450">
        <f>-(SUMIF('Pointage BQ 24-25'!$F$226:$F$257,"PREV",'Pointage BQ 24-25'!$C$226:$C$257))</f>
        <v>71.28</v>
      </c>
      <c r="K6" s="450">
        <f>-(SUMIF('Pointage BQ 24-25'!$F$259:$F$285,"PREV",'Pointage BQ 24-25'!$C$259:$C$285))</f>
        <v>71.28</v>
      </c>
      <c r="L6" s="450">
        <f>-(SUMIF('Pointage BQ 24-25'!$F$287:$F$331,"PREV",'Pointage BQ 24-25'!$C$287:$C$331))</f>
        <v>71.28</v>
      </c>
      <c r="M6" s="450">
        <f>-(SUMIF('Pointage BQ 24-25'!$F$333:$F$365,"PREV",'Pointage BQ 24-25'!$C$333:$C$365))</f>
        <v>71.28</v>
      </c>
      <c r="N6" s="450">
        <f>-(SUMIF('Pointage BQ 24-25'!$F$367:$F$400,"PREV",'Pointage BQ 24-25'!$C$367:$C$400))</f>
        <v>71.28</v>
      </c>
      <c r="O6" s="152">
        <f t="shared" si="1"/>
        <v>833.5999999999998</v>
      </c>
      <c r="P6" s="151">
        <f>'Prévisionnel 24-25'!E5</f>
        <v>864</v>
      </c>
      <c r="Q6" s="249">
        <f t="shared" si="0"/>
        <v>30.400000000000205</v>
      </c>
    </row>
    <row r="7" spans="1:17" ht="20" customHeight="1" x14ac:dyDescent="0.2">
      <c r="A7" s="471" t="s">
        <v>253</v>
      </c>
      <c r="B7" s="165" t="s">
        <v>96</v>
      </c>
      <c r="C7" s="450">
        <f>-(SUMIF('Pointage BQ 24-25'!$F$2:$F$29,"ASS",'Pointage BQ 24-25'!$C$2:$C$29))</f>
        <v>150</v>
      </c>
      <c r="D7" s="450">
        <f>-(SUMIF('Pointage BQ 24-25'!$F$31:$F$52,"ASS",'Pointage BQ 24-25'!$C$31:$C$52))</f>
        <v>150</v>
      </c>
      <c r="E7" s="450">
        <f>-(SUMIF('Pointage BQ 24-25'!$F$54:$F$88,"ASS",'Pointage BQ 24-25'!$C$54:$C$88))</f>
        <v>150</v>
      </c>
      <c r="F7" s="450">
        <f>-(SUMIF('Pointage BQ 24-25'!$F$90:$F$114,"ASS",'Pointage BQ 24-25'!$C$90:$C$114))</f>
        <v>150</v>
      </c>
      <c r="G7" s="450">
        <f>-(SUMIF('Pointage BQ 24-25'!$F$116:$F$155,"ASS",'Pointage BQ 24-25'!$C$116:$C$155))</f>
        <v>150</v>
      </c>
      <c r="H7" s="450">
        <f>-(SUMIF('Pointage BQ 24-25'!$F$157:$F$191,"ASS",'Pointage BQ 24-25'!$C$157:$C$191))</f>
        <v>150</v>
      </c>
      <c r="I7" s="450">
        <f>-(SUMIF('Pointage BQ 24-25'!$F$193:$F$224,"ASS",'Pointage BQ 24-25'!$C$193:$C$224))</f>
        <v>152.37</v>
      </c>
      <c r="J7" s="450">
        <f>-(SUMIF('Pointage BQ 24-25'!$F$226:$F$257,"ASS",'Pointage BQ 24-25'!$C$226:$C$257))</f>
        <v>152.37</v>
      </c>
      <c r="K7" s="450">
        <f>-(SUMIF('Pointage BQ 24-25'!$F$259:$F$285,"ASS",'Pointage BQ 24-25'!$C$259:$C$285))</f>
        <v>152.37</v>
      </c>
      <c r="L7" s="450">
        <f>-(SUMIF('Pointage BQ 24-25'!$F$287:$F$331,"ASS",'Pointage BQ 24-25'!$C$287:$C$331))</f>
        <v>152.37</v>
      </c>
      <c r="M7" s="450">
        <f>-(SUMIF('Pointage BQ 24-25'!$F$333:$F$365,"ASS",'Pointage BQ 24-25'!$C$333:$C$365))</f>
        <v>152.37</v>
      </c>
      <c r="N7" s="450">
        <f>-(SUMIF('Pointage BQ 24-25'!$F$367:$F$400,"ASS",'Pointage BQ 24-25'!$C$367:$C$400))</f>
        <v>152.37</v>
      </c>
      <c r="O7" s="152">
        <f t="shared" si="1"/>
        <v>1814.2199999999993</v>
      </c>
      <c r="P7" s="151">
        <f>'Prévisionnel 24-25'!E6</f>
        <v>1836</v>
      </c>
      <c r="Q7" s="249">
        <f t="shared" si="0"/>
        <v>21.780000000000655</v>
      </c>
    </row>
    <row r="8" spans="1:17" ht="20" customHeight="1" x14ac:dyDescent="0.2">
      <c r="A8" s="471" t="s">
        <v>255</v>
      </c>
      <c r="B8" s="165" t="s">
        <v>21</v>
      </c>
      <c r="C8" s="450">
        <f>-(SUMIF('Pointage BQ 24-25'!$F$2:$F$29,"SMABTP",'Pointage BQ 24-25'!$C$2:$C$29))</f>
        <v>645.49</v>
      </c>
      <c r="D8" s="450">
        <f>-(SUMIF('Pointage BQ 24-25'!$F$31:$F$52,"SMABTP",'Pointage BQ 24-25'!$C$31:$C$52))</f>
        <v>645.49</v>
      </c>
      <c r="E8" s="450">
        <f>-(SUMIF('Pointage BQ 24-25'!$F$54:$F$88,"SMABTP",'Pointage BQ 24-25'!$C$54:$C$88))</f>
        <v>645.49</v>
      </c>
      <c r="F8" s="450">
        <f>-(SUMIF('Pointage BQ 24-25'!$F$90:$F$114,"SMABTP",'Pointage BQ 24-25'!$C$90:$C$114))</f>
        <v>645.53</v>
      </c>
      <c r="G8" s="450">
        <f>-(SUMIF('Pointage BQ 24-25'!$F$116:$F$155,"SMABTP",'Pointage BQ 24-25'!$C$116:$C$155))</f>
        <v>0</v>
      </c>
      <c r="H8" s="450">
        <f>-(SUMIF('Pointage BQ 24-25'!$F$157:$F$191,"SMABTP",'Pointage BQ 24-25'!$C$157:$C$191))</f>
        <v>0</v>
      </c>
      <c r="I8" s="450">
        <f>-(SUMIF('Pointage BQ 24-25'!$F$193:$F$224,"SMABTP",'Pointage BQ 24-25'!$C$193:$C$224))</f>
        <v>565.53</v>
      </c>
      <c r="J8" s="450">
        <f>-(SUMIF('Pointage BQ 24-25'!$F$226:$F$257,"SMABTP",'Pointage BQ 24-25'!$C$226:$C$257))</f>
        <v>565.53</v>
      </c>
      <c r="K8" s="450">
        <f>-(SUMIF('Pointage BQ 24-25'!$F$259:$F$285,"SMABTP",'Pointage BQ 24-25'!$C$259:$C$285))</f>
        <v>787.38</v>
      </c>
      <c r="L8" s="450">
        <f>-(SUMIF('Pointage BQ 24-25'!$F$287:$F$331,"SMABTP",'Pointage BQ 24-25'!$C$287:$C$331))</f>
        <v>787.38</v>
      </c>
      <c r="M8" s="450">
        <f>-(SUMIF('Pointage BQ 24-25'!$F$333:$F$365,"SMABTP",'Pointage BQ 24-25'!$C$333:$C$365))</f>
        <v>787.38</v>
      </c>
      <c r="N8" s="450">
        <f>-(SUMIF('Pointage BQ 24-25'!$F$367:$F$400,"SMABTP",'Pointage BQ 24-25'!$C$367:$C$400))</f>
        <v>787.38</v>
      </c>
      <c r="O8" s="152">
        <f t="shared" si="1"/>
        <v>6862.58</v>
      </c>
      <c r="P8" s="151">
        <f>'Prévisionnel 24-25'!E9</f>
        <v>6100</v>
      </c>
      <c r="Q8" s="249">
        <f t="shared" si="0"/>
        <v>-762.57999999999993</v>
      </c>
    </row>
    <row r="9" spans="1:17" ht="20" customHeight="1" x14ac:dyDescent="0.2">
      <c r="A9" s="471" t="s">
        <v>250</v>
      </c>
      <c r="B9" s="165" t="s">
        <v>22</v>
      </c>
      <c r="C9" s="450">
        <f>-(SUMIF('Pointage BQ 24-25'!$F$2:$F$29,"OA",'Pointage BQ 24-25'!$C$2:$C$29))</f>
        <v>144</v>
      </c>
      <c r="D9" s="450">
        <f>-(SUMIF('Pointage BQ 24-25'!$F$31:$F$52,"OA",'Pointage BQ 24-25'!$C$31:$C$52))</f>
        <v>72</v>
      </c>
      <c r="E9" s="450">
        <f>-(SUMIF('Pointage BQ 24-25'!$F$54:$F$88,"OA",'Pointage BQ 24-25'!$C$54:$C$88))</f>
        <v>72</v>
      </c>
      <c r="F9" s="450">
        <f>-(SUMIF('Pointage BQ 24-25'!$F$90:$F$114,"OA",'Pointage BQ 24-25'!$C$90:$C$114))</f>
        <v>0</v>
      </c>
      <c r="G9" s="450">
        <f>-(SUMIF('Pointage BQ 24-25'!$F$116:$F$155,"OA",'Pointage BQ 24-25'!$C$116:$C$155))</f>
        <v>0</v>
      </c>
      <c r="H9" s="450">
        <f>-(SUMIF('Pointage BQ 24-25'!$F$157:$F$191,"OA",'Pointage BQ 24-25'!$C$157:$C$191))</f>
        <v>0</v>
      </c>
      <c r="I9" s="450">
        <f>-(SUMIF('Pointage BQ 24-25'!$F$193:$F$224,"OA",'Pointage BQ 24-25'!$C$193:$C$224))</f>
        <v>0</v>
      </c>
      <c r="J9" s="450">
        <f>-(SUMIF('Pointage BQ 24-25'!$F$226:$F$257,"OA",'Pointage BQ 24-25'!$C$226:$C$257))</f>
        <v>900</v>
      </c>
      <c r="K9" s="450">
        <f>-(SUMIF('Pointage BQ 24-25'!$F$259:$F$285,"OA",'Pointage BQ 24-25'!$C$259:$C$285))</f>
        <v>0</v>
      </c>
      <c r="L9" s="450">
        <f>-(SUMIF('Pointage BQ 24-25'!$F$287:$F$331,"OA",'Pointage BQ 24-25'!$C$287:$C$331))</f>
        <v>0</v>
      </c>
      <c r="M9" s="450">
        <f>-(SUMIF('Pointage BQ 24-25'!$F$333:$F$365,"OA",'Pointage BQ 24-25'!$C$333:$C$365))</f>
        <v>0</v>
      </c>
      <c r="N9" s="450">
        <f>-(SUMIF('Pointage BQ 24-25'!$F$367:$F$400,"OA",'Pointage BQ 24-25'!$C$367:$C$400))</f>
        <v>0</v>
      </c>
      <c r="O9" s="152">
        <f t="shared" si="1"/>
        <v>1188</v>
      </c>
      <c r="P9" s="151">
        <f>'Prévisionnel 24-25'!E10</f>
        <v>1200</v>
      </c>
      <c r="Q9" s="249">
        <f t="shared" si="0"/>
        <v>12</v>
      </c>
    </row>
    <row r="10" spans="1:17" ht="20" customHeight="1" x14ac:dyDescent="0.2">
      <c r="A10" s="471" t="s">
        <v>23</v>
      </c>
      <c r="B10" s="165" t="s">
        <v>23</v>
      </c>
      <c r="C10" s="450">
        <f>-(SUMIF('Pointage BQ 24-25'!$F$2:$F$29,"CFE",'Pointage BQ 24-25'!$C$2:$C$29))</f>
        <v>0</v>
      </c>
      <c r="D10" s="450">
        <f>-(SUMIF('Pointage BQ 24-25'!$F$31:$F$52,"CFE",'Pointage BQ 24-25'!$C$31:$C$52))</f>
        <v>0</v>
      </c>
      <c r="E10" s="450">
        <f>-(SUMIF('Pointage BQ 24-25'!$F$54:$F$88,"CFE",'Pointage BQ 24-25'!$C$54:$C$88))</f>
        <v>0</v>
      </c>
      <c r="F10" s="450">
        <f>-(SUMIF('Pointage BQ 24-25'!$F$90:$F$114,"CFE",'Pointage BQ 24-25'!$C$90:$C$114))</f>
        <v>0</v>
      </c>
      <c r="G10" s="450">
        <f>-(SUMIF('Pointage BQ 24-25'!$F$116:$F$155,"CFE",'Pointage BQ 24-25'!$C$116:$C$155))</f>
        <v>0</v>
      </c>
      <c r="H10" s="450">
        <f>-(SUMIF('Pointage BQ 24-25'!$F$157:$F$191,"CFE",'Pointage BQ 24-25'!$C$157:$C$191))</f>
        <v>483</v>
      </c>
      <c r="I10" s="450">
        <f>-(SUMIF('Pointage BQ 24-25'!$F$193:$F$224,"CFE",'Pointage BQ 24-25'!$C$193:$C$224))</f>
        <v>0</v>
      </c>
      <c r="J10" s="450">
        <f>-(SUMIF('Pointage BQ 24-25'!$F$226:$F$257,"CFE",'Pointage BQ 24-25'!$C$226:$C$257))</f>
        <v>0</v>
      </c>
      <c r="K10" s="450">
        <f>-(SUMIF('Pointage BQ 24-25'!$F$259:$F$285,"CFE",'Pointage BQ 24-25'!$C$259:$C$285))</f>
        <v>0</v>
      </c>
      <c r="L10" s="450">
        <f>-(SUMIF('Pointage BQ 24-25'!$F$287:$F$331,"CFE",'Pointage BQ 24-25'!$C$287:$C$331))</f>
        <v>0</v>
      </c>
      <c r="M10" s="450">
        <f>-(SUMIF('Pointage BQ 24-25'!$F$333:$F$365,"CFE",'Pointage BQ 24-25'!$C$333:$C$365))</f>
        <v>0</v>
      </c>
      <c r="N10" s="450">
        <f>-(SUMIF('Pointage BQ 24-25'!$F$367:$F$400,"CFE",'Pointage BQ 24-25'!$C$367:$C$400))</f>
        <v>0</v>
      </c>
      <c r="O10" s="152">
        <f t="shared" si="1"/>
        <v>483</v>
      </c>
      <c r="P10" s="151">
        <f>'Prévisionnel 24-25'!C11</f>
        <v>490</v>
      </c>
      <c r="Q10" s="249">
        <f t="shared" si="0"/>
        <v>7</v>
      </c>
    </row>
    <row r="11" spans="1:17" ht="20" customHeight="1" x14ac:dyDescent="0.2">
      <c r="A11" s="530" t="s">
        <v>259</v>
      </c>
      <c r="B11" s="463" t="s">
        <v>820</v>
      </c>
      <c r="C11" s="450">
        <f>-(SUMIF('Pointage BQ 24-25'!$F$2:$F$29,"PJ",'Pointage BQ 24-25'!$C$2:$C$29))</f>
        <v>24.27</v>
      </c>
      <c r="D11" s="450">
        <f>-(SUMIF('Pointage BQ 24-25'!$F$31:$F$52,"PJ",'Pointage BQ 24-25'!$C$31:$C$52))</f>
        <v>24.27</v>
      </c>
      <c r="E11" s="450">
        <f>-(SUMIF('Pointage BQ 24-25'!$F$54:$F$88,"PJ",'Pointage BQ 24-25'!$C$54:$C$88))</f>
        <v>24.27</v>
      </c>
      <c r="F11" s="450">
        <f>-(SUMIF('Pointage BQ 24-25'!$F$90:$F$114,"PJ",'Pointage BQ 24-25'!$C$90:$C$114))</f>
        <v>24.27</v>
      </c>
      <c r="G11" s="450">
        <f>-(SUMIF('Pointage BQ 24-25'!$F$116:$F$155,"PJ",'Pointage BQ 24-25'!$C$116:$C$155))</f>
        <v>24.27</v>
      </c>
      <c r="H11" s="450">
        <f>-(SUMIF('Pointage BQ 24-25'!$F$157:$F$191,"PJ",'Pointage BQ 24-25'!$C$157:$C$191))</f>
        <v>24.27</v>
      </c>
      <c r="I11" s="450">
        <f>-(SUMIF('Pointage BQ 24-25'!$F$193:$F$224,"PJ",'Pointage BQ 24-25'!$C$193:$C$224))</f>
        <v>24.27</v>
      </c>
      <c r="J11" s="450">
        <f>-(SUMIF('Pointage BQ 24-25'!$F$226:$F$257,"PJ",'Pointage BQ 24-25'!$C$226:$C$257))</f>
        <v>24.27</v>
      </c>
      <c r="K11" s="450">
        <f>-(SUMIF('Pointage BQ 24-25'!$F$259:$F$285,"PJ",'Pointage BQ 24-25'!$C$259:$C$285))</f>
        <v>24.27</v>
      </c>
      <c r="L11" s="450">
        <f>-(SUMIF('Pointage BQ 24-25'!$F$287:$F$331,"PJ",'Pointage BQ 24-25'!$C$287:$C$331))</f>
        <v>24.27</v>
      </c>
      <c r="M11" s="450">
        <f>-(SUMIF('Pointage BQ 24-25'!$F$333:$F$365,"PJ",'Pointage BQ 24-25'!$C$333:$C$365))</f>
        <v>24.27</v>
      </c>
      <c r="N11" s="450">
        <f>-(SUMIF('Pointage BQ 24-25'!$F$367:$F$400,"PJ",'Pointage BQ 24-25'!$C$367:$C$400))</f>
        <v>24.27</v>
      </c>
      <c r="O11" s="152">
        <f t="shared" si="1"/>
        <v>291.24</v>
      </c>
      <c r="P11" s="151">
        <f>'Prévisionnel 24-25'!E12</f>
        <v>300</v>
      </c>
      <c r="Q11" s="249">
        <f t="shared" si="0"/>
        <v>8.7599999999999909</v>
      </c>
    </row>
    <row r="12" spans="1:17" ht="20" customHeight="1" x14ac:dyDescent="0.2">
      <c r="A12" s="530"/>
      <c r="B12" s="463" t="s">
        <v>821</v>
      </c>
      <c r="C12" s="464">
        <f>(SUMIF('Pointage BQ 24-25'!$F$2:$F$29,"PJ",'Pointage BQ 24-25'!$D$2:$D$29))</f>
        <v>801.83</v>
      </c>
      <c r="D12" s="464">
        <f>(SUMIF('Pointage BQ 24-25'!$F$31:$F$52,"PJ",'Pointage BQ 24-25'!$D$31:$D$52))</f>
        <v>0</v>
      </c>
      <c r="E12" s="464">
        <f>(SUMIF('Pointage BQ 24-25'!$F$54:$F$88,"PJ",'Pointage BQ 24-25'!$D$54:$D$88))</f>
        <v>0</v>
      </c>
      <c r="F12" s="464">
        <f>(SUMIF('Pointage BQ 24-25'!$F$90:$F$114,"PJ",'Pointage BQ 24-25'!$D$90:$D$114))</f>
        <v>0</v>
      </c>
      <c r="G12" s="464">
        <f>(SUMIF('Pointage BQ 24-25'!$F$116:$F$155,"PJ",'Pointage BQ 24-25'!$D$116:$D$155))</f>
        <v>0</v>
      </c>
      <c r="H12" s="464">
        <f>(SUMIF('Pointage BQ 24-25'!$F$157:$F$191,"PJ",'Pointage BQ 24-25'!$D$157:$D$191))</f>
        <v>0</v>
      </c>
      <c r="I12" s="464">
        <f>(SUMIF('Pointage BQ 24-25'!$F$193:$F$224,"PJ",'Pointage BQ 24-25'!$D$193:$D$224))</f>
        <v>0</v>
      </c>
      <c r="J12" s="464">
        <f>(SUMIF('Pointage BQ 24-25'!$F$226:$F$257,"PJ",'Pointage BQ 24-25'!$D$226:$D$257))</f>
        <v>0</v>
      </c>
      <c r="K12" s="464">
        <f>(SUMIF('Pointage BQ 24-25'!$F$259:$F$285,"PJ",'Pointage BQ 24-25'!$D$259:$D$285))</f>
        <v>0</v>
      </c>
      <c r="L12" s="464">
        <f>(SUMIF('Pointage BQ 24-25'!$F$287:$F$331,"PJ",'Pointage BQ 24-25'!$D$287:$D$331))</f>
        <v>0</v>
      </c>
      <c r="M12" s="464">
        <f>(SUMIF('Pointage BQ 24-25'!$F$333:$F$365,"PJ",'Pointage BQ 24-25'!$D$333:$D$365))</f>
        <v>0</v>
      </c>
      <c r="N12" s="464">
        <f>(SUMIF('Pointage BQ 24-25'!$F$367:$F$400,"PJ",'Pointage BQ 24-25'!$D$367:$D$400))</f>
        <v>0</v>
      </c>
      <c r="O12" s="465">
        <f t="shared" si="1"/>
        <v>801.83</v>
      </c>
      <c r="P12" s="464"/>
      <c r="Q12" s="466"/>
    </row>
    <row r="13" spans="1:17" ht="20" customHeight="1" x14ac:dyDescent="0.2">
      <c r="A13" s="530" t="s">
        <v>496</v>
      </c>
      <c r="B13" s="153" t="s">
        <v>826</v>
      </c>
      <c r="C13" s="450">
        <f>-(SUMIF('Pointage BQ 24-25'!$F$2:$F$29,"CLE",'Pointage BQ 24-25'!$C$2:$C$29))</f>
        <v>0</v>
      </c>
      <c r="D13" s="450">
        <f>-(SUMIF('Pointage BQ 24-25'!$F$31:$F$52,"CLE",'Pointage BQ 24-25'!$C$31:$C$52))</f>
        <v>0</v>
      </c>
      <c r="E13" s="450">
        <f>-(SUMIF('Pointage BQ 24-25'!$F$54:$F$88,"CLE",'Pointage BQ 24-25'!$C$54:$C$88))</f>
        <v>0</v>
      </c>
      <c r="F13" s="450">
        <f>-(SUMIF('Pointage BQ 24-25'!$F$90:$F$114,"CLE",'Pointage BQ 24-25'!$C$90:$C$114))</f>
        <v>0</v>
      </c>
      <c r="G13" s="450">
        <f>-(SUMIF('Pointage BQ 24-25'!$F$116:$F$155,"CLE",'Pointage BQ 24-25'!$C$116:$C$155))</f>
        <v>105</v>
      </c>
      <c r="H13" s="450">
        <f>-(SUMIF('Pointage BQ 24-25'!$F$157:$F$191,"CLE",'Pointage BQ 24-25'!$C$157:$C$191))</f>
        <v>0</v>
      </c>
      <c r="I13" s="450">
        <f>-(SUMIF('Pointage BQ 24-25'!$F$193:$F$224,"CLE",'Pointage BQ 24-25'!$C$193:$C$224))</f>
        <v>149.74</v>
      </c>
      <c r="J13" s="450">
        <f>-(SUMIF('Pointage BQ 24-25'!$F$226:$F$257,"CLE",'Pointage BQ 24-25'!$C$226:$C$257))</f>
        <v>0</v>
      </c>
      <c r="K13" s="450">
        <f>-(SUMIF('Pointage BQ 24-25'!$F$259:$F$285,"CLE",'Pointage BQ 24-25'!$C$259:$C$285))</f>
        <v>270</v>
      </c>
      <c r="L13" s="450">
        <f>-(SUMIF('Pointage BQ 24-25'!$F$287:$F$331,"CLE",'Pointage BQ 24-25'!$C$287:$C$331))</f>
        <v>0</v>
      </c>
      <c r="M13" s="450">
        <f>-(SUMIF('Pointage BQ 24-25'!$F$333:$F$365,"CLE",'Pointage BQ 24-25'!$C$333:$C$365))</f>
        <v>30</v>
      </c>
      <c r="N13" s="450">
        <f>-(SUMIF('Pointage BQ 24-25'!$F$367:$F$400,"CLE",'Pointage BQ 24-25'!$C$367:$C$400))</f>
        <v>150</v>
      </c>
      <c r="O13" s="152">
        <f t="shared" si="1"/>
        <v>704.74</v>
      </c>
      <c r="P13" s="151">
        <f>'Prévisionnel 24-25'!E13</f>
        <v>560</v>
      </c>
      <c r="Q13" s="249">
        <f t="shared" si="0"/>
        <v>-144.74</v>
      </c>
    </row>
    <row r="14" spans="1:17" ht="20" customHeight="1" x14ac:dyDescent="0.2">
      <c r="A14" s="530"/>
      <c r="B14" s="153" t="s">
        <v>827</v>
      </c>
      <c r="C14" s="464">
        <f>(SUMIF('Pointage BQ 24-25'!$F$2:$F$29,"CLE",'Pointage BQ 24-25'!$D$2:$D$29))</f>
        <v>0</v>
      </c>
      <c r="D14" s="464">
        <f>(SUMIF('Pointage BQ 24-25'!$F$31:$F$52,"CLE",'Pointage BQ 24-25'!$D$31:$D$52))</f>
        <v>0</v>
      </c>
      <c r="E14" s="464">
        <f>(SUMIF('Pointage BQ 24-25'!$F$54:$F$88,"CLE",'Pointage BQ 24-25'!$D$54:$D$88))</f>
        <v>0</v>
      </c>
      <c r="F14" s="464">
        <f>(SUMIF('Pointage BQ 24-25'!$F$90:$F$114,"CLE",'Pointage BQ 24-25'!$D$90:$D$114))</f>
        <v>0</v>
      </c>
      <c r="G14" s="464">
        <f>(SUMIF('Pointage BQ 24-25'!$F$116:$F$155,"CLE",'Pointage BQ 24-25'!$D$116:$D$155))</f>
        <v>0</v>
      </c>
      <c r="H14" s="464">
        <f>(SUMIF('Pointage BQ 24-25'!$F$157:$F$191,"CLE",'Pointage BQ 24-25'!$D$157:$D$191))</f>
        <v>0</v>
      </c>
      <c r="I14" s="464">
        <f>(SUMIF('Pointage BQ 24-25'!$F$193:$F$224,"CLE",'Pointage BQ 24-25'!$D$193:$D$224))</f>
        <v>0</v>
      </c>
      <c r="J14" s="464">
        <f>(SUMIF('Pointage BQ 24-25'!$F$226:$F$257,"CLE",'Pointage BQ 24-25'!$D$226:$D$257))</f>
        <v>10.38</v>
      </c>
      <c r="K14" s="464">
        <f>(SUMIF('Pointage BQ 24-25'!$F$259:$F$285,"CLE",'Pointage BQ 24-25'!$D$259:$D$285))</f>
        <v>129.5</v>
      </c>
      <c r="L14" s="464">
        <f>(SUMIF('Pointage BQ 24-25'!$F$287:$F$331,"CLE",'Pointage BQ 24-25'!$D$287:$D$331))</f>
        <v>70.81</v>
      </c>
      <c r="M14" s="464">
        <f>(SUMIF('Pointage BQ 24-25'!$F$333:$F$365,"CLE",'Pointage BQ 24-25'!$D$333:$D$365))</f>
        <v>0</v>
      </c>
      <c r="N14" s="464">
        <f>(SUMIF('Pointage BQ 24-25'!$F$367:$F$400,"CLE",'Pointage BQ 24-25'!$D$367:$D$400))</f>
        <v>0</v>
      </c>
      <c r="O14" s="465">
        <f t="shared" si="1"/>
        <v>210.69</v>
      </c>
      <c r="P14" s="464"/>
      <c r="Q14" s="466"/>
    </row>
    <row r="15" spans="1:17" ht="20" customHeight="1" x14ac:dyDescent="0.2">
      <c r="A15" s="471" t="s">
        <v>403</v>
      </c>
      <c r="B15" s="153" t="s">
        <v>159</v>
      </c>
      <c r="C15" s="450">
        <f>-(SUMIF('Pointage BQ 24-25'!$F$2:$F$29,"FOURN",'Pointage BQ 24-25'!$C$2:$C$29))</f>
        <v>0</v>
      </c>
      <c r="D15" s="450">
        <f>-(SUMIF('Pointage BQ 24-25'!$F$31:$F$52,"FOURN",'Pointage BQ 24-25'!$C$31:$C$52))</f>
        <v>0</v>
      </c>
      <c r="E15" s="450">
        <f>-(SUMIF('Pointage BQ 24-25'!$F$54:$F$88,"FOURN",'Pointage BQ 24-25'!$C$54:$C$88))</f>
        <v>25.2</v>
      </c>
      <c r="F15" s="450">
        <f>-(SUMIF('Pointage BQ 24-25'!$F$90:$F$114,"FOURN",'Pointage BQ 24-25'!$C$90:$C$114))</f>
        <v>0</v>
      </c>
      <c r="G15" s="450">
        <f>-(SUMIF('Pointage BQ 24-25'!$F$116:$F$155,"FOURN",'Pointage BQ 24-25'!$C$116:$C$155))</f>
        <v>59.36</v>
      </c>
      <c r="H15" s="450">
        <f>-(SUMIF('Pointage BQ 24-25'!$F$157:$F$191,"FOURN",'Pointage BQ 24-25'!$C$157:$C$191))</f>
        <v>148.13999999999999</v>
      </c>
      <c r="I15" s="450">
        <f>-(SUMIF('Pointage BQ 24-25'!$F$193:$F$224,"FOURN",'Pointage BQ 24-25'!$C$193:$C$224))</f>
        <v>47.64</v>
      </c>
      <c r="J15" s="450">
        <f>-(SUMIF('Pointage BQ 24-25'!$F$226:$F$257,"FOURN",'Pointage BQ 24-25'!$C$226:$C$257))</f>
        <v>304.59000000000003</v>
      </c>
      <c r="K15" s="450">
        <f>-(SUMIF('Pointage BQ 24-25'!$F$259:$F$285,"FOURN",'Pointage BQ 24-25'!$C$259:$C$285))</f>
        <v>0</v>
      </c>
      <c r="L15" s="450">
        <f>-(SUMIF('Pointage BQ 24-25'!$F$287:$F$331,"FOURN",'Pointage BQ 24-25'!$C$287:$C$331))</f>
        <v>48.15</v>
      </c>
      <c r="M15" s="450">
        <f>-(SUMIF('Pointage BQ 24-25'!$F$333:$F$365,"FOURN",'Pointage BQ 24-25'!$C$333:$C$365))</f>
        <v>38.1</v>
      </c>
      <c r="N15" s="450">
        <f>-(SUMIF('Pointage BQ 24-25'!$F$367:$F$400,"FOURN",'Pointage BQ 24-25'!$C$367:$C$400))</f>
        <v>164</v>
      </c>
      <c r="O15" s="152">
        <f t="shared" si="1"/>
        <v>835.18000000000006</v>
      </c>
      <c r="P15" s="151">
        <f>'Prévisionnel 24-25'!E14</f>
        <v>823.2</v>
      </c>
      <c r="Q15" s="249">
        <f t="shared" si="0"/>
        <v>-11.980000000000018</v>
      </c>
    </row>
    <row r="16" spans="1:17" ht="20" customHeight="1" x14ac:dyDescent="0.2">
      <c r="A16" s="157" t="s">
        <v>411</v>
      </c>
      <c r="B16" s="153" t="s">
        <v>216</v>
      </c>
      <c r="C16" s="450">
        <f>-(SUMIF('Pointage BQ 24-25'!$F$2:$F$29,"INFO MATOS",'Pointage BQ 24-25'!$C$2:$C$29))</f>
        <v>97.07</v>
      </c>
      <c r="D16" s="450">
        <f>-(SUMIF('Pointage BQ 24-25'!$F$31:$F$52,"INFO MATOS",'Pointage BQ 24-25'!$C$31:$C$52))</f>
        <v>0</v>
      </c>
      <c r="E16" s="450">
        <f>-(SUMIF('Pointage BQ 24-25'!$F$54:$F$88,"INFO MATOS",'Pointage BQ 24-25'!$C$54:$C$88))</f>
        <v>8723.0400000000009</v>
      </c>
      <c r="F16" s="450">
        <f>-(SUMIF('Pointage BQ 24-25'!$F$90:$F$114,"INFO MATOS",'Pointage BQ 24-25'!$C$90:$C$114))</f>
        <v>83.02</v>
      </c>
      <c r="G16" s="450">
        <f>-(SUMIF('Pointage BQ 24-25'!$F$116:$F$155,"INFO MATOS",'Pointage BQ 24-25'!$C$116:$C$155))</f>
        <v>83.02</v>
      </c>
      <c r="H16" s="450">
        <f>-(SUMIF('Pointage BQ 24-25'!$F$157:$F$191,"INFO MATOS",'Pointage BQ 24-25'!$C$157:$C$191))</f>
        <v>83.02</v>
      </c>
      <c r="I16" s="450">
        <f>-(SUMIF('Pointage BQ 24-25'!$F$193:$F$224,"INFO MATOS",'Pointage BQ 24-25'!$C$193:$C$224))</f>
        <v>0</v>
      </c>
      <c r="J16" s="450">
        <f>-(SUMIF('Pointage BQ 24-25'!$F$226:$F$257,"INFO MATOS",'Pointage BQ 24-25'!$C$226:$C$257))</f>
        <v>0</v>
      </c>
      <c r="K16" s="450">
        <f>-(SUMIF('Pointage BQ 24-25'!$F$259:$F$285,"INFO MATOS",'Pointage BQ 24-25'!$C$259:$C$285))</f>
        <v>0</v>
      </c>
      <c r="L16" s="450">
        <f>-(SUMIF('Pointage BQ 24-25'!$F$287:$F$331,"INFO MATOS",'Pointage BQ 24-25'!$C$287:$C$331))</f>
        <v>0</v>
      </c>
      <c r="M16" s="450">
        <f>-(SUMIF('Pointage BQ 24-25'!$F$333:$F$365,"INFO MATOS",'Pointage BQ 24-25'!$C$333:$C$365))</f>
        <v>0</v>
      </c>
      <c r="N16" s="450">
        <f>-(SUMIF('Pointage BQ 24-25'!$F$367:$F$400,"INFO MATOS",'Pointage BQ 24-25'!$C$367:$C$400))</f>
        <v>0</v>
      </c>
      <c r="O16" s="152">
        <f t="shared" si="1"/>
        <v>9069.1700000000019</v>
      </c>
      <c r="P16" s="151">
        <f>'Prévisionnel 24-25'!E16</f>
        <v>3120</v>
      </c>
      <c r="Q16" s="249">
        <f t="shared" si="0"/>
        <v>-5949.1700000000019</v>
      </c>
    </row>
    <row r="17" spans="1:17" ht="20" customHeight="1" x14ac:dyDescent="0.2">
      <c r="A17" s="157" t="s">
        <v>265</v>
      </c>
      <c r="B17" s="153" t="s">
        <v>25</v>
      </c>
      <c r="C17" s="450">
        <f>-(SUMIF('Pointage BQ 24-25'!$F$2:$F$29,"RESTO",'Pointage BQ 24-25'!$C$2:$C$29))</f>
        <v>91.97</v>
      </c>
      <c r="D17" s="450">
        <f>-(SUMIF('Pointage BQ 24-25'!$F$31:$F$52,"RESTO",'Pointage BQ 24-25'!$C$31:$C$52))</f>
        <v>0</v>
      </c>
      <c r="E17" s="450">
        <f>-(SUMIF('Pointage BQ 24-25'!$F$54:$F$88,"RESTO",'Pointage BQ 24-25'!$C$54:$C$88))</f>
        <v>110.88</v>
      </c>
      <c r="F17" s="450">
        <f>-(SUMIF('Pointage BQ 24-25'!$F$90:$F$114,"RESTO",'Pointage BQ 24-25'!$C$90:$C$114))</f>
        <v>55.1</v>
      </c>
      <c r="G17" s="450">
        <f>-(SUMIF('Pointage BQ 24-25'!$F$116:$F$155,"RESTO",'Pointage BQ 24-25'!$C$116:$C$155))</f>
        <v>93.6</v>
      </c>
      <c r="H17" s="450">
        <f>-(SUMIF('Pointage BQ 24-25'!$F$157:$F$191,"RESTO",'Pointage BQ 24-25'!$C$157:$C$191))</f>
        <v>162.05000000000001</v>
      </c>
      <c r="I17" s="450">
        <f>-(SUMIF('Pointage BQ 24-25'!$F$193:$F$224,"RESTO",'Pointage BQ 24-25'!$C$193:$C$224))</f>
        <v>158.51</v>
      </c>
      <c r="J17" s="450">
        <f>-(SUMIF('Pointage BQ 24-25'!$F$226:$F$257,"RESTO",'Pointage BQ 24-25'!$C$226:$C$257))</f>
        <v>47.5</v>
      </c>
      <c r="K17" s="450">
        <f>-(SUMIF('Pointage BQ 24-25'!$F$259:$F$285,"RESTO",'Pointage BQ 24-25'!$C$259:$C$285))</f>
        <v>19</v>
      </c>
      <c r="L17" s="450">
        <f>-(SUMIF('Pointage BQ 24-25'!$F$287:$F$331,"RESTO",'Pointage BQ 24-25'!$C$287:$C$331))</f>
        <v>220.31</v>
      </c>
      <c r="M17" s="450">
        <f>-(SUMIF('Pointage BQ 24-25'!$F$333:$F$365,"RESTO",'Pointage BQ 24-25'!$C$333:$C$365))</f>
        <v>69.2</v>
      </c>
      <c r="N17" s="450">
        <f>-(SUMIF('Pointage BQ 24-25'!$F$367:$F$400,"RESTO",'Pointage BQ 24-25'!$C$367:$C$400))</f>
        <v>145.30000000000001</v>
      </c>
      <c r="O17" s="152">
        <f t="shared" si="1"/>
        <v>1173.4199999999998</v>
      </c>
      <c r="P17" s="151">
        <f>'Prévisionnel 24-25'!E18</f>
        <v>1080</v>
      </c>
      <c r="Q17" s="249">
        <f t="shared" si="0"/>
        <v>-93.419999999999845</v>
      </c>
    </row>
    <row r="18" spans="1:17" ht="20" customHeight="1" x14ac:dyDescent="0.2">
      <c r="A18" s="157" t="s">
        <v>404</v>
      </c>
      <c r="B18" s="153" t="s">
        <v>26</v>
      </c>
      <c r="C18" s="450">
        <f>-(SUMIF('Pointage BQ 24-25'!$F$2:$F$29,"POSTE",'Pointage BQ 24-25'!$C$2:$C$29))</f>
        <v>0</v>
      </c>
      <c r="D18" s="450">
        <f>-(SUMIF('Pointage BQ 24-25'!$F$31:$F$52,"POSTE",'Pointage BQ 24-25'!$C$31:$C$52))</f>
        <v>0</v>
      </c>
      <c r="E18" s="450">
        <f>-(SUMIF('Pointage BQ 24-25'!$F$54:$F$88,"POSTE",'Pointage BQ 24-25'!$C$54:$C$88))</f>
        <v>0</v>
      </c>
      <c r="F18" s="450">
        <f>-(SUMIF('Pointage BQ 24-25'!$F$90:$F$114,"POSTE",'Pointage BQ 24-25'!$C$90:$C$114))</f>
        <v>0</v>
      </c>
      <c r="G18" s="450">
        <f>-(SUMIF('Pointage BQ 24-25'!$F$116:$F$155,"POSTE",'Pointage BQ 24-25'!$C$116:$C$155))</f>
        <v>0</v>
      </c>
      <c r="H18" s="450">
        <f>-(SUMIF('Pointage BQ 24-25'!$F$157:$F$191,"POSTE",'Pointage BQ 24-25'!$C$157:$C$191))</f>
        <v>0</v>
      </c>
      <c r="I18" s="450">
        <f>-(SUMIF('Pointage BQ 24-25'!$F$193:$F$224,"POSTE",'Pointage BQ 24-25'!$C$193:$C$224))</f>
        <v>0</v>
      </c>
      <c r="J18" s="450">
        <f>-(SUMIF('Pointage BQ 24-25'!$F$226:$F$257,"POSTE",'Pointage BQ 24-25'!$C$226:$C$257))</f>
        <v>0</v>
      </c>
      <c r="K18" s="450">
        <f>-(SUMIF('Pointage BQ 24-25'!$F$259:$F$285,"POSTE",'Pointage BQ 24-25'!$C$259:$C$285))</f>
        <v>0</v>
      </c>
      <c r="L18" s="450">
        <f>-(SUMIF('Pointage BQ 24-25'!$F$287:$F$331,"POSTE",'Pointage BQ 24-25'!$C$231:$C$287))</f>
        <v>0</v>
      </c>
      <c r="M18" s="450">
        <f>-(SUMIF('Pointage BQ 24-25'!$F$333:$F$365,"POSTE",'Pointage BQ 24-25'!$C$333:$C$365))</f>
        <v>27.26</v>
      </c>
      <c r="N18" s="450">
        <f>-(SUMIF('Pointage BQ 24-25'!$F$367:$F$400,"POSTE",'Pointage BQ 24-25'!$C$367:$C$400))</f>
        <v>0</v>
      </c>
      <c r="O18" s="152">
        <f t="shared" si="1"/>
        <v>27.26</v>
      </c>
      <c r="P18" s="151">
        <f>'Prévisionnel 24-25'!E19</f>
        <v>60</v>
      </c>
      <c r="Q18" s="249">
        <f t="shared" si="0"/>
        <v>32.739999999999995</v>
      </c>
    </row>
    <row r="19" spans="1:17" ht="20" customHeight="1" x14ac:dyDescent="0.2">
      <c r="A19" s="157" t="s">
        <v>264</v>
      </c>
      <c r="B19" s="153" t="s">
        <v>27</v>
      </c>
      <c r="C19" s="450">
        <f>-(SUMIF('Pointage BQ 24-25'!$F$2:$F$29,"FBQ",'Pointage BQ 24-25'!$C$2:$C$29))</f>
        <v>44.6</v>
      </c>
      <c r="D19" s="450">
        <f>-(SUMIF('Pointage BQ 24-25'!$F$31:$F$52,"FBQ",'Pointage BQ 24-25'!$C$31:$C$52))</f>
        <v>44.39</v>
      </c>
      <c r="E19" s="450">
        <f>-(SUMIF('Pointage BQ 24-25'!$F$54:$F$88,"FBQ",'Pointage BQ 24-25'!$C$54:$C$88))</f>
        <v>44.81</v>
      </c>
      <c r="F19" s="450">
        <f>-(SUMIF('Pointage BQ 24-25'!$F$90:$F$114,"FBQ",'Pointage BQ 24-25'!$C$90:$C$114))</f>
        <v>50.39</v>
      </c>
      <c r="G19" s="450">
        <f>-(SUMIF('Pointage BQ 24-25'!$F$116:$F$155,"FBQ",'Pointage BQ 24-25'!$C$116:$C$155))</f>
        <v>45.02</v>
      </c>
      <c r="H19" s="450">
        <f>-(SUMIF('Pointage BQ 24-25'!$F$157:$F$191,"FBQ",'Pointage BQ 24-25'!$C$157:$C$191))</f>
        <v>45.02</v>
      </c>
      <c r="I19" s="450">
        <f>-(SUMIF('Pointage BQ 24-25'!$F$193:$F$224,"FBQ",'Pointage BQ 24-25'!$C$193:$C$224))</f>
        <v>45.59</v>
      </c>
      <c r="J19" s="450">
        <f>-(SUMIF('Pointage BQ 24-25'!$F$226:$F$257,"FBQ",'Pointage BQ 24-25'!$C$226:$C$257))</f>
        <v>47.72</v>
      </c>
      <c r="K19" s="450">
        <f>-(SUMIF('Pointage BQ 24-25'!$F$259:$F$285,"FBQ",'Pointage BQ 24-25'!$C$259:$C$285))</f>
        <v>45.59</v>
      </c>
      <c r="L19" s="450">
        <f>-(SUMIF('Pointage BQ 24-25'!$F$287:$F$331,"FBQ",'Pointage BQ 24-25'!$C$287:$C$331))</f>
        <v>45.17</v>
      </c>
      <c r="M19" s="450">
        <f>-(SUMIF('Pointage BQ 24-25'!$F$333:$F$365,"FBQ",'Pointage BQ 24-25'!$C$333:$C$365))</f>
        <v>46.01</v>
      </c>
      <c r="N19" s="450">
        <f>-(SUMIF('Pointage BQ 24-25'!$F$367:$F$400,"FBQ",'Pointage BQ 24-25'!$C$367:$C$400))</f>
        <v>145.16999999999999</v>
      </c>
      <c r="O19" s="152">
        <f>SUM(C19:N19)</f>
        <v>649.48000000000013</v>
      </c>
      <c r="P19" s="151">
        <f>'Prévisionnel 24-25'!E20</f>
        <v>627.6</v>
      </c>
      <c r="Q19" s="249">
        <f t="shared" si="0"/>
        <v>-21.880000000000109</v>
      </c>
    </row>
    <row r="20" spans="1:17" ht="20" customHeight="1" x14ac:dyDescent="0.2">
      <c r="A20" s="157" t="s">
        <v>405</v>
      </c>
      <c r="B20" s="153" t="s">
        <v>28</v>
      </c>
      <c r="C20" s="450">
        <f>-(SUMIF('Pointage BQ 24-25'!$F$2:$F$29,"SITE",'Pointage BQ 24-25'!$C$2:$C$29))</f>
        <v>0</v>
      </c>
      <c r="D20" s="450">
        <f>-(SUMIF('Pointage BQ 24-25'!$F$31:$F$52,"SITE",'Pointage BQ 24-25'!$C$31:$C$52))</f>
        <v>0</v>
      </c>
      <c r="E20" s="450">
        <f>-(SUMIF('Pointage BQ 24-25'!$F$54:$F$88,"SITE",'Pointage BQ 24-25'!$C$54:$C$88))</f>
        <v>0</v>
      </c>
      <c r="F20" s="450">
        <f>-(SUMIF('Pointage BQ 24-25'!$F$90:$F$114,"SITE",'Pointage BQ 24-25'!$C$90:$C$114))</f>
        <v>0</v>
      </c>
      <c r="G20" s="450">
        <f>-(SUMIF('Pointage BQ 24-25'!$F$116:$F$155,"SITE",'Pointage BQ 24-25'!$C$116:$C$155))</f>
        <v>246.83</v>
      </c>
      <c r="H20" s="450">
        <f>-(SUMIF('Pointage BQ 24-25'!$F$157:$F$191,"SITE",'Pointage BQ 24-25'!$C$157:$C$191))</f>
        <v>0</v>
      </c>
      <c r="I20" s="450">
        <f>-(SUMIF('Pointage BQ 24-25'!$F$193:$F$224,"SITE",'Pointage BQ 24-25'!$C$193:$C$224))</f>
        <v>139.97999999999999</v>
      </c>
      <c r="J20" s="450">
        <f>-(SUMIF('Pointage BQ 24-25'!$F$226:$F$257,"SITE",'Pointage BQ 24-25'!$C$226:$C$257))</f>
        <v>132</v>
      </c>
      <c r="K20" s="450">
        <f>-(SUMIF('Pointage BQ 24-25'!$F$259:$F$285,"SITE",'Pointage BQ 24-25'!$C$259:$C$285))</f>
        <v>45.9</v>
      </c>
      <c r="L20" s="450">
        <f>-(SUMIF('Pointage BQ 24-25'!$F$287:$F$331,"SITE",'Pointage BQ 24-25'!$C$287:$C$331))</f>
        <v>0</v>
      </c>
      <c r="M20" s="450">
        <f>-(SUMIF('Pointage BQ 24-25'!$F$333:$F$365,"SITE",'Pointage BQ 24-25'!$C$333:$C$365))</f>
        <v>0</v>
      </c>
      <c r="N20" s="450">
        <f>-(SUMIF('Pointage BQ 24-25'!$F$367:$F$400,"SITE",'Pointage BQ 24-25'!$C$367:$C$400))</f>
        <v>23.94</v>
      </c>
      <c r="O20" s="152">
        <f t="shared" si="1"/>
        <v>588.65</v>
      </c>
      <c r="P20" s="151">
        <f>'Prévisionnel 24-25'!E21</f>
        <v>720</v>
      </c>
      <c r="Q20" s="249">
        <f t="shared" si="0"/>
        <v>131.35000000000002</v>
      </c>
    </row>
    <row r="21" spans="1:17" ht="20" customHeight="1" x14ac:dyDescent="0.2">
      <c r="A21" s="157" t="s">
        <v>273</v>
      </c>
      <c r="B21" s="153" t="s">
        <v>29</v>
      </c>
      <c r="C21" s="450">
        <f>-(SUMIF('Pointage BQ 24-25'!$F$2:$F$29,"TEL",'Pointage BQ 24-25'!$C$2:$C$29))</f>
        <v>42</v>
      </c>
      <c r="D21" s="450">
        <f>-(SUMIF('Pointage BQ 24-25'!$F$31:$F$52,"TEL",'Pointage BQ 24-25'!$C$31:$C$52))</f>
        <v>42</v>
      </c>
      <c r="E21" s="450">
        <f>-(SUMIF('Pointage BQ 24-25'!$F$54:$F$88,"TEL",'Pointage BQ 24-25'!$C$54:$C$88))</f>
        <v>42</v>
      </c>
      <c r="F21" s="450">
        <f>-(SUMIF('Pointage BQ 24-25'!$F$90:$F$114,"TEL",'Pointage BQ 24-25'!$C$90:$C$114))</f>
        <v>42</v>
      </c>
      <c r="G21" s="450">
        <f>-(SUMIF('Pointage BQ 24-25'!$F$116:$F$155,"TEL",'Pointage BQ 24-25'!$C$116:$C$155))</f>
        <v>0</v>
      </c>
      <c r="H21" s="450">
        <f>-(SUMIF('Pointage BQ 24-25'!$F$157:$F$191,"TEL",'Pointage BQ 24-25'!$C$157:$C$191))</f>
        <v>17.079999999999998</v>
      </c>
      <c r="I21" s="450">
        <f>-(SUMIF('Pointage BQ 24-25'!$F$193:$F$224,"TEL",'Pointage BQ 24-25'!$C$193:$C$224))</f>
        <v>44.4</v>
      </c>
      <c r="J21" s="450">
        <f>-(SUMIF('Pointage BQ 24-25'!$F$226:$F$257,"TEL",'Pointage BQ 24-25'!$C$226:$C$257))</f>
        <v>44.4</v>
      </c>
      <c r="K21" s="450">
        <f>-(SUMIF('Pointage BQ 24-25'!$F$259:$F$285,"TEL",'Pointage BQ 24-25'!$C$259:$C$285))</f>
        <v>44.4</v>
      </c>
      <c r="L21" s="450">
        <f>-(SUMIF('Pointage BQ 24-25'!$F$287:$F$331,"TEL",'Pointage BQ 24-25'!$C$287:$C$331))</f>
        <v>0</v>
      </c>
      <c r="M21" s="450">
        <f>-(SUMIF('Pointage BQ 24-25'!$F$333:$F$365,"TEL",'Pointage BQ 24-25'!$C$333:$C$365))</f>
        <v>0</v>
      </c>
      <c r="N21" s="450">
        <f>-(SUMIF('Pointage BQ 24-25'!$F$367:$F$400,"TEL",'Pointage BQ 24-25'!$C$367:$C$400))</f>
        <v>1.2</v>
      </c>
      <c r="O21" s="152">
        <f t="shared" si="1"/>
        <v>319.47999999999996</v>
      </c>
      <c r="P21" s="151">
        <f>'Prévisionnel 24-25'!E22</f>
        <v>576</v>
      </c>
      <c r="Q21" s="249">
        <f t="shared" si="0"/>
        <v>256.52000000000004</v>
      </c>
    </row>
    <row r="22" spans="1:17" ht="20" customHeight="1" x14ac:dyDescent="0.2">
      <c r="A22" s="157" t="s">
        <v>257</v>
      </c>
      <c r="B22" s="153" t="s">
        <v>30</v>
      </c>
      <c r="C22" s="450">
        <f>-(SUMIF('Pointage BQ 24-25'!$F$2:$F$29,"COMPTA",'Pointage BQ 24-25'!$C$2:$C$29))</f>
        <v>196.5</v>
      </c>
      <c r="D22" s="450">
        <f>-(SUMIF('Pointage BQ 24-25'!$F$31:$F$52,"COMPTA",'Pointage BQ 24-25'!$C$31:$C$52))</f>
        <v>196.5</v>
      </c>
      <c r="E22" s="450">
        <f>-(SUMIF('Pointage BQ 24-25'!$F$54:$F$88,"COMPTA",'Pointage BQ 24-25'!$C$54:$C$88))</f>
        <v>196.5</v>
      </c>
      <c r="F22" s="450">
        <f>-(SUMIF('Pointage BQ 24-25'!$F$90:$F$114,"COMPTA",'Pointage BQ 24-25'!$C$90:$C$114))</f>
        <v>196.5</v>
      </c>
      <c r="G22" s="450">
        <f>-(SUMIF('Pointage BQ 24-25'!$F$116:$F$155,"COMPTA",'Pointage BQ 24-25'!$C$116:$C$155))</f>
        <v>316.5</v>
      </c>
      <c r="H22" s="450">
        <f>-(SUMIF('Pointage BQ 24-25'!$F$157:$F$191,"COMPTA",'Pointage BQ 24-25'!$C$157:$C$191))</f>
        <v>478.16999999999996</v>
      </c>
      <c r="I22" s="450">
        <f>-(SUMIF('Pointage BQ 24-25'!$F$193:$F$224,"COMPTA",'Pointage BQ 24-25'!$C$193:$C$224))</f>
        <v>196.5</v>
      </c>
      <c r="J22" s="450">
        <f>-(SUMIF('Pointage BQ 24-25'!$F$226:$F$257,"COMPTA",'Pointage BQ 24-25'!$C$226:$C$257))</f>
        <v>196.5</v>
      </c>
      <c r="K22" s="450">
        <f>-(SUMIF('Pointage BQ 24-25'!$F$259:$F$285,"COMPTA",'Pointage BQ 24-25'!$C$259:$C$285))</f>
        <v>196.5</v>
      </c>
      <c r="L22" s="450">
        <f>-(SUMIF('Pointage BQ 24-25'!$F$287:$F$331,"COMPTA",'Pointage BQ 24-25'!$C$287:$C$331))</f>
        <v>196.5</v>
      </c>
      <c r="M22" s="450">
        <f>-(SUMIF('Pointage BQ 24-25'!$F$333:$F$365,"COMPTA",'Pointage BQ 24-25'!$C$333:$C$365))</f>
        <v>196.5</v>
      </c>
      <c r="N22" s="450">
        <f>-(SUMIF('Pointage BQ 24-25'!$F$367:$F$400,"COMPTA",'Pointage BQ 24-25'!$C$367:$C$400))</f>
        <v>196.5</v>
      </c>
      <c r="O22" s="152">
        <f t="shared" si="1"/>
        <v>2759.67</v>
      </c>
      <c r="P22" s="151">
        <f>'Prévisionnel 24-25'!E23</f>
        <v>2640</v>
      </c>
      <c r="Q22" s="249">
        <f t="shared" si="0"/>
        <v>-119.67000000000007</v>
      </c>
    </row>
    <row r="23" spans="1:17" ht="20" customHeight="1" x14ac:dyDescent="0.2">
      <c r="A23" s="157" t="s">
        <v>35</v>
      </c>
      <c r="B23" s="165" t="s">
        <v>35</v>
      </c>
      <c r="C23" s="450">
        <f>-(SUMIF('Pointage BQ 24-25'!$F$2:$F$29,"IS",'Pointage BQ 24-25'!$C$2:$C$29))</f>
        <v>0</v>
      </c>
      <c r="D23" s="450">
        <f>-(SUMIF('Pointage BQ 24-25'!$F$31:$F$52,"IS",'Pointage BQ 24-25'!$C$31:$C$52))</f>
        <v>0</v>
      </c>
      <c r="E23" s="450">
        <f>-(SUMIF('Pointage BQ 24-25'!$F$54:$F$88,"IS",'Pointage BQ 24-25'!$C$54:$C$88))</f>
        <v>0</v>
      </c>
      <c r="F23" s="450">
        <f>-(SUMIF('Pointage BQ 24-25'!$F$90:$F$114,"IS",'Pointage BQ 24-25'!$C$90:$C$114))</f>
        <v>1831</v>
      </c>
      <c r="G23" s="450">
        <f>-(SUMIF('Pointage BQ 24-25'!$F$116:$F$155,"IS",'Pointage BQ 24-25'!$C$116:$C$155))</f>
        <v>0</v>
      </c>
      <c r="H23" s="450">
        <f>-(SUMIF('Pointage BQ 24-25'!$F$157:$F$191,"IS",'Pointage BQ 24-25'!$C$157:$C$191))</f>
        <v>0</v>
      </c>
      <c r="I23" s="450">
        <f>-(SUMIF('Pointage BQ 24-25'!$F$193:$F$224,"IS",'Pointage BQ 24-25'!$C$193:$C$224))</f>
        <v>0</v>
      </c>
      <c r="J23" s="450">
        <f>-(SUMIF('Pointage BQ 24-25'!$F$226:$F$257,"IS",'Pointage BQ 24-25'!$C$226:$C$257))</f>
        <v>0</v>
      </c>
      <c r="K23" s="450">
        <f>-(SUMIF('Pointage BQ 24-25'!$F$259:$F$285,"IS",'Pointage BQ 24-25'!$C$259:$C$285))</f>
        <v>0</v>
      </c>
      <c r="L23" s="450">
        <f>-(SUMIF('Pointage BQ 24-25'!$F$287:$F$331,"IS",'Pointage BQ 24-25'!$C$287:$C$331))</f>
        <v>0</v>
      </c>
      <c r="M23" s="450">
        <f>-(SUMIF('Pointage BQ 24-25'!$F$333:$F$365,"IS",'Pointage BQ 24-25'!$C$333:$C$365))</f>
        <v>0</v>
      </c>
      <c r="N23" s="450">
        <f>-(SUMIF('Pointage BQ 24-25'!$F$367:$F$400,"IS",'Pointage BQ 24-25'!$C$367:$C$400))</f>
        <v>0</v>
      </c>
      <c r="O23" s="152">
        <f t="shared" si="1"/>
        <v>1831</v>
      </c>
      <c r="P23" s="151">
        <f>'Prévisionnel 24-25'!E24</f>
        <v>1831</v>
      </c>
      <c r="Q23" s="249">
        <f t="shared" si="0"/>
        <v>0</v>
      </c>
    </row>
    <row r="24" spans="1:17" ht="20" customHeight="1" x14ac:dyDescent="0.2">
      <c r="A24" s="157" t="s">
        <v>1</v>
      </c>
      <c r="B24" s="424" t="s">
        <v>1</v>
      </c>
      <c r="C24" s="450">
        <f>-(SUMIF('Pointage BQ 24-25'!$F$2:$F$29,"TVA",'Pointage BQ 24-25'!$C$2:$C$29))</f>
        <v>1081</v>
      </c>
      <c r="D24" s="450">
        <f>-(SUMIF('Pointage BQ 24-25'!$F$31:$F$52,"TVA",'Pointage BQ 24-25'!$C$31:$C$52))</f>
        <v>865</v>
      </c>
      <c r="E24" s="450">
        <f>-(SUMIF('Pointage BQ 24-25'!$F$54:$F$88,"TVA",'Pointage BQ 24-25'!$C$54:$C$88))</f>
        <v>495</v>
      </c>
      <c r="F24" s="450">
        <f>-(SUMIF('Pointage BQ 24-25'!$F$90:$F$114,"TVA",'Pointage BQ 24-25'!$C$90:$C$114))</f>
        <v>0</v>
      </c>
      <c r="G24" s="450">
        <f>-(SUMIF('Pointage BQ 24-25'!$F$116:$F$155,"TVA",'Pointage BQ 24-25'!$C$116:$C$155))</f>
        <v>252</v>
      </c>
      <c r="H24" s="450">
        <f>-(SUMIF('Pointage BQ 24-25'!$F$157:$F$191,"TVA",'Pointage BQ 24-25'!$C$157:$C$191))</f>
        <v>3379</v>
      </c>
      <c r="I24" s="450">
        <f>-(SUMIF('Pointage BQ 24-25'!$F$193:$F$224,"TVA",'Pointage BQ 24-25'!$C$193:$C$224))</f>
        <v>469</v>
      </c>
      <c r="J24" s="450">
        <f>-(SUMIF('Pointage BQ 24-25'!$F$226:$F$257,"TVA",'Pointage BQ 24-25'!$C$226:$C$257))</f>
        <v>385</v>
      </c>
      <c r="K24" s="450">
        <f>-(SUMIF('Pointage BQ 24-25'!$F$259:$F$285,"TVA",'Pointage BQ 24-25'!$C$259:$C$285))</f>
        <v>0</v>
      </c>
      <c r="L24" s="450">
        <f>-(SUMIF('Pointage BQ 24-25'!$F$287:$F$331,"TVA",'Pointage BQ 24-25'!$C$287:$C$331))</f>
        <v>877</v>
      </c>
      <c r="M24" s="450">
        <f>-(SUMIF('Pointage BQ 24-25'!$F$333:$F$365,"TVA",'Pointage BQ 24-25'!$C$333:$C$365))</f>
        <v>542</v>
      </c>
      <c r="N24" s="450">
        <f>-(SUMIF('Pointage BQ 24-25'!$F$367:$F$400,"TVA",'Pointage BQ 24-25'!$C$367:$C$400))</f>
        <v>2142</v>
      </c>
      <c r="O24" s="152">
        <f t="shared" ref="O24" si="2">SUM(C24:N24)</f>
        <v>10487</v>
      </c>
      <c r="P24" s="151">
        <f>'Prévisionnel 24-25'!E25</f>
        <v>0</v>
      </c>
      <c r="Q24" s="249">
        <f t="shared" ref="Q24" si="3">P24-O24</f>
        <v>-10487</v>
      </c>
    </row>
    <row r="25" spans="1:17" ht="20" customHeight="1" x14ac:dyDescent="0.2">
      <c r="A25" s="157" t="s">
        <v>274</v>
      </c>
      <c r="B25" s="153" t="s">
        <v>33</v>
      </c>
      <c r="C25" s="450">
        <f>-(SUMIF('Pointage BQ 24-25'!$F$2:$F$29,"SST",'Pointage BQ 24-25'!$C$2:$C$29))</f>
        <v>0</v>
      </c>
      <c r="D25" s="450">
        <f>-(SUMIF('Pointage BQ 24-25'!$F$31:$F$52,"SST",'Pointage BQ 24-25'!$C$31:$C$52))</f>
        <v>500</v>
      </c>
      <c r="E25" s="450">
        <f>-(SUMIF('Pointage BQ 24-25'!$F$54:$F$88,"SST",'Pointage BQ 24-25'!$C$54:$C$88))</f>
        <v>0</v>
      </c>
      <c r="F25" s="450">
        <f>-(SUMIF('Pointage BQ 24-25'!$F$90:$F$114,"SST",'Pointage BQ 24-25'!$C$90:$C$114))</f>
        <v>960</v>
      </c>
      <c r="G25" s="450">
        <f>-(SUMIF('Pointage BQ 24-25'!$F$116:$F$155,"SST",'Pointage BQ 24-25'!$C$116:$C$155))</f>
        <v>605</v>
      </c>
      <c r="H25" s="450">
        <f>-(SUMIF('Pointage BQ 24-25'!$F$157:$F$191,"SST",'Pointage BQ 24-25'!$C$157:$C$191))</f>
        <v>2950</v>
      </c>
      <c r="I25" s="450">
        <f>-(SUMIF('Pointage BQ 24-25'!$F$193:$F$224,"SST",'Pointage BQ 24-25'!$C$193:$C$224))</f>
        <v>0</v>
      </c>
      <c r="J25" s="450">
        <f>-(SUMIF('Pointage BQ 24-25'!$F$226:$F$257,"SST",'Pointage BQ 24-25'!$C$226:$C$257))</f>
        <v>0</v>
      </c>
      <c r="K25" s="450">
        <f>-(SUMIF('Pointage BQ 24-25'!$F$259:$F$285,"SST",'Pointage BQ 24-25'!$C$259:$C$285))</f>
        <v>2400</v>
      </c>
      <c r="L25" s="450">
        <f>-(SUMIF('Pointage BQ 24-25'!$F$287:$F$331,"SST",'Pointage BQ 24-25'!$C$287:$C$331))</f>
        <v>6470</v>
      </c>
      <c r="M25" s="450">
        <f>-(SUMIF('Pointage BQ 24-25'!$F$333:$F$365,"SST",'Pointage BQ 24-25'!$C$333:$C$365))</f>
        <v>1250</v>
      </c>
      <c r="N25" s="450">
        <f>-(SUMIF('Pointage BQ 24-25'!$F$367:$F$400,"SST",'Pointage BQ 24-25'!$C$367:$C$400))</f>
        <v>1550</v>
      </c>
      <c r="O25" s="152">
        <f t="shared" si="1"/>
        <v>16685</v>
      </c>
      <c r="P25" s="151">
        <f>'Prévisionnel 24-25'!E26</f>
        <v>14400</v>
      </c>
      <c r="Q25" s="249">
        <f t="shared" si="0"/>
        <v>-2285</v>
      </c>
    </row>
    <row r="26" spans="1:17" ht="20" customHeight="1" x14ac:dyDescent="0.2">
      <c r="A26" s="157"/>
      <c r="B26" s="456" t="s">
        <v>32</v>
      </c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2">
        <f t="shared" si="1"/>
        <v>0</v>
      </c>
      <c r="P26" s="328"/>
      <c r="Q26" s="249">
        <f t="shared" si="0"/>
        <v>0</v>
      </c>
    </row>
    <row r="27" spans="1:17" ht="20" customHeight="1" x14ac:dyDescent="0.2">
      <c r="A27" s="157" t="s">
        <v>34</v>
      </c>
      <c r="B27" s="165" t="s">
        <v>34</v>
      </c>
      <c r="C27" s="450">
        <f>-(SUMIF('Pointage BQ 24-25'!$F$2:$F$29,"CESU",'Pointage BQ 24-25'!$C$2:$C$29))</f>
        <v>0</v>
      </c>
      <c r="D27" s="450">
        <f>-(SUMIF('Pointage BQ 24-25'!$F$31:$F$52,"CESU",'Pointage BQ 24-25'!$C$31:$C$52))</f>
        <v>0</v>
      </c>
      <c r="E27" s="450">
        <f>-(SUMIF('Pointage BQ 24-25'!$F$54:$F$88,"CESU",'Pointage BQ 24-25'!$C$54:$C$88))</f>
        <v>0</v>
      </c>
      <c r="F27" s="450">
        <f>-(SUMIF('Pointage BQ 24-25'!$F$90:$F$114,"CESU",'Pointage BQ 24-25'!$C$90:$C$114))</f>
        <v>436</v>
      </c>
      <c r="G27" s="450">
        <f>-(SUMIF('Pointage BQ 24-25'!$F$116:$F$155,"CESU",'Pointage BQ 24-25'!$C$116:$C$155))</f>
        <v>486</v>
      </c>
      <c r="H27" s="450">
        <f>-(SUMIF('Pointage BQ 24-25'!$F$157:$F$191,"CESU",'Pointage BQ 24-25'!$C$157:$C$191))</f>
        <v>0</v>
      </c>
      <c r="I27" s="450">
        <f>-(SUMIF('Pointage BQ 24-25'!$F$193:$F$224,"CESU",'Pointage BQ 24-25'!$C$193:$C$224))</f>
        <v>0</v>
      </c>
      <c r="J27" s="450">
        <f>-(SUMIF('Pointage BQ 24-25'!$F$226:$F$257,"CESU",'Pointage BQ 24-25'!$C$226:$C$257))</f>
        <v>1633.8</v>
      </c>
      <c r="K27" s="450">
        <f>-(SUMIF('Pointage BQ 24-25'!$F$259:$F$285,"CESU",'Pointage BQ 24-25'!$C$259:$C$285))</f>
        <v>0</v>
      </c>
      <c r="L27" s="450">
        <f>-(SUMIF('Pointage BQ 24-25'!$F$287:$F$331,"CESU",'Pointage BQ 24-25'!$C$287:$C$331))</f>
        <v>0</v>
      </c>
      <c r="M27" s="450">
        <f>-(SUMIF('Pointage BQ 24-25'!$F$333:$F$365,"CESU",'Pointage BQ 24-25'!$C$333:$C$365))</f>
        <v>0</v>
      </c>
      <c r="N27" s="450">
        <f>-(SUMIF('Pointage BQ 24-25'!$F$367:$F$400,"CESU",'Pointage BQ 24-25'!$C$367:$C$400))</f>
        <v>0</v>
      </c>
      <c r="O27" s="152">
        <f t="shared" si="1"/>
        <v>2555.8000000000002</v>
      </c>
      <c r="P27" s="151">
        <f>'Prévisionnel 24-25'!E27</f>
        <v>2600</v>
      </c>
      <c r="Q27" s="249">
        <f t="shared" si="0"/>
        <v>44.199999999999818</v>
      </c>
    </row>
    <row r="28" spans="1:17" ht="20" customHeight="1" x14ac:dyDescent="0.2">
      <c r="A28" s="157" t="s">
        <v>492</v>
      </c>
      <c r="B28" s="153" t="s">
        <v>85</v>
      </c>
      <c r="C28" s="450">
        <f>-(SUMIF('Pointage BQ 24-25'!$F$2:$F$29,"ARCHICAD",'Pointage BQ 24-25'!$C$2:$C$29))</f>
        <v>0</v>
      </c>
      <c r="D28" s="450">
        <f>-(SUMIF('Pointage BQ 24-25'!$F$31:$F$52,"ARCHICAD",'Pointage BQ 24-25'!$C$31:$C$52))</f>
        <v>0</v>
      </c>
      <c r="E28" s="450">
        <f>-(SUMIF('Pointage BQ 24-25'!$F$54:$F$88,"ARCHICAD",'Pointage BQ 24-25'!$C$54:$C$88))</f>
        <v>0</v>
      </c>
      <c r="F28" s="450">
        <f>-(SUMIF('Pointage BQ 24-25'!$F$90:$F$114,"ARCHICAD",'Pointage BQ 24-25'!$C$90:$C$114))</f>
        <v>0</v>
      </c>
      <c r="G28" s="450">
        <f>-(SUMIF('Pointage BQ 24-25'!$F$116:$F$155,"ARCHICAD",'Pointage BQ 24-25'!$C$116:$C$155))</f>
        <v>0</v>
      </c>
      <c r="H28" s="450">
        <f>-(SUMIF('Pointage BQ 24-25'!$F$157:$F$191,"ARCHICAD",'Pointage BQ 24-25'!$C$157:$C$191))</f>
        <v>2652.8</v>
      </c>
      <c r="I28" s="450">
        <f>-(SUMIF('Pointage BQ 24-25'!$F$191:$F$224,"ARCHICAD",'Pointage BQ 24-25'!$C$191:$C$224))</f>
        <v>0</v>
      </c>
      <c r="J28" s="450">
        <f>-(SUMIF('Pointage BQ 24-25'!$F$191:$F$226,"ARCHICAD",'Pointage BQ 24-25'!$C$191:$C$226))</f>
        <v>0</v>
      </c>
      <c r="K28" s="450">
        <f>-(SUMIF('Pointage BQ 24-25'!$F$259:$F$285,"ARCHICAD",'Pointage BQ 24-25'!$C$259:$C$285))</f>
        <v>0</v>
      </c>
      <c r="L28" s="450">
        <f>-(SUMIF('Pointage BQ 24-25'!$F$287:$F$331,"ARCHICAD",'Pointage BQ 24-25'!$C$287:$C$331))</f>
        <v>0</v>
      </c>
      <c r="M28" s="450">
        <f>-(SUMIF('Pointage BQ 24-25'!$F$333:$F$365,"ARCHICAD",'Pointage BQ 24-25'!$C$333:$C$365))</f>
        <v>0</v>
      </c>
      <c r="N28" s="450">
        <f>-(SUMIF('Pointage BQ 24-25'!$F$367:$F$400,"ARCHICAD",'Pointage BQ 24-25'!$C$367:$C$400))</f>
        <v>0</v>
      </c>
      <c r="O28" s="152">
        <f t="shared" si="1"/>
        <v>2652.8</v>
      </c>
      <c r="P28" s="151">
        <f>'Prévisionnel 24-25'!E17</f>
        <v>1440</v>
      </c>
      <c r="Q28" s="249">
        <f t="shared" si="0"/>
        <v>-1212.8000000000002</v>
      </c>
    </row>
    <row r="29" spans="1:17" ht="20" customHeight="1" x14ac:dyDescent="0.2">
      <c r="A29" s="157" t="s">
        <v>31</v>
      </c>
      <c r="B29" s="455" t="s">
        <v>31</v>
      </c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2">
        <f t="shared" si="1"/>
        <v>0</v>
      </c>
      <c r="P29" s="151">
        <f>'Prévisionnel 24-25'!E28</f>
        <v>3800</v>
      </c>
      <c r="Q29" s="249">
        <f t="shared" si="0"/>
        <v>3800</v>
      </c>
    </row>
    <row r="30" spans="1:17" ht="20" customHeight="1" x14ac:dyDescent="0.2">
      <c r="A30" s="157" t="s">
        <v>242</v>
      </c>
      <c r="B30" s="165" t="s">
        <v>158</v>
      </c>
      <c r="C30" s="450">
        <f>-(SUMIF('Pointage BQ 24-25'!$F$2:$F$29,"ADMIN",'Pointage BQ 24-25'!$C$2:$C$29))</f>
        <v>1085</v>
      </c>
      <c r="D30" s="450">
        <f>-(SUMIF('Pointage BQ 24-25'!$F$31:$F$52,"ADMIN",'Pointage BQ 24-25'!$C$31:$C$52))</f>
        <v>1540</v>
      </c>
      <c r="E30" s="450">
        <f>-(SUMIF('Pointage BQ 24-25'!$F$54:$F$88,"ADMIN",'Pointage BQ 24-25'!$C$54:$C$88))</f>
        <v>910</v>
      </c>
      <c r="F30" s="450">
        <f>-(SUMIF('Pointage BQ 24-25'!$F$90:$F$114,"ADMIN",'Pointage BQ 24-25'!$C$90:$C$114))</f>
        <v>945</v>
      </c>
      <c r="G30" s="450">
        <f>-(SUMIF('Pointage BQ 24-25'!$F$116:$F$155,"ADMIN",'Pointage BQ 24-25'!$C$116:$C$155))</f>
        <v>1065</v>
      </c>
      <c r="H30" s="450">
        <f>-(SUMIF('Pointage BQ 24-25'!$F$157:$F$191,"ADMIN",'Pointage BQ 24-25'!$C$157:$C$191))</f>
        <v>1065</v>
      </c>
      <c r="I30" s="450">
        <f>-(SUMIF('Pointage BQ 24-25'!$F$193:$F$224,"ADMIN",'Pointage BQ 24-25'!$C$193:$C$224))</f>
        <v>1065</v>
      </c>
      <c r="J30" s="450">
        <f>-(SUMIF('Pointage BQ 24-25'!$F$226:$F$257,"ADMIN",'Pointage BQ 24-25'!$C$226:$C$257))</f>
        <v>1065</v>
      </c>
      <c r="K30" s="450">
        <f>-(SUMIF('Pointage BQ 24-25'!$F$259:$F$285,"ADMIN",'Pointage BQ 24-25'!$C$259:$C$285))</f>
        <v>1104.43</v>
      </c>
      <c r="L30" s="450">
        <f>-(SUMIF('Pointage BQ 24-25'!$F$287:$F$331,"ADMIN",'Pointage BQ 24-25'!$C$287:$C$331))</f>
        <v>1065</v>
      </c>
      <c r="M30" s="450">
        <f>-(SUMIF('Pointage BQ 24-25'!$F$333:$F$365,"ADMIN",'Pointage BQ 24-25'!$C$333:$C$365))</f>
        <v>1065</v>
      </c>
      <c r="N30" s="450">
        <f>-(SUMIF('Pointage BQ 24-25'!$F$367:$F$400,"ADMIN",'Pointage BQ 24-25'!$C$367:$C$400))</f>
        <v>1065</v>
      </c>
      <c r="O30" s="152">
        <f t="shared" si="1"/>
        <v>13039.43</v>
      </c>
      <c r="P30" s="151">
        <f>'Prévisionnel 24-25'!E29</f>
        <v>12000</v>
      </c>
      <c r="Q30" s="249">
        <f t="shared" si="0"/>
        <v>-1039.4300000000003</v>
      </c>
    </row>
    <row r="31" spans="1:17" ht="20" customHeight="1" x14ac:dyDescent="0.2">
      <c r="A31" s="157" t="s">
        <v>406</v>
      </c>
      <c r="B31" s="455" t="s">
        <v>99</v>
      </c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2">
        <f t="shared" si="1"/>
        <v>0</v>
      </c>
      <c r="P31" s="151">
        <f>'Prévisionnel 24-25'!E30</f>
        <v>0</v>
      </c>
      <c r="Q31" s="249">
        <f t="shared" si="0"/>
        <v>0</v>
      </c>
    </row>
    <row r="32" spans="1:17" ht="20" customHeight="1" x14ac:dyDescent="0.2">
      <c r="A32" s="157" t="s">
        <v>412</v>
      </c>
      <c r="C32" s="450">
        <f>-(SUMIF('Pointage BQ 24-25'!$F$2:$F$29,"LOGICIEL",'Pointage BQ 24-25'!$C$2:$C$29))</f>
        <v>0</v>
      </c>
      <c r="D32" s="450">
        <f>-(SUMIF('Pointage BQ 24-25'!$F$31:$F$52,"LOGICIEL",'Pointage BQ 24-25'!$C$31:$C$52))</f>
        <v>35.64</v>
      </c>
      <c r="E32" s="450">
        <f>-(SUMIF('Pointage BQ 24-25'!$F$54:$F$88,"LOGICIEL",'Pointage BQ 24-25'!$C$54:$C$88))</f>
        <v>287.69</v>
      </c>
      <c r="F32" s="450">
        <f>-(SUMIF('Pointage BQ 24-25'!$F$90:$F$114,"LOGICIEL",'Pointage BQ 24-25'!$C$90:$C$114))</f>
        <v>60</v>
      </c>
      <c r="G32" s="450">
        <f>-(SUMIF('Pointage BQ 24-25'!$F$116:$F$155,"LOGICIEL",'Pointage BQ 24-25'!$C$116:$C$155))</f>
        <v>108</v>
      </c>
      <c r="H32" s="450">
        <f>-(SUMIF('Pointage BQ 24-25'!$F$157:$F$191,"LOGICIEL",'Pointage BQ 24-25'!$C$157:$C$191))</f>
        <v>60</v>
      </c>
      <c r="I32" s="450">
        <f>-(SUMIF('Pointage BQ 24-25'!$F$193:$F$224,"LOGICIEL",'Pointage BQ 24-25'!$C$193:$C$224))</f>
        <v>159</v>
      </c>
      <c r="J32" s="450">
        <f>-(SUMIF('Pointage BQ 24-25'!$F$226:$F$257,"LOGICIEL",'Pointage BQ 24-25'!$C$226:$C$257))</f>
        <v>143.88</v>
      </c>
      <c r="K32" s="450">
        <f>-(SUMIF('Pointage BQ 24-25'!$F$259:$F$285,"LOGICIEL",'Pointage BQ 24-25'!$C$259:$C$285))</f>
        <v>60</v>
      </c>
      <c r="L32" s="450">
        <f>-(SUMIF('Pointage BQ 24-25'!$F$287:$F$331,"LOGICIEL",'Pointage BQ 24-25'!$C$287:$C$331))</f>
        <v>60</v>
      </c>
      <c r="M32" s="450">
        <f>-(SUMIF('Pointage BQ 24-25'!$F$333:$F$365,"LOGICIEL",'Pointage BQ 24-25'!$C$333:$C$365))</f>
        <v>126.3</v>
      </c>
      <c r="N32" s="450">
        <f>-(SUMIF('Pointage BQ 24-25'!$F$367:$F$400,"LOGICIEL",'Pointage BQ 24-25'!$C$367:$C$400))</f>
        <v>60</v>
      </c>
      <c r="O32" s="152">
        <f t="shared" si="1"/>
        <v>1160.51</v>
      </c>
      <c r="P32" s="247"/>
      <c r="Q32" s="348"/>
    </row>
    <row r="33" spans="1:17" x14ac:dyDescent="0.2">
      <c r="A33" s="532" t="s">
        <v>419</v>
      </c>
      <c r="B33" s="256" t="s">
        <v>498</v>
      </c>
      <c r="C33" s="450">
        <f>-(SUMIF('Pointage BQ 24-25'!$F$2:$F$29,"RECOUV",'Pointage BQ 24-25'!$C$2:$C$29))</f>
        <v>106.26</v>
      </c>
      <c r="D33" s="450">
        <f>-(SUMIF('Pointage BQ 24-25'!$F$31:$F$52,"RECOUV",'Pointage BQ 24-25'!$C$31:$C$52))</f>
        <v>6.62</v>
      </c>
      <c r="E33" s="450">
        <f>-(SUMIF('Pointage BQ 24-25'!$F$54:$F$88,"RECOUV",'Pointage BQ 24-25'!$C$54:$C$88))</f>
        <v>0</v>
      </c>
      <c r="F33" s="450">
        <f>-(SUMIF('Pointage BQ 24-25'!$F$90:$F$114,"RECOUV",'Pointage BQ 24-25'!$C$90:$C$114))</f>
        <v>0</v>
      </c>
      <c r="G33" s="450">
        <f>-(SUMIF('Pointage BQ 24-25'!$F$116:$F$155,"RECOUV",'Pointage BQ 24-25'!$C$116:$C$155))</f>
        <v>900</v>
      </c>
      <c r="H33" s="450">
        <f>-(SUMIF('Pointage BQ 24-25'!$F$157:$F$191,"RECOUV",'Pointage BQ 24-25'!$C$157:$C$191))</f>
        <v>0</v>
      </c>
      <c r="I33" s="450">
        <f>-(SUMIF('Pointage BQ 24-25'!$F$193:$F$224,"RECOUV",'Pointage BQ 24-25'!$C$193:$C$224))</f>
        <v>335.31</v>
      </c>
      <c r="J33" s="450">
        <f>-(SUMIF('Pointage BQ 24-25'!$F$226:$F$257,"RECOUV",'Pointage BQ 24-25'!$C$226:$C$257))</f>
        <v>1592.27</v>
      </c>
      <c r="K33" s="450">
        <f>-(SUMIF('Pointage BQ 24-25'!$F$259:$F$285,"RECOUV",'Pointage BQ 24-25'!$C$259:$C$285))</f>
        <v>0</v>
      </c>
      <c r="L33" s="450">
        <f>-(SUMIF('Pointage BQ 24-25'!$F$287:$F$331,"RECOUV",'Pointage BQ 24-25'!$C$287:$C$331))</f>
        <v>0</v>
      </c>
      <c r="M33" s="450">
        <f>-(SUMIF('Pointage BQ 24-25'!$F$333:$F$365,"RECOUV",'Pointage BQ 24-25'!$C$333:$C$365))</f>
        <v>0</v>
      </c>
      <c r="N33" s="450">
        <f>-(SUMIF('Pointage BQ 24-25'!$F$367:$F$400,"RECOUV",'Pointage BQ 24-25'!$C$367:$C$400))</f>
        <v>0</v>
      </c>
      <c r="O33" s="152">
        <f t="shared" si="1"/>
        <v>2940.46</v>
      </c>
      <c r="P33" s="247"/>
      <c r="Q33" s="348"/>
    </row>
    <row r="34" spans="1:17" x14ac:dyDescent="0.2">
      <c r="A34" s="532"/>
      <c r="B34" s="470" t="s">
        <v>828</v>
      </c>
      <c r="C34" s="464">
        <f>(SUMIF('Pointage BQ 24-25'!$F$2:$F$29,"RECOUV",'Pointage BQ 24-25'!$D$2:$D$29))</f>
        <v>0</v>
      </c>
      <c r="D34" s="464">
        <f>(SUMIF('Pointage BQ 24-25'!$F$31:$F$52,"RECOUV",'Pointage BQ 24-25'!$D$31:$D$52))</f>
        <v>0</v>
      </c>
      <c r="E34" s="464">
        <f>(SUMIF('Pointage BQ 24-25'!$F$54:$F$88,"RECOUV",'Pointage BQ 24-25'!$D$54:$D$88))</f>
        <v>0</v>
      </c>
      <c r="F34" s="464">
        <f>(SUMIF('Pointage BQ 24-25'!$F$90:$F$114,"RECOUV",'Pointage BQ 24-25'!$D$90:$D$114))</f>
        <v>0</v>
      </c>
      <c r="G34" s="464">
        <f>(SUMIF('Pointage BQ 24-25'!$F$116:$F$155,"RECOUV",'Pointage BQ 24-25'!$D$116:$D$155))</f>
        <v>0</v>
      </c>
      <c r="H34" s="464">
        <f>(SUMIF('Pointage BQ 24-25'!$F$157:$F$191,"RECOUV",'Pointage BQ 24-25'!$D$157:$D$191))</f>
        <v>0</v>
      </c>
      <c r="I34" s="464">
        <f>(SUMIF('Pointage BQ 24-25'!$F$193:$F$224,"RECOUV",'Pointage BQ 24-25'!$D$193:$D$224))</f>
        <v>0</v>
      </c>
      <c r="J34" s="464">
        <f>(SUMIF('Pointage BQ 24-25'!$F$226:$F$257,"RECOUV",'Pointage BQ 24-25'!$D$226:$D$257))</f>
        <v>1166.8499999999999</v>
      </c>
      <c r="K34" s="464">
        <f>(SUMIF('Pointage BQ 24-25'!$F$259:$F$285,"RECOUV",'Pointage BQ 24-25'!$D$259:$D$285))</f>
        <v>0</v>
      </c>
      <c r="L34" s="464">
        <f>(SUMIF('Pointage BQ 24-25'!$F$287:$F$331,"RECOUV",'Pointage BQ 24-25'!$D$287:$D$331))</f>
        <v>0</v>
      </c>
      <c r="M34" s="464">
        <f>(SUMIF('Pointage BQ 24-25'!$F$333:$F$365,"RECOUV",'Pointage BQ 24-25'!$D$333:$D$365))</f>
        <v>0</v>
      </c>
      <c r="N34" s="464">
        <f>(SUMIF('Pointage BQ 24-25'!$F$367:$F$400,"RECOUV",'Pointage BQ 24-25'!$D$367:$D$400))</f>
        <v>0</v>
      </c>
      <c r="O34" s="465">
        <f t="shared" si="1"/>
        <v>1166.8499999999999</v>
      </c>
      <c r="P34" s="247"/>
      <c r="Q34" s="348"/>
    </row>
    <row r="35" spans="1:17" x14ac:dyDescent="0.2">
      <c r="A35" s="531" t="s">
        <v>494</v>
      </c>
      <c r="B35" s="467" t="s">
        <v>822</v>
      </c>
      <c r="C35" s="450">
        <f>-(SUMIF('Pointage BQ 24-25'!$F$2:$F$29,"EPARGNE",'Pointage BQ 24-25'!$C$2:$C$29))</f>
        <v>0</v>
      </c>
      <c r="D35" s="450">
        <f>-(SUMIF('Pointage BQ 24-25'!$F$31:$F$52,"EPARGNE",'Pointage BQ 24-25'!$C$31:$C$52))</f>
        <v>0</v>
      </c>
      <c r="E35" s="450">
        <f>-(SUMIF('Pointage BQ 24-25'!$F$54:$F$88,"EPARGNE",'Pointage BQ 24-25'!$C$54:$C$88))</f>
        <v>15000</v>
      </c>
      <c r="F35" s="450">
        <f>-(SUMIF('Pointage BQ 24-25'!$F$90:$F$114,"EPARGNE",'Pointage BQ 24-25'!$C$90:$C$114))</f>
        <v>0</v>
      </c>
      <c r="G35" s="450">
        <f>-(SUMIF('Pointage BQ 24-25'!$F$116:$F$155,"EPARGNE",'Pointage BQ 24-25'!$C$116:$C$155))</f>
        <v>0</v>
      </c>
      <c r="H35" s="450">
        <f>-(SUMIF('Pointage BQ 24-25'!$F$157:$F$191,"EPARGNE",'Pointage BQ 24-25'!$C$157:$C$191))</f>
        <v>0</v>
      </c>
      <c r="I35" s="450">
        <f>-(SUMIF('Pointage BQ 24-25'!$F$193:$F$224,"EPARGNE",'Pointage BQ 24-25'!$C$193:$C$224))</f>
        <v>15000</v>
      </c>
      <c r="J35" s="450">
        <f>-(SUMIF('Pointage BQ 24-25'!$F$226:$F$257,"EPARGNE",'Pointage BQ 24-25'!$C$226:$C$257))</f>
        <v>0</v>
      </c>
      <c r="K35" s="450">
        <f>-(SUMIF('Pointage BQ 24-25'!$F$259:$F$285,"EPARGNE",'Pointage BQ 24-25'!$C$259:$C$285))</f>
        <v>0</v>
      </c>
      <c r="L35" s="450">
        <f>-(SUMIF('Pointage BQ 24-25'!$F$287:$F$331,"EPARGNE",'Pointage BQ 24-25'!$C$287:$C$331))</f>
        <v>30000</v>
      </c>
      <c r="M35" s="450">
        <f>-(SUMIF('Pointage BQ 24-25'!$F$333:$F$365,"EPARGNE",'Pointage BQ 24-25'!$C$333:$C$365))</f>
        <v>0</v>
      </c>
      <c r="N35" s="450">
        <f>-(SUMIF('Pointage BQ 24-25'!$F$367:$F$400,"EPARGNE",'Pointage BQ 24-25'!$C$367:$C$400))</f>
        <v>0</v>
      </c>
      <c r="O35" s="152">
        <f t="shared" si="1"/>
        <v>60000</v>
      </c>
      <c r="P35" s="247"/>
      <c r="Q35" s="348"/>
    </row>
    <row r="36" spans="1:17" x14ac:dyDescent="0.2">
      <c r="A36" s="531"/>
      <c r="B36" s="467" t="s">
        <v>823</v>
      </c>
      <c r="C36" s="464">
        <f>(SUMIF('Pointage BQ 24-25'!$F$2:$F$29,"EPARGNE",'Pointage BQ 24-25'!$D$2:$D$29))</f>
        <v>0</v>
      </c>
      <c r="D36" s="464">
        <f>(SUMIF('Pointage BQ 24-25'!$F$31:$F$52,"EPARGNE",'Pointage BQ 24-25'!$D$31:$D$52))</f>
        <v>0</v>
      </c>
      <c r="E36" s="464">
        <f>(SUMIF('Pointage BQ 24-25'!$F$54:$F$88,"EPARGNE",'Pointage BQ 24-25'!$D$54:$D$88))</f>
        <v>15247.49</v>
      </c>
      <c r="F36" s="464">
        <f>(SUMIF('Pointage BQ 24-25'!$F$90:$F$114,"EPARGNE",'Pointage BQ 24-25'!$D$90:$D$114))</f>
        <v>0</v>
      </c>
      <c r="G36" s="464">
        <f>(SUMIF('Pointage BQ 24-25'!$F$116:$F$155,"EPARGNE",'Pointage BQ 24-25'!$D$116:$D$155))</f>
        <v>0</v>
      </c>
      <c r="H36" s="464">
        <f>(SUMIF('Pointage BQ 24-25'!$F$157:$F$191,"EPARGNE",'Pointage BQ 24-25'!$D$157:$D$191))</f>
        <v>15246.15</v>
      </c>
      <c r="I36" s="464">
        <f>(SUMIF('Pointage BQ 24-25'!$F$193:$F$224,"EPARGNE",'Pointage BQ 24-25'!$D$193:$D$224))</f>
        <v>0</v>
      </c>
      <c r="J36" s="464">
        <f>(SUMIF('Pointage BQ 24-25'!$F$226:$F$257,"EPARGNE",'Pointage BQ 24-25'!$D$226:$D$257))</f>
        <v>0</v>
      </c>
      <c r="K36" s="464">
        <f>(SUMIF('Pointage BQ 24-25'!$F$259:$F$285,"EPARGNE",'Pointage BQ 24-25'!$D$259:$D$285))</f>
        <v>15243.46</v>
      </c>
      <c r="L36" s="464">
        <f>(SUMIF('Pointage BQ 24-25'!$F$287:$F$331,"EPARGNE",'Pointage BQ 24-25'!$D$287:$D$331))</f>
        <v>15102.49</v>
      </c>
      <c r="M36" s="464">
        <f>(SUMIF('Pointage BQ 24-25'!$F$333:$F$365,"EPARGNE",'Pointage BQ 24-25'!$D$333:$D$365))</f>
        <v>0</v>
      </c>
      <c r="N36" s="464">
        <f>(SUMIF('Pointage BQ 24-25'!$F$367:$F$400,"EPARGNE",'Pointage BQ 24-25'!$D$367:$D$400))</f>
        <v>0</v>
      </c>
      <c r="O36" s="465">
        <f t="shared" si="1"/>
        <v>60839.59</v>
      </c>
      <c r="P36" s="247"/>
      <c r="Q36" s="348"/>
    </row>
    <row r="37" spans="1:17" x14ac:dyDescent="0.2">
      <c r="A37" s="157" t="s">
        <v>495</v>
      </c>
      <c r="B37" t="s">
        <v>497</v>
      </c>
      <c r="C37" s="450">
        <f>-(SUMIF('Pointage BQ 24-25'!$F$2:$F$29,"FORMATION",'Pointage BQ 24-25'!$C$2:$C$29))</f>
        <v>0</v>
      </c>
      <c r="D37" s="450">
        <f>-(SUMIF('Pointage BQ 24-25'!$F$31:$F$52,"FORMATION",'Pointage BQ 24-25'!$C$31:$C$52))</f>
        <v>0</v>
      </c>
      <c r="E37" s="450">
        <f>-(SUMIF('Pointage BQ 24-25'!$F$54:$F$88,"FORMATION",'Pointage BQ 24-25'!$C$54:$C$88))</f>
        <v>0</v>
      </c>
      <c r="F37" s="450">
        <f>-(SUMIF('Pointage BQ 24-25'!$F$90:$F$114,"FORMATION",'Pointage BQ 24-25'!$C$90:$C$114))</f>
        <v>0</v>
      </c>
      <c r="G37" s="450">
        <f>-(SUMIF('Pointage BQ 24-25'!$F$116:$F$155,"FORMATION",'Pointage BQ 24-25'!$C$116:$C$155))</f>
        <v>0</v>
      </c>
      <c r="H37" s="450">
        <f>-(SUMIF('Pointage BQ 24-25'!$F$157:$F$191,"FORMATION",'Pointage BQ 24-25'!$C$157:$C$191))</f>
        <v>102</v>
      </c>
      <c r="I37" s="450">
        <f>-(SUMIF('Pointage BQ 24-25'!$F$193:$F$224,"FORMATION",'Pointage BQ 24-25'!$C$193:$C$224))</f>
        <v>0</v>
      </c>
      <c r="J37" s="450">
        <f>-(SUMIF('Pointage BQ 24-25'!$F$226:$F$257,"FORMATION",'Pointage BQ 24-25'!$C$226:$C$257))</f>
        <v>0</v>
      </c>
      <c r="K37" s="450">
        <f>-(SUMIF('Pointage BQ 24-25'!$F$259:$F$285,"FORMATION",'Pointage BQ 24-25'!$C$259:$C$285))</f>
        <v>0</v>
      </c>
      <c r="L37" s="450">
        <f>-(SUMIF('Pointage BQ 24-25'!$F$287:$F$331,"FORMATION",'Pointage BQ 24-25'!$C$287:$C$331))</f>
        <v>725</v>
      </c>
      <c r="M37" s="450">
        <f>-(SUMIF('Pointage BQ 24-25'!$F$333:$F$365,"FORMATION",'Pointage BQ 24-25'!$C$333:$C$365))</f>
        <v>0</v>
      </c>
      <c r="N37" s="450">
        <f>-(SUMIF('Pointage BQ 24-25'!$F$367:$F$400,"FORMATION",'Pointage BQ 24-25'!$C$367:$C$400))</f>
        <v>0</v>
      </c>
      <c r="O37" s="152">
        <f t="shared" si="1"/>
        <v>827</v>
      </c>
      <c r="P37" s="247"/>
      <c r="Q37" s="348"/>
    </row>
    <row r="38" spans="1:17" x14ac:dyDescent="0.2">
      <c r="A38" s="325" t="s">
        <v>582</v>
      </c>
      <c r="B38" s="127" t="s">
        <v>583</v>
      </c>
    </row>
    <row r="39" spans="1:17" x14ac:dyDescent="0.2">
      <c r="B39" s="127" t="s">
        <v>396</v>
      </c>
      <c r="C39" s="450">
        <f>-(SUMIF('Pointage BQ 24-25'!$F$2:$F$29,"DIVERS",'Pointage BQ 24-25'!$C$2:$C$29))</f>
        <v>18.95</v>
      </c>
      <c r="D39" s="450">
        <f>-(SUMIF('Pointage BQ 24-25'!$F$31:$F$52,"DIVERS",'Pointage BQ 24-25'!$C$31:$C$52))</f>
        <v>20</v>
      </c>
      <c r="E39" s="450">
        <f>-(SUMIF('Pointage BQ 24-25'!$F$54:$F$88,"DIVERS",'Pointage BQ 24-25'!$C$54:$C$88))</f>
        <v>0</v>
      </c>
      <c r="F39" s="450">
        <f>-(SUMIF('Pointage BQ 24-25'!$F$90:$F$114,"DIVERS",'Pointage BQ 24-25'!$C$90:$C$114))</f>
        <v>0</v>
      </c>
      <c r="G39" s="450">
        <f>-(SUMIF('Pointage BQ 24-25'!$F$116:$F$155,"DIVERS",'Pointage BQ 24-25'!$C$116:$C$155))</f>
        <v>0</v>
      </c>
      <c r="H39" s="450">
        <f>-(SUMIF('Pointage BQ 24-25'!$F$157:$F$191,"DIVERS",'Pointage BQ 24-25'!$C$157:$C$191))</f>
        <v>0</v>
      </c>
      <c r="I39" s="450">
        <f>-(SUMIF('Pointage BQ 24-25'!$F$193:$F$224,"DIVERS",'Pointage BQ 24-25'!$C$193:$C$224))</f>
        <v>6</v>
      </c>
      <c r="J39" s="450">
        <f>-(SUMIF('Pointage BQ 24-25'!$F$226:$F$257,"DIVERS",'Pointage BQ 24-25'!$C$226:$C$257))</f>
        <v>0</v>
      </c>
      <c r="K39" s="450">
        <f>-(SUMIF('Pointage BQ 24-25'!$F$259:$F$285,"DIVERS",'Pointage BQ 24-25'!$C$259:$C$285))</f>
        <v>24.67</v>
      </c>
      <c r="L39" s="450">
        <f>-(SUMIF('Pointage BQ 24-25'!$F$287:$F$331,"DIVERS",'Pointage BQ 24-25'!$C$287:$C$331))</f>
        <v>270.88</v>
      </c>
      <c r="M39" s="450">
        <f>-(SUMIF('Pointage BQ 24-25'!$F$333:$F$365,"DIVERS",'Pointage BQ 24-25'!$C$333:$C$365))</f>
        <v>0</v>
      </c>
      <c r="N39" s="450">
        <f>-(SUMIF('Pointage BQ 24-25'!$F$367:$F$400,"DIVERS",'Pointage BQ 24-25'!$C$367:$C$400))</f>
        <v>0</v>
      </c>
      <c r="O39" s="457">
        <f>SUM(C39:N39)</f>
        <v>340.5</v>
      </c>
    </row>
    <row r="40" spans="1:17" ht="17" thickBot="1" x14ac:dyDescent="0.25"/>
    <row r="41" spans="1:17" ht="17" thickBot="1" x14ac:dyDescent="0.25">
      <c r="B41" s="127" t="s">
        <v>824</v>
      </c>
      <c r="C41" s="459">
        <f t="shared" ref="C41:N41" si="4">SUM(C3:C40)-C12-C14-C34-C36</f>
        <v>8121.9500000000007</v>
      </c>
      <c r="D41" s="459">
        <f t="shared" si="4"/>
        <v>6736.75</v>
      </c>
      <c r="E41" s="459">
        <f t="shared" si="4"/>
        <v>29621.72</v>
      </c>
      <c r="F41" s="459">
        <f t="shared" si="4"/>
        <v>8373.65</v>
      </c>
      <c r="G41" s="459">
        <f t="shared" si="4"/>
        <v>7555.88</v>
      </c>
      <c r="H41" s="459">
        <f t="shared" si="4"/>
        <v>15691.830000000004</v>
      </c>
      <c r="I41" s="459">
        <f t="shared" si="4"/>
        <v>21453.119999999999</v>
      </c>
      <c r="J41" s="459">
        <f t="shared" si="4"/>
        <v>10129.11</v>
      </c>
      <c r="K41" s="459">
        <f t="shared" si="4"/>
        <v>8068.7899999999972</v>
      </c>
      <c r="L41" s="459">
        <f t="shared" si="4"/>
        <v>43836.310000000005</v>
      </c>
      <c r="M41" s="459">
        <f t="shared" si="4"/>
        <v>7371.670000000001</v>
      </c>
      <c r="N41" s="459">
        <f t="shared" si="4"/>
        <v>9627.41</v>
      </c>
      <c r="O41" s="460">
        <f>SUM(C41:N41)</f>
        <v>176588.19</v>
      </c>
      <c r="P41" s="457">
        <f>SUM(O3:O39)-O36-O34-O14-O12</f>
        <v>176588.19000000003</v>
      </c>
    </row>
    <row r="42" spans="1:17" ht="17" thickBot="1" x14ac:dyDescent="0.25">
      <c r="B42" s="353" t="s">
        <v>825</v>
      </c>
      <c r="C42" s="468">
        <f>C2+C12+C14+C34+C36</f>
        <v>4197.9800000000005</v>
      </c>
      <c r="D42" s="468">
        <f t="shared" ref="D42:N42" si="5">D2+D12+D14+D34+D36</f>
        <v>4471.6099999999997</v>
      </c>
      <c r="E42" s="468">
        <f t="shared" si="5"/>
        <v>20947.400000000001</v>
      </c>
      <c r="F42" s="468">
        <f t="shared" si="5"/>
        <v>6844</v>
      </c>
      <c r="G42" s="468">
        <f t="shared" si="5"/>
        <v>22622</v>
      </c>
      <c r="H42" s="468">
        <f t="shared" si="5"/>
        <v>23202.15</v>
      </c>
      <c r="I42" s="468">
        <f t="shared" si="5"/>
        <v>3692.15</v>
      </c>
      <c r="J42" s="468">
        <f t="shared" si="5"/>
        <v>2808.23</v>
      </c>
      <c r="K42" s="468">
        <f t="shared" si="5"/>
        <v>25924.959999999999</v>
      </c>
      <c r="L42" s="468">
        <f t="shared" si="5"/>
        <v>25181.5</v>
      </c>
      <c r="M42" s="468">
        <f t="shared" si="5"/>
        <v>13814.2</v>
      </c>
      <c r="N42" s="468">
        <f t="shared" si="5"/>
        <v>12401.6</v>
      </c>
      <c r="O42" s="469">
        <f>SUM(C42:N42)</f>
        <v>166107.78000000003</v>
      </c>
      <c r="P42" s="457">
        <f>O2+O12+O14+O34+O36</f>
        <v>166107.78000000003</v>
      </c>
    </row>
    <row r="43" spans="1:17" x14ac:dyDescent="0.2">
      <c r="G43" s="142"/>
      <c r="H43" s="127"/>
      <c r="O43" s="457">
        <f>O42+3.01</f>
        <v>166110.79000000004</v>
      </c>
    </row>
    <row r="44" spans="1:17" x14ac:dyDescent="0.2">
      <c r="C44" s="142"/>
      <c r="G44" s="419"/>
    </row>
    <row r="45" spans="1:17" x14ac:dyDescent="0.2">
      <c r="C45" s="142"/>
      <c r="E45" s="457">
        <f>'Pointage BQ 24-25'!C30+'Suivi BQ 24-25'!C41</f>
        <v>0</v>
      </c>
      <c r="G45" s="142"/>
    </row>
    <row r="46" spans="1:17" x14ac:dyDescent="0.2">
      <c r="C46" s="142"/>
      <c r="G46" s="142"/>
      <c r="N46" s="418"/>
    </row>
    <row r="47" spans="1:17" x14ac:dyDescent="0.2">
      <c r="C47" s="142"/>
      <c r="G47" s="142"/>
      <c r="N47" s="418"/>
    </row>
    <row r="48" spans="1:17" x14ac:dyDescent="0.2">
      <c r="C48" s="142"/>
      <c r="N48" s="418"/>
    </row>
    <row r="49" spans="3:14" x14ac:dyDescent="0.2">
      <c r="N49" s="418"/>
    </row>
    <row r="50" spans="3:14" x14ac:dyDescent="0.2">
      <c r="C50" s="419"/>
      <c r="D50" s="127"/>
      <c r="N50" s="418"/>
    </row>
    <row r="51" spans="3:14" x14ac:dyDescent="0.2">
      <c r="N51" s="418"/>
    </row>
    <row r="52" spans="3:14" x14ac:dyDescent="0.2">
      <c r="N52" s="418"/>
    </row>
    <row r="53" spans="3:14" x14ac:dyDescent="0.2">
      <c r="N53" s="418"/>
    </row>
    <row r="54" spans="3:14" x14ac:dyDescent="0.2">
      <c r="N54" s="418"/>
    </row>
    <row r="55" spans="3:14" x14ac:dyDescent="0.2">
      <c r="D55" s="108"/>
      <c r="N55" s="418"/>
    </row>
    <row r="56" spans="3:14" x14ac:dyDescent="0.2">
      <c r="C56" s="108"/>
      <c r="N56" s="418"/>
    </row>
    <row r="57" spans="3:14" x14ac:dyDescent="0.2">
      <c r="N57" s="418"/>
    </row>
  </sheetData>
  <mergeCells count="5">
    <mergeCell ref="A11:A12"/>
    <mergeCell ref="A35:A36"/>
    <mergeCell ref="A13:A14"/>
    <mergeCell ref="A33:A34"/>
    <mergeCell ref="A2:A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5CBAB-EBF5-4BA2-AABA-190D8272A400}">
  <sheetPr codeName="Feuil4">
    <tabColor rgb="FF92D050"/>
  </sheetPr>
  <dimension ref="A1:J434"/>
  <sheetViews>
    <sheetView zoomScale="80" zoomScaleNormal="80" workbookViewId="0">
      <pane ySplit="1" topLeftCell="A147" activePane="bottomLeft" state="frozen"/>
      <selection pane="bottomLeft" activeCell="E166" sqref="E166"/>
    </sheetView>
  </sheetViews>
  <sheetFormatPr baseColWidth="10" defaultColWidth="11.5703125" defaultRowHeight="14" outlineLevelRow="1" x14ac:dyDescent="0.15"/>
  <cols>
    <col min="1" max="1" width="11.5703125" style="146"/>
    <col min="2" max="2" width="10.85546875" style="146" bestFit="1" customWidth="1"/>
    <col min="3" max="3" width="11.5703125" style="146" bestFit="1" customWidth="1"/>
    <col min="4" max="4" width="11" style="146" bestFit="1" customWidth="1"/>
    <col min="5" max="5" width="118" style="146" customWidth="1"/>
    <col min="6" max="6" width="13.140625" style="374" bestFit="1" customWidth="1"/>
    <col min="7" max="7" width="3.28515625" style="146" customWidth="1"/>
    <col min="8" max="8" width="13.140625" style="157" bestFit="1" customWidth="1"/>
    <col min="9" max="9" width="26.7109375" style="146" customWidth="1"/>
    <col min="10" max="16384" width="11.5703125" style="146"/>
  </cols>
  <sheetData>
    <row r="1" spans="1:8" ht="34" x14ac:dyDescent="0.15">
      <c r="A1" s="145" t="s">
        <v>231</v>
      </c>
      <c r="B1" s="145" t="s">
        <v>232</v>
      </c>
      <c r="C1" s="145" t="s">
        <v>233</v>
      </c>
      <c r="D1" s="145" t="s">
        <v>234</v>
      </c>
      <c r="E1" s="145" t="s">
        <v>235</v>
      </c>
      <c r="F1" s="373" t="s">
        <v>236</v>
      </c>
    </row>
    <row r="2" spans="1:8" s="434" customFormat="1" ht="15" outlineLevel="1" x14ac:dyDescent="0.15">
      <c r="A2" s="431">
        <v>45474</v>
      </c>
      <c r="B2" s="431">
        <v>45474</v>
      </c>
      <c r="C2" s="432">
        <v>-1085</v>
      </c>
      <c r="D2" s="432"/>
      <c r="E2" s="433" t="s">
        <v>241</v>
      </c>
      <c r="F2" s="422" t="s">
        <v>242</v>
      </c>
      <c r="H2" s="440"/>
    </row>
    <row r="3" spans="1:8" s="434" customFormat="1" ht="15" outlineLevel="1" x14ac:dyDescent="0.15">
      <c r="A3" s="431">
        <v>45474</v>
      </c>
      <c r="B3" s="431">
        <v>45474</v>
      </c>
      <c r="C3" s="432">
        <v>-1400</v>
      </c>
      <c r="D3" s="432"/>
      <c r="E3" s="433" t="s">
        <v>245</v>
      </c>
      <c r="F3" s="422" t="s">
        <v>246</v>
      </c>
      <c r="H3" s="440"/>
    </row>
    <row r="4" spans="1:8" s="434" customFormat="1" ht="15" outlineLevel="1" x14ac:dyDescent="0.15">
      <c r="A4" s="431">
        <v>45474</v>
      </c>
      <c r="B4" s="431">
        <v>45474</v>
      </c>
      <c r="C4" s="432">
        <v>-500</v>
      </c>
      <c r="D4" s="432"/>
      <c r="E4" s="433" t="s">
        <v>247</v>
      </c>
      <c r="F4" s="422" t="s">
        <v>246</v>
      </c>
      <c r="H4" s="440"/>
    </row>
    <row r="5" spans="1:8" s="434" customFormat="1" ht="15" outlineLevel="1" x14ac:dyDescent="0.15">
      <c r="A5" s="431">
        <v>45474</v>
      </c>
      <c r="B5" s="431">
        <v>45474</v>
      </c>
      <c r="C5" s="432">
        <v>-72</v>
      </c>
      <c r="D5" s="432"/>
      <c r="E5" s="433" t="s">
        <v>249</v>
      </c>
      <c r="F5" s="422" t="s">
        <v>250</v>
      </c>
      <c r="H5" s="440"/>
    </row>
    <row r="6" spans="1:8" s="434" customFormat="1" ht="15" outlineLevel="1" x14ac:dyDescent="0.15">
      <c r="A6" s="431">
        <v>45474</v>
      </c>
      <c r="B6" s="431">
        <v>45474</v>
      </c>
      <c r="C6" s="432">
        <v>-18.95</v>
      </c>
      <c r="D6" s="432"/>
      <c r="E6" s="433" t="s">
        <v>252</v>
      </c>
      <c r="F6" s="422" t="s">
        <v>396</v>
      </c>
      <c r="H6" s="440"/>
    </row>
    <row r="7" spans="1:8" s="434" customFormat="1" ht="15" outlineLevel="1" x14ac:dyDescent="0.15">
      <c r="A7" s="431">
        <v>45476</v>
      </c>
      <c r="B7" s="431">
        <v>45476</v>
      </c>
      <c r="C7" s="432">
        <v>-1400</v>
      </c>
      <c r="D7" s="432"/>
      <c r="E7" s="433" t="s">
        <v>254</v>
      </c>
      <c r="F7" s="422" t="s">
        <v>246</v>
      </c>
      <c r="H7" s="440"/>
    </row>
    <row r="8" spans="1:8" s="434" customFormat="1" ht="15" outlineLevel="1" x14ac:dyDescent="0.15">
      <c r="A8" s="431">
        <v>45476</v>
      </c>
      <c r="B8" s="431">
        <v>45476</v>
      </c>
      <c r="C8" s="432">
        <v>-400</v>
      </c>
      <c r="D8" s="432"/>
      <c r="E8" s="433" t="s">
        <v>254</v>
      </c>
      <c r="F8" s="422" t="s">
        <v>246</v>
      </c>
      <c r="H8" s="440"/>
    </row>
    <row r="9" spans="1:8" s="434" customFormat="1" ht="15" outlineLevel="1" x14ac:dyDescent="0.15">
      <c r="A9" s="431">
        <v>45477</v>
      </c>
      <c r="B9" s="431">
        <v>45477</v>
      </c>
      <c r="C9" s="432">
        <v>-196.5</v>
      </c>
      <c r="D9" s="432"/>
      <c r="E9" s="441" t="s">
        <v>256</v>
      </c>
      <c r="F9" s="422" t="s">
        <v>257</v>
      </c>
      <c r="H9" s="440"/>
    </row>
    <row r="10" spans="1:8" s="434" customFormat="1" ht="15" outlineLevel="1" x14ac:dyDescent="0.15">
      <c r="A10" s="431">
        <v>45477</v>
      </c>
      <c r="B10" s="431">
        <v>45477</v>
      </c>
      <c r="C10" s="432"/>
      <c r="D10" s="432">
        <v>713</v>
      </c>
      <c r="E10" s="433" t="s">
        <v>258</v>
      </c>
      <c r="F10" s="422" t="s">
        <v>259</v>
      </c>
      <c r="H10" s="440"/>
    </row>
    <row r="11" spans="1:8" s="434" customFormat="1" ht="15" outlineLevel="1" x14ac:dyDescent="0.15">
      <c r="A11" s="431">
        <v>45478</v>
      </c>
      <c r="B11" s="431">
        <v>45478</v>
      </c>
      <c r="C11" s="432">
        <v>-65.84</v>
      </c>
      <c r="D11" s="432"/>
      <c r="E11" s="441" t="s">
        <v>260</v>
      </c>
      <c r="F11" s="422" t="s">
        <v>251</v>
      </c>
      <c r="H11" s="440"/>
    </row>
    <row r="12" spans="1:8" s="434" customFormat="1" ht="15" outlineLevel="1" x14ac:dyDescent="0.15">
      <c r="A12" s="431">
        <v>45478</v>
      </c>
      <c r="B12" s="431">
        <v>45478</v>
      </c>
      <c r="C12" s="432">
        <v>-106.26</v>
      </c>
      <c r="D12" s="432"/>
      <c r="E12" s="433" t="s">
        <v>261</v>
      </c>
      <c r="F12" s="422" t="s">
        <v>419</v>
      </c>
      <c r="H12" s="440"/>
    </row>
    <row r="13" spans="1:8" s="434" customFormat="1" ht="15" outlineLevel="1" x14ac:dyDescent="0.15">
      <c r="A13" s="431">
        <v>45478</v>
      </c>
      <c r="B13" s="431">
        <v>45478</v>
      </c>
      <c r="C13" s="432">
        <v>-629</v>
      </c>
      <c r="D13" s="432"/>
      <c r="E13" s="433" t="s">
        <v>262</v>
      </c>
      <c r="F13" s="422" t="s">
        <v>248</v>
      </c>
      <c r="H13" s="440"/>
    </row>
    <row r="14" spans="1:8" s="434" customFormat="1" ht="15" outlineLevel="1" x14ac:dyDescent="0.15">
      <c r="A14" s="431">
        <v>45483</v>
      </c>
      <c r="B14" s="431">
        <v>45474</v>
      </c>
      <c r="C14" s="432">
        <v>-44.6</v>
      </c>
      <c r="D14" s="432"/>
      <c r="E14" s="433" t="s">
        <v>263</v>
      </c>
      <c r="F14" s="422" t="s">
        <v>264</v>
      </c>
      <c r="H14" s="440"/>
    </row>
    <row r="15" spans="1:8" s="434" customFormat="1" ht="15" outlineLevel="1" x14ac:dyDescent="0.15">
      <c r="A15" s="431">
        <v>45483</v>
      </c>
      <c r="B15" s="431">
        <v>45483</v>
      </c>
      <c r="C15" s="432">
        <v>-24.27</v>
      </c>
      <c r="D15" s="432"/>
      <c r="E15" s="433" t="s">
        <v>266</v>
      </c>
      <c r="F15" s="422" t="s">
        <v>259</v>
      </c>
      <c r="H15" s="440"/>
    </row>
    <row r="16" spans="1:8" s="434" customFormat="1" ht="15" outlineLevel="1" x14ac:dyDescent="0.15">
      <c r="A16" s="431">
        <v>45483</v>
      </c>
      <c r="B16" s="431">
        <v>45483</v>
      </c>
      <c r="C16" s="432">
        <v>-645.49</v>
      </c>
      <c r="D16" s="432"/>
      <c r="E16" s="433" t="s">
        <v>267</v>
      </c>
      <c r="F16" s="422" t="s">
        <v>255</v>
      </c>
      <c r="H16" s="440"/>
    </row>
    <row r="17" spans="1:10" s="434" customFormat="1" ht="15" outlineLevel="1" x14ac:dyDescent="0.15">
      <c r="A17" s="431">
        <v>45483</v>
      </c>
      <c r="B17" s="431">
        <v>45483</v>
      </c>
      <c r="C17" s="432"/>
      <c r="D17" s="432">
        <v>88.83</v>
      </c>
      <c r="E17" s="433" t="s">
        <v>268</v>
      </c>
      <c r="F17" s="422" t="s">
        <v>259</v>
      </c>
      <c r="H17" s="440"/>
    </row>
    <row r="18" spans="1:10" s="434" customFormat="1" ht="15" outlineLevel="1" x14ac:dyDescent="0.15">
      <c r="A18" s="431">
        <v>45483</v>
      </c>
      <c r="B18" s="431">
        <v>45483</v>
      </c>
      <c r="C18" s="432"/>
      <c r="D18" s="432">
        <v>236.15</v>
      </c>
      <c r="E18" s="441" t="s">
        <v>269</v>
      </c>
      <c r="F18" s="422" t="s">
        <v>243</v>
      </c>
      <c r="H18" s="440"/>
    </row>
    <row r="19" spans="1:10" s="434" customFormat="1" ht="15" outlineLevel="1" x14ac:dyDescent="0.15">
      <c r="A19" s="431">
        <v>38184</v>
      </c>
      <c r="B19" s="431">
        <v>46583</v>
      </c>
      <c r="C19" s="432">
        <v>-38.07</v>
      </c>
      <c r="D19" s="432"/>
      <c r="E19" s="433" t="s">
        <v>270</v>
      </c>
      <c r="F19" s="422" t="s">
        <v>265</v>
      </c>
      <c r="H19" s="440"/>
    </row>
    <row r="20" spans="1:10" s="434" customFormat="1" ht="15" outlineLevel="1" x14ac:dyDescent="0.15">
      <c r="A20" s="442">
        <v>45491</v>
      </c>
      <c r="B20" s="431">
        <v>45491</v>
      </c>
      <c r="C20" s="432">
        <v>-97.07</v>
      </c>
      <c r="D20" s="432"/>
      <c r="E20" s="433" t="s">
        <v>271</v>
      </c>
      <c r="F20" s="422" t="s">
        <v>411</v>
      </c>
      <c r="H20" s="440"/>
    </row>
    <row r="21" spans="1:10" s="434" customFormat="1" ht="15" outlineLevel="1" x14ac:dyDescent="0.15">
      <c r="A21" s="431">
        <v>45495</v>
      </c>
      <c r="B21" s="431">
        <v>45495</v>
      </c>
      <c r="C21" s="432">
        <v>-42</v>
      </c>
      <c r="D21" s="432"/>
      <c r="E21" s="433" t="s">
        <v>272</v>
      </c>
      <c r="F21" s="422" t="s">
        <v>273</v>
      </c>
      <c r="H21" s="440"/>
    </row>
    <row r="22" spans="1:10" s="434" customFormat="1" ht="15" outlineLevel="1" x14ac:dyDescent="0.15">
      <c r="A22" s="431">
        <v>45496</v>
      </c>
      <c r="B22" s="431">
        <v>45496</v>
      </c>
      <c r="C22" s="432"/>
      <c r="D22" s="432">
        <v>720</v>
      </c>
      <c r="E22" s="433" t="s">
        <v>275</v>
      </c>
      <c r="F22" s="422" t="s">
        <v>243</v>
      </c>
      <c r="H22" s="440"/>
    </row>
    <row r="23" spans="1:10" s="434" customFormat="1" ht="15" outlineLevel="1" x14ac:dyDescent="0.15">
      <c r="A23" s="431">
        <v>45497</v>
      </c>
      <c r="B23" s="431">
        <v>45497</v>
      </c>
      <c r="C23" s="432">
        <v>-1081</v>
      </c>
      <c r="D23" s="432"/>
      <c r="E23" s="433" t="s">
        <v>276</v>
      </c>
      <c r="F23" s="422" t="s">
        <v>1</v>
      </c>
      <c r="H23" s="440"/>
    </row>
    <row r="24" spans="1:10" s="434" customFormat="1" ht="15" outlineLevel="1" x14ac:dyDescent="0.15">
      <c r="A24" s="431">
        <v>45498</v>
      </c>
      <c r="B24" s="431">
        <v>45498</v>
      </c>
      <c r="C24" s="432">
        <v>-150</v>
      </c>
      <c r="D24" s="432"/>
      <c r="E24" s="433" t="s">
        <v>397</v>
      </c>
      <c r="F24" s="422" t="s">
        <v>253</v>
      </c>
      <c r="H24" s="440"/>
    </row>
    <row r="25" spans="1:10" s="434" customFormat="1" ht="15" outlineLevel="1" x14ac:dyDescent="0.15">
      <c r="A25" s="431">
        <v>45498</v>
      </c>
      <c r="B25" s="431">
        <v>45498</v>
      </c>
      <c r="C25" s="432"/>
      <c r="D25" s="432">
        <v>1000</v>
      </c>
      <c r="E25" s="433" t="s">
        <v>277</v>
      </c>
      <c r="F25" s="422" t="s">
        <v>243</v>
      </c>
      <c r="H25" s="440"/>
    </row>
    <row r="26" spans="1:10" s="434" customFormat="1" ht="15" outlineLevel="1" x14ac:dyDescent="0.15">
      <c r="A26" s="431">
        <v>45498</v>
      </c>
      <c r="B26" s="431">
        <v>45498</v>
      </c>
      <c r="C26" s="432"/>
      <c r="D26" s="432">
        <v>1440</v>
      </c>
      <c r="E26" s="433" t="s">
        <v>278</v>
      </c>
      <c r="F26" s="422" t="s">
        <v>243</v>
      </c>
      <c r="H26" s="440"/>
    </row>
    <row r="27" spans="1:10" s="434" customFormat="1" ht="15" outlineLevel="1" x14ac:dyDescent="0.15">
      <c r="A27" s="431">
        <v>45498</v>
      </c>
      <c r="B27" s="431">
        <v>45498</v>
      </c>
      <c r="C27" s="432">
        <v>-11</v>
      </c>
      <c r="D27" s="432"/>
      <c r="E27" s="433" t="s">
        <v>279</v>
      </c>
      <c r="F27" s="422" t="s">
        <v>265</v>
      </c>
      <c r="H27" s="440"/>
    </row>
    <row r="28" spans="1:10" s="434" customFormat="1" ht="15" outlineLevel="1" x14ac:dyDescent="0.15">
      <c r="A28" s="431">
        <v>45502</v>
      </c>
      <c r="B28" s="431">
        <v>45502</v>
      </c>
      <c r="C28" s="432">
        <v>-42.9</v>
      </c>
      <c r="D28" s="432"/>
      <c r="E28" s="433" t="s">
        <v>280</v>
      </c>
      <c r="F28" s="422" t="s">
        <v>265</v>
      </c>
      <c r="H28" s="440"/>
      <c r="J28" s="443"/>
    </row>
    <row r="29" spans="1:10" s="434" customFormat="1" ht="15" outlineLevel="1" x14ac:dyDescent="0.15">
      <c r="A29" s="431">
        <v>45502</v>
      </c>
      <c r="B29" s="431">
        <v>45502</v>
      </c>
      <c r="C29" s="432">
        <v>-72</v>
      </c>
      <c r="D29" s="432"/>
      <c r="E29" s="433" t="s">
        <v>281</v>
      </c>
      <c r="F29" s="422" t="s">
        <v>250</v>
      </c>
      <c r="H29" s="440"/>
      <c r="J29" s="443"/>
    </row>
    <row r="30" spans="1:10" s="434" customFormat="1" ht="15" x14ac:dyDescent="0.15">
      <c r="A30" s="534" t="s">
        <v>282</v>
      </c>
      <c r="B30" s="534"/>
      <c r="C30" s="154">
        <f>SUM(C2:C29)</f>
        <v>-8121.95</v>
      </c>
      <c r="D30" s="154">
        <f>SUM(D2:D29)</f>
        <v>4197.9799999999996</v>
      </c>
      <c r="E30" s="444"/>
      <c r="F30" s="422"/>
      <c r="H30" s="440"/>
      <c r="J30" s="443"/>
    </row>
    <row r="31" spans="1:10" s="434" customFormat="1" ht="15" x14ac:dyDescent="0.15">
      <c r="A31" s="431">
        <v>45505</v>
      </c>
      <c r="B31" s="431">
        <v>45505</v>
      </c>
      <c r="C31" s="432">
        <v>-1400</v>
      </c>
      <c r="D31" s="432"/>
      <c r="E31" s="433" t="s">
        <v>283</v>
      </c>
      <c r="F31" s="422" t="s">
        <v>246</v>
      </c>
      <c r="H31" s="157"/>
    </row>
    <row r="32" spans="1:10" s="434" customFormat="1" ht="15" x14ac:dyDescent="0.15">
      <c r="A32" s="431">
        <v>45505</v>
      </c>
      <c r="B32" s="431">
        <v>45505</v>
      </c>
      <c r="C32" s="432">
        <v>-500</v>
      </c>
      <c r="D32" s="432"/>
      <c r="E32" s="433" t="s">
        <v>284</v>
      </c>
      <c r="F32" s="422" t="s">
        <v>246</v>
      </c>
      <c r="H32" s="157"/>
    </row>
    <row r="33" spans="1:8" s="434" customFormat="1" ht="15" x14ac:dyDescent="0.15">
      <c r="A33" s="431">
        <v>45509</v>
      </c>
      <c r="B33" s="431">
        <v>45509</v>
      </c>
      <c r="C33" s="432">
        <v>-629</v>
      </c>
      <c r="D33" s="432"/>
      <c r="E33" s="433" t="s">
        <v>285</v>
      </c>
      <c r="F33" s="422" t="s">
        <v>248</v>
      </c>
      <c r="H33" s="157"/>
    </row>
    <row r="34" spans="1:8" s="434" customFormat="1" ht="15" x14ac:dyDescent="0.15">
      <c r="A34" s="431">
        <v>45509</v>
      </c>
      <c r="B34" s="431">
        <v>45509</v>
      </c>
      <c r="C34" s="432">
        <v>-196.5</v>
      </c>
      <c r="D34" s="432"/>
      <c r="E34" s="433" t="s">
        <v>286</v>
      </c>
      <c r="F34" s="422" t="s">
        <v>257</v>
      </c>
      <c r="H34" s="157"/>
    </row>
    <row r="35" spans="1:8" s="434" customFormat="1" ht="15" x14ac:dyDescent="0.15">
      <c r="A35" s="431">
        <v>45509</v>
      </c>
      <c r="B35" s="431">
        <v>45509</v>
      </c>
      <c r="C35" s="432">
        <v>-65.84</v>
      </c>
      <c r="D35" s="432"/>
      <c r="E35" s="433" t="s">
        <v>287</v>
      </c>
      <c r="F35" s="422" t="s">
        <v>251</v>
      </c>
      <c r="H35" s="157"/>
    </row>
    <row r="36" spans="1:8" s="434" customFormat="1" ht="15" x14ac:dyDescent="0.15">
      <c r="A36" s="431">
        <v>45511</v>
      </c>
      <c r="B36" s="431">
        <v>45511</v>
      </c>
      <c r="C36" s="432">
        <v>-1540</v>
      </c>
      <c r="D36" s="432"/>
      <c r="E36" s="433" t="s">
        <v>288</v>
      </c>
      <c r="F36" s="422" t="s">
        <v>242</v>
      </c>
      <c r="H36" s="157"/>
    </row>
    <row r="37" spans="1:8" s="434" customFormat="1" ht="15" x14ac:dyDescent="0.15">
      <c r="A37" s="431">
        <v>45511</v>
      </c>
      <c r="B37" s="431">
        <v>45511</v>
      </c>
      <c r="C37" s="432">
        <v>-6.62</v>
      </c>
      <c r="D37" s="432"/>
      <c r="E37" s="433" t="s">
        <v>289</v>
      </c>
      <c r="F37" s="422" t="s">
        <v>419</v>
      </c>
      <c r="H37" s="157"/>
    </row>
    <row r="38" spans="1:8" s="434" customFormat="1" ht="15" x14ac:dyDescent="0.15">
      <c r="A38" s="431">
        <v>45512</v>
      </c>
      <c r="B38" s="431">
        <v>45512</v>
      </c>
      <c r="C38" s="432">
        <v>-35.64</v>
      </c>
      <c r="D38" s="432"/>
      <c r="E38" s="433" t="s">
        <v>290</v>
      </c>
      <c r="F38" s="422" t="s">
        <v>412</v>
      </c>
      <c r="H38" s="157"/>
    </row>
    <row r="39" spans="1:8" s="434" customFormat="1" ht="15" x14ac:dyDescent="0.15">
      <c r="A39" s="431">
        <v>45516</v>
      </c>
      <c r="B39" s="431">
        <v>45505</v>
      </c>
      <c r="C39" s="432">
        <v>-44.39</v>
      </c>
      <c r="D39" s="432"/>
      <c r="E39" s="433" t="s">
        <v>291</v>
      </c>
      <c r="F39" s="422" t="s">
        <v>264</v>
      </c>
      <c r="H39" s="157"/>
    </row>
    <row r="40" spans="1:8" s="434" customFormat="1" ht="15" x14ac:dyDescent="0.15">
      <c r="A40" s="431">
        <v>45516</v>
      </c>
      <c r="B40" s="431">
        <v>45516</v>
      </c>
      <c r="C40" s="432">
        <v>-24.27</v>
      </c>
      <c r="D40" s="432"/>
      <c r="E40" s="433" t="s">
        <v>292</v>
      </c>
      <c r="F40" s="422" t="s">
        <v>259</v>
      </c>
      <c r="H40" s="157"/>
    </row>
    <row r="41" spans="1:8" s="434" customFormat="1" ht="15" x14ac:dyDescent="0.15">
      <c r="A41" s="431">
        <v>45516</v>
      </c>
      <c r="B41" s="431">
        <v>45516</v>
      </c>
      <c r="C41" s="432">
        <v>-645.49</v>
      </c>
      <c r="D41" s="432"/>
      <c r="E41" s="433" t="s">
        <v>426</v>
      </c>
      <c r="F41" s="422" t="s">
        <v>255</v>
      </c>
      <c r="H41" s="157"/>
    </row>
    <row r="42" spans="1:8" s="434" customFormat="1" ht="15" x14ac:dyDescent="0.15">
      <c r="A42" s="431">
        <v>45523</v>
      </c>
      <c r="B42" s="431">
        <v>45523</v>
      </c>
      <c r="C42" s="432">
        <v>-500</v>
      </c>
      <c r="D42" s="432"/>
      <c r="E42" s="433" t="s">
        <v>293</v>
      </c>
      <c r="F42" s="422" t="s">
        <v>274</v>
      </c>
      <c r="H42" s="157"/>
    </row>
    <row r="43" spans="1:8" s="434" customFormat="1" ht="15" x14ac:dyDescent="0.15">
      <c r="A43" s="431">
        <v>45525</v>
      </c>
      <c r="B43" s="431">
        <v>45525</v>
      </c>
      <c r="C43" s="432">
        <v>-865</v>
      </c>
      <c r="D43" s="432"/>
      <c r="E43" s="433" t="s">
        <v>294</v>
      </c>
      <c r="F43" s="422" t="s">
        <v>1</v>
      </c>
      <c r="H43" s="157"/>
    </row>
    <row r="44" spans="1:8" s="434" customFormat="1" ht="15" x14ac:dyDescent="0.15">
      <c r="A44" s="431">
        <v>45527</v>
      </c>
      <c r="B44" s="431">
        <v>45527</v>
      </c>
      <c r="C44" s="432">
        <v>-42</v>
      </c>
      <c r="D44" s="432"/>
      <c r="E44" s="433" t="s">
        <v>295</v>
      </c>
      <c r="F44" s="422" t="s">
        <v>273</v>
      </c>
      <c r="H44" s="157"/>
    </row>
    <row r="45" spans="1:8" s="434" customFormat="1" ht="15" x14ac:dyDescent="0.15">
      <c r="A45" s="431">
        <v>45530</v>
      </c>
      <c r="B45" s="431">
        <v>45530</v>
      </c>
      <c r="C45" s="432">
        <v>-150</v>
      </c>
      <c r="D45" s="432"/>
      <c r="E45" s="433" t="s">
        <v>427</v>
      </c>
      <c r="F45" s="422" t="s">
        <v>253</v>
      </c>
      <c r="H45" s="157"/>
    </row>
    <row r="46" spans="1:8" s="434" customFormat="1" ht="15" x14ac:dyDescent="0.15">
      <c r="A46" s="431">
        <v>45530</v>
      </c>
      <c r="B46" s="431">
        <v>45530</v>
      </c>
      <c r="C46" s="432"/>
      <c r="D46" s="432">
        <v>1000</v>
      </c>
      <c r="E46" s="433" t="s">
        <v>296</v>
      </c>
      <c r="F46" s="422" t="s">
        <v>243</v>
      </c>
      <c r="H46" s="157"/>
    </row>
    <row r="47" spans="1:8" s="434" customFormat="1" ht="15" x14ac:dyDescent="0.15">
      <c r="A47" s="431">
        <v>45530</v>
      </c>
      <c r="B47" s="431">
        <v>45530</v>
      </c>
      <c r="C47" s="432"/>
      <c r="D47" s="432">
        <v>1000</v>
      </c>
      <c r="E47" s="433" t="s">
        <v>297</v>
      </c>
      <c r="F47" s="422" t="s">
        <v>243</v>
      </c>
      <c r="H47" s="157"/>
    </row>
    <row r="48" spans="1:8" s="434" customFormat="1" ht="15" x14ac:dyDescent="0.15">
      <c r="A48" s="431">
        <v>45531</v>
      </c>
      <c r="B48" s="431">
        <v>45531</v>
      </c>
      <c r="C48" s="432"/>
      <c r="D48" s="432">
        <v>1200</v>
      </c>
      <c r="E48" s="433" t="s">
        <v>298</v>
      </c>
      <c r="F48" s="422" t="s">
        <v>243</v>
      </c>
      <c r="H48" s="157"/>
    </row>
    <row r="49" spans="1:8" s="434" customFormat="1" ht="15" x14ac:dyDescent="0.15">
      <c r="A49" s="431">
        <v>45531</v>
      </c>
      <c r="B49" s="431">
        <v>45531</v>
      </c>
      <c r="C49" s="432">
        <v>-20</v>
      </c>
      <c r="D49" s="432"/>
      <c r="E49" s="433" t="s">
        <v>299</v>
      </c>
      <c r="F49" s="422" t="s">
        <v>396</v>
      </c>
      <c r="H49" s="157"/>
    </row>
    <row r="50" spans="1:8" s="434" customFormat="1" ht="15" x14ac:dyDescent="0.15">
      <c r="A50" s="431">
        <v>45532</v>
      </c>
      <c r="B50" s="431">
        <v>45532</v>
      </c>
      <c r="C50" s="432"/>
      <c r="D50" s="432">
        <v>1000</v>
      </c>
      <c r="E50" s="433" t="s">
        <v>300</v>
      </c>
      <c r="F50" s="422" t="s">
        <v>243</v>
      </c>
      <c r="H50" s="157"/>
    </row>
    <row r="51" spans="1:8" s="434" customFormat="1" ht="15" x14ac:dyDescent="0.15">
      <c r="A51" s="431">
        <v>45532</v>
      </c>
      <c r="B51" s="431">
        <v>45532</v>
      </c>
      <c r="C51" s="432">
        <v>-72</v>
      </c>
      <c r="D51" s="432"/>
      <c r="E51" s="433" t="s">
        <v>301</v>
      </c>
      <c r="F51" s="422" t="s">
        <v>250</v>
      </c>
      <c r="H51" s="157"/>
    </row>
    <row r="52" spans="1:8" s="434" customFormat="1" ht="15" x14ac:dyDescent="0.15">
      <c r="A52" s="431">
        <v>45534</v>
      </c>
      <c r="B52" s="431">
        <v>45534</v>
      </c>
      <c r="C52" s="432"/>
      <c r="D52" s="432">
        <v>271.61</v>
      </c>
      <c r="E52" s="433" t="s">
        <v>302</v>
      </c>
      <c r="F52" s="422" t="s">
        <v>243</v>
      </c>
      <c r="H52" s="157"/>
    </row>
    <row r="53" spans="1:8" s="434" customFormat="1" x14ac:dyDescent="0.15">
      <c r="A53" s="534" t="s">
        <v>282</v>
      </c>
      <c r="B53" s="534"/>
      <c r="C53" s="154">
        <f>SUM(C31:C52)</f>
        <v>-6736.7500000000009</v>
      </c>
      <c r="D53" s="154">
        <f>SUM(D31:D52)</f>
        <v>4471.6099999999997</v>
      </c>
      <c r="E53" s="444"/>
      <c r="F53" s="422"/>
      <c r="H53" s="157"/>
    </row>
    <row r="54" spans="1:8" s="434" customFormat="1" ht="15" x14ac:dyDescent="0.15">
      <c r="A54" s="431">
        <v>45537</v>
      </c>
      <c r="B54" s="431">
        <v>45537</v>
      </c>
      <c r="C54" s="435">
        <v>-1650</v>
      </c>
      <c r="D54" s="435"/>
      <c r="E54" s="433" t="s">
        <v>254</v>
      </c>
      <c r="F54" s="422" t="s">
        <v>246</v>
      </c>
      <c r="H54" s="157"/>
    </row>
    <row r="55" spans="1:8" s="434" customFormat="1" ht="15" x14ac:dyDescent="0.15">
      <c r="A55" s="431">
        <v>45537</v>
      </c>
      <c r="B55" s="431">
        <v>45537</v>
      </c>
      <c r="C55" s="435">
        <v>-550</v>
      </c>
      <c r="D55" s="435"/>
      <c r="E55" s="433" t="s">
        <v>254</v>
      </c>
      <c r="F55" s="422" t="s">
        <v>246</v>
      </c>
      <c r="H55" s="157"/>
    </row>
    <row r="56" spans="1:8" s="434" customFormat="1" ht="15" x14ac:dyDescent="0.15">
      <c r="A56" s="431">
        <v>45537</v>
      </c>
      <c r="B56" s="431">
        <v>45537</v>
      </c>
      <c r="C56" s="435">
        <v>-910</v>
      </c>
      <c r="D56" s="435"/>
      <c r="E56" s="433" t="s">
        <v>303</v>
      </c>
      <c r="F56" s="422" t="s">
        <v>242</v>
      </c>
      <c r="H56" s="157"/>
    </row>
    <row r="57" spans="1:8" s="434" customFormat="1" ht="15" x14ac:dyDescent="0.15">
      <c r="A57" s="431">
        <v>45538</v>
      </c>
      <c r="B57" s="431">
        <v>45538</v>
      </c>
      <c r="C57" s="435">
        <v>-196.5</v>
      </c>
      <c r="D57" s="435"/>
      <c r="E57" s="433" t="s">
        <v>304</v>
      </c>
      <c r="F57" s="422" t="s">
        <v>257</v>
      </c>
      <c r="H57" s="157"/>
    </row>
    <row r="58" spans="1:8" s="434" customFormat="1" ht="15" x14ac:dyDescent="0.15">
      <c r="A58" s="431">
        <v>45538</v>
      </c>
      <c r="B58" s="431">
        <v>45538</v>
      </c>
      <c r="C58" s="435"/>
      <c r="D58" s="435">
        <v>1188</v>
      </c>
      <c r="E58" s="433" t="s">
        <v>305</v>
      </c>
      <c r="F58" s="422" t="s">
        <v>243</v>
      </c>
      <c r="H58" s="157"/>
    </row>
    <row r="59" spans="1:8" s="434" customFormat="1" ht="15" x14ac:dyDescent="0.15">
      <c r="A59" s="431">
        <v>45538</v>
      </c>
      <c r="B59" s="431">
        <v>45538</v>
      </c>
      <c r="C59" s="435">
        <v>-60</v>
      </c>
      <c r="D59" s="435"/>
      <c r="E59" s="433" t="s">
        <v>306</v>
      </c>
      <c r="F59" s="422" t="s">
        <v>412</v>
      </c>
      <c r="H59" s="157"/>
    </row>
    <row r="60" spans="1:8" s="434" customFormat="1" ht="15" x14ac:dyDescent="0.15">
      <c r="A60" s="431">
        <v>45539</v>
      </c>
      <c r="B60" s="431">
        <v>45539</v>
      </c>
      <c r="C60" s="435"/>
      <c r="D60" s="435">
        <v>1134</v>
      </c>
      <c r="E60" s="433" t="s">
        <v>307</v>
      </c>
      <c r="F60" s="422" t="s">
        <v>243</v>
      </c>
      <c r="H60" s="157"/>
    </row>
    <row r="61" spans="1:8" s="434" customFormat="1" ht="15" x14ac:dyDescent="0.15">
      <c r="A61" s="431">
        <v>45540</v>
      </c>
      <c r="B61" s="431">
        <v>45540</v>
      </c>
      <c r="C61" s="435">
        <v>-629</v>
      </c>
      <c r="D61" s="435"/>
      <c r="E61" s="433" t="s">
        <v>308</v>
      </c>
      <c r="F61" s="422" t="s">
        <v>248</v>
      </c>
      <c r="H61" s="157"/>
    </row>
    <row r="62" spans="1:8" s="434" customFormat="1" ht="15" x14ac:dyDescent="0.15">
      <c r="A62" s="431">
        <v>45540</v>
      </c>
      <c r="B62" s="431">
        <v>45540</v>
      </c>
      <c r="C62" s="435">
        <v>-65.84</v>
      </c>
      <c r="D62" s="435"/>
      <c r="E62" s="433" t="s">
        <v>309</v>
      </c>
      <c r="F62" s="422" t="s">
        <v>251</v>
      </c>
      <c r="H62" s="157"/>
    </row>
    <row r="63" spans="1:8" s="434" customFormat="1" ht="15" x14ac:dyDescent="0.15">
      <c r="A63" s="431">
        <v>45541</v>
      </c>
      <c r="B63" s="431">
        <v>45541</v>
      </c>
      <c r="C63" s="435"/>
      <c r="D63" s="435">
        <v>1529.91</v>
      </c>
      <c r="E63" s="433" t="s">
        <v>310</v>
      </c>
      <c r="F63" s="422" t="s">
        <v>243</v>
      </c>
      <c r="H63" s="157"/>
    </row>
    <row r="64" spans="1:8" s="434" customFormat="1" ht="15" x14ac:dyDescent="0.15">
      <c r="A64" s="431">
        <v>45545</v>
      </c>
      <c r="B64" s="431">
        <v>45536</v>
      </c>
      <c r="C64" s="435">
        <v>-44.81</v>
      </c>
      <c r="D64" s="435"/>
      <c r="E64" s="433" t="s">
        <v>311</v>
      </c>
      <c r="F64" s="422" t="s">
        <v>264</v>
      </c>
      <c r="H64" s="157"/>
    </row>
    <row r="65" spans="1:8" s="434" customFormat="1" ht="15" x14ac:dyDescent="0.15">
      <c r="A65" s="431">
        <v>45545</v>
      </c>
      <c r="B65" s="431">
        <v>45545</v>
      </c>
      <c r="C65" s="435">
        <v>-645.49</v>
      </c>
      <c r="D65" s="435"/>
      <c r="E65" s="433" t="s">
        <v>428</v>
      </c>
      <c r="F65" s="422" t="s">
        <v>255</v>
      </c>
      <c r="H65" s="157"/>
    </row>
    <row r="66" spans="1:8" s="434" customFormat="1" ht="15" x14ac:dyDescent="0.15">
      <c r="A66" s="431">
        <v>45546</v>
      </c>
      <c r="B66" s="431">
        <v>45546</v>
      </c>
      <c r="C66" s="435">
        <v>-24.27</v>
      </c>
      <c r="D66" s="435"/>
      <c r="E66" s="433" t="s">
        <v>312</v>
      </c>
      <c r="F66" s="422" t="s">
        <v>259</v>
      </c>
      <c r="H66" s="157"/>
    </row>
    <row r="67" spans="1:8" s="434" customFormat="1" ht="15" x14ac:dyDescent="0.15">
      <c r="A67" s="431">
        <v>45548</v>
      </c>
      <c r="B67" s="431">
        <v>45548</v>
      </c>
      <c r="C67" s="435">
        <v>-25.2</v>
      </c>
      <c r="D67" s="435"/>
      <c r="E67" s="433" t="s">
        <v>313</v>
      </c>
      <c r="F67" s="422" t="s">
        <v>403</v>
      </c>
      <c r="H67" s="157"/>
    </row>
    <row r="68" spans="1:8" s="434" customFormat="1" ht="15" x14ac:dyDescent="0.15">
      <c r="A68" s="431">
        <v>45553</v>
      </c>
      <c r="B68" s="431">
        <v>45553</v>
      </c>
      <c r="C68" s="435">
        <v>-1749</v>
      </c>
      <c r="D68" s="435"/>
      <c r="E68" s="433" t="s">
        <v>314</v>
      </c>
      <c r="F68" s="422" t="s">
        <v>411</v>
      </c>
      <c r="H68" s="157"/>
    </row>
    <row r="69" spans="1:8" s="434" customFormat="1" ht="15" x14ac:dyDescent="0.15">
      <c r="A69" s="431">
        <v>45553</v>
      </c>
      <c r="B69" s="431">
        <v>45553</v>
      </c>
      <c r="C69" s="435">
        <v>-89</v>
      </c>
      <c r="D69" s="435"/>
      <c r="E69" s="433" t="s">
        <v>314</v>
      </c>
      <c r="F69" s="422" t="s">
        <v>411</v>
      </c>
      <c r="H69" s="157"/>
    </row>
    <row r="70" spans="1:8" s="434" customFormat="1" ht="15" x14ac:dyDescent="0.15">
      <c r="A70" s="431">
        <v>45554</v>
      </c>
      <c r="B70" s="431">
        <v>45554</v>
      </c>
      <c r="C70" s="435">
        <v>-185</v>
      </c>
      <c r="D70" s="435"/>
      <c r="E70" s="433" t="s">
        <v>315</v>
      </c>
      <c r="F70" s="422" t="s">
        <v>411</v>
      </c>
      <c r="H70" s="157"/>
    </row>
    <row r="71" spans="1:8" s="434" customFormat="1" ht="15" x14ac:dyDescent="0.15">
      <c r="A71" s="431">
        <v>45554</v>
      </c>
      <c r="B71" s="431">
        <v>45555</v>
      </c>
      <c r="C71" s="435"/>
      <c r="D71" s="435">
        <v>15000</v>
      </c>
      <c r="E71" s="433" t="s">
        <v>316</v>
      </c>
      <c r="F71" s="422" t="s">
        <v>494</v>
      </c>
      <c r="H71" s="157"/>
    </row>
    <row r="72" spans="1:8" s="434" customFormat="1" ht="15" x14ac:dyDescent="0.15">
      <c r="A72" s="431">
        <v>45554</v>
      </c>
      <c r="B72" s="431">
        <v>45555</v>
      </c>
      <c r="C72" s="435"/>
      <c r="D72" s="435">
        <v>247.49</v>
      </c>
      <c r="E72" s="433" t="s">
        <v>317</v>
      </c>
      <c r="F72" s="422" t="s">
        <v>494</v>
      </c>
      <c r="H72" s="157"/>
    </row>
    <row r="73" spans="1:8" s="434" customFormat="1" ht="15" x14ac:dyDescent="0.15">
      <c r="A73" s="431">
        <v>45555</v>
      </c>
      <c r="B73" s="431">
        <v>45555</v>
      </c>
      <c r="C73" s="435">
        <v>-719</v>
      </c>
      <c r="D73" s="435"/>
      <c r="E73" s="433" t="s">
        <v>318</v>
      </c>
      <c r="F73" s="422" t="s">
        <v>411</v>
      </c>
      <c r="H73" s="157"/>
    </row>
    <row r="74" spans="1:8" s="434" customFormat="1" ht="15" x14ac:dyDescent="0.15">
      <c r="A74" s="431">
        <v>45555</v>
      </c>
      <c r="B74" s="431">
        <v>45555</v>
      </c>
      <c r="C74" s="435">
        <v>-83.04</v>
      </c>
      <c r="D74" s="435"/>
      <c r="E74" s="433" t="s">
        <v>319</v>
      </c>
      <c r="F74" s="422" t="s">
        <v>411</v>
      </c>
      <c r="H74" s="157"/>
    </row>
    <row r="75" spans="1:8" s="434" customFormat="1" ht="15" x14ac:dyDescent="0.15">
      <c r="A75" s="431">
        <v>45555</v>
      </c>
      <c r="B75" s="431">
        <v>45555</v>
      </c>
      <c r="C75" s="435">
        <v>-40.380000000000003</v>
      </c>
      <c r="D75" s="435"/>
      <c r="E75" s="433" t="s">
        <v>320</v>
      </c>
      <c r="F75" s="422" t="s">
        <v>265</v>
      </c>
      <c r="H75" s="157"/>
    </row>
    <row r="76" spans="1:8" s="434" customFormat="1" ht="15" x14ac:dyDescent="0.15">
      <c r="A76" s="431">
        <v>45557</v>
      </c>
      <c r="B76" s="431">
        <v>45556</v>
      </c>
      <c r="C76" s="435">
        <v>-15000</v>
      </c>
      <c r="D76" s="435"/>
      <c r="E76" s="433" t="s">
        <v>321</v>
      </c>
      <c r="F76" s="422" t="s">
        <v>494</v>
      </c>
      <c r="H76" s="157"/>
    </row>
    <row r="77" spans="1:8" s="434" customFormat="1" ht="15" x14ac:dyDescent="0.15">
      <c r="A77" s="431">
        <v>45558</v>
      </c>
      <c r="B77" s="431">
        <v>45558</v>
      </c>
      <c r="C77" s="435"/>
      <c r="D77" s="435">
        <v>1200</v>
      </c>
      <c r="E77" s="433" t="s">
        <v>322</v>
      </c>
      <c r="F77" s="422" t="s">
        <v>243</v>
      </c>
      <c r="H77" s="157"/>
    </row>
    <row r="78" spans="1:8" s="434" customFormat="1" ht="15" x14ac:dyDescent="0.15">
      <c r="A78" s="431">
        <v>45558</v>
      </c>
      <c r="B78" s="431">
        <v>45558</v>
      </c>
      <c r="C78" s="435">
        <v>-42</v>
      </c>
      <c r="D78" s="435"/>
      <c r="E78" s="433" t="s">
        <v>323</v>
      </c>
      <c r="F78" s="422" t="s">
        <v>273</v>
      </c>
      <c r="H78" s="157"/>
    </row>
    <row r="79" spans="1:8" s="434" customFormat="1" ht="15" x14ac:dyDescent="0.15">
      <c r="A79" s="431">
        <v>45558</v>
      </c>
      <c r="B79" s="431">
        <v>45558</v>
      </c>
      <c r="C79" s="435">
        <v>-179</v>
      </c>
      <c r="D79" s="435"/>
      <c r="E79" s="433" t="s">
        <v>324</v>
      </c>
      <c r="F79" s="422" t="s">
        <v>411</v>
      </c>
      <c r="H79" s="157"/>
    </row>
    <row r="80" spans="1:8" s="434" customFormat="1" ht="15" x14ac:dyDescent="0.15">
      <c r="A80" s="431">
        <v>45558</v>
      </c>
      <c r="B80" s="431">
        <v>45558</v>
      </c>
      <c r="C80" s="435">
        <v>-5719</v>
      </c>
      <c r="D80" s="435"/>
      <c r="E80" s="433" t="s">
        <v>324</v>
      </c>
      <c r="F80" s="422" t="s">
        <v>411</v>
      </c>
      <c r="H80" s="157"/>
    </row>
    <row r="81" spans="1:8" s="434" customFormat="1" ht="15" x14ac:dyDescent="0.15">
      <c r="A81" s="431">
        <v>45559</v>
      </c>
      <c r="B81" s="431">
        <v>45559</v>
      </c>
      <c r="C81" s="435">
        <v>-67</v>
      </c>
      <c r="D81" s="435"/>
      <c r="E81" s="433" t="s">
        <v>325</v>
      </c>
      <c r="F81" s="422" t="s">
        <v>265</v>
      </c>
      <c r="H81" s="157"/>
    </row>
    <row r="82" spans="1:8" s="434" customFormat="1" ht="30" x14ac:dyDescent="0.15">
      <c r="A82" s="431">
        <v>45560</v>
      </c>
      <c r="B82" s="431">
        <v>45560</v>
      </c>
      <c r="C82" s="435">
        <v>-150</v>
      </c>
      <c r="D82" s="435"/>
      <c r="E82" s="433" t="s">
        <v>326</v>
      </c>
      <c r="F82" s="422" t="s">
        <v>253</v>
      </c>
      <c r="H82" s="157"/>
    </row>
    <row r="83" spans="1:8" s="434" customFormat="1" ht="15" x14ac:dyDescent="0.15">
      <c r="A83" s="431">
        <v>45560</v>
      </c>
      <c r="B83" s="431">
        <v>45560</v>
      </c>
      <c r="C83" s="435">
        <v>-495</v>
      </c>
      <c r="D83" s="435"/>
      <c r="E83" s="433" t="s">
        <v>327</v>
      </c>
      <c r="F83" s="422" t="s">
        <v>1</v>
      </c>
      <c r="H83" s="157"/>
    </row>
    <row r="84" spans="1:8" s="434" customFormat="1" ht="15" x14ac:dyDescent="0.15">
      <c r="A84" s="431">
        <v>45560</v>
      </c>
      <c r="B84" s="431">
        <v>45560</v>
      </c>
      <c r="C84" s="435">
        <v>-76.489999999999995</v>
      </c>
      <c r="D84" s="435"/>
      <c r="E84" s="433" t="s">
        <v>328</v>
      </c>
      <c r="F84" s="422" t="s">
        <v>412</v>
      </c>
      <c r="H84" s="157"/>
    </row>
    <row r="85" spans="1:8" s="434" customFormat="1" ht="15" x14ac:dyDescent="0.15">
      <c r="A85" s="431">
        <v>45560</v>
      </c>
      <c r="B85" s="431">
        <v>45560</v>
      </c>
      <c r="C85" s="435">
        <v>-151.19999999999999</v>
      </c>
      <c r="D85" s="435"/>
      <c r="E85" s="433" t="s">
        <v>329</v>
      </c>
      <c r="F85" s="422" t="s">
        <v>412</v>
      </c>
      <c r="H85" s="157"/>
    </row>
    <row r="86" spans="1:8" s="434" customFormat="1" ht="15" x14ac:dyDescent="0.15">
      <c r="A86" s="431">
        <v>45562</v>
      </c>
      <c r="B86" s="431">
        <v>45562</v>
      </c>
      <c r="C86" s="435">
        <v>-72</v>
      </c>
      <c r="D86" s="435"/>
      <c r="E86" s="433" t="s">
        <v>330</v>
      </c>
      <c r="F86" s="422" t="s">
        <v>250</v>
      </c>
      <c r="H86" s="157"/>
    </row>
    <row r="87" spans="1:8" s="434" customFormat="1" ht="15" x14ac:dyDescent="0.15">
      <c r="A87" s="431">
        <v>45565</v>
      </c>
      <c r="B87" s="431">
        <v>45565</v>
      </c>
      <c r="C87" s="435"/>
      <c r="D87" s="435">
        <v>648</v>
      </c>
      <c r="E87" s="433" t="s">
        <v>331</v>
      </c>
      <c r="F87" s="422" t="s">
        <v>243</v>
      </c>
      <c r="H87" s="157"/>
    </row>
    <row r="88" spans="1:8" s="434" customFormat="1" ht="15" x14ac:dyDescent="0.15">
      <c r="A88" s="431">
        <v>45565</v>
      </c>
      <c r="B88" s="431">
        <v>45565</v>
      </c>
      <c r="C88" s="435">
        <v>-3.5</v>
      </c>
      <c r="D88" s="435"/>
      <c r="E88" s="433" t="s">
        <v>332</v>
      </c>
      <c r="F88" s="422" t="s">
        <v>265</v>
      </c>
      <c r="H88" s="157"/>
    </row>
    <row r="89" spans="1:8" s="434" customFormat="1" x14ac:dyDescent="0.15">
      <c r="A89" s="534" t="s">
        <v>282</v>
      </c>
      <c r="B89" s="534"/>
      <c r="C89" s="154">
        <f>SUM(C54:C88)</f>
        <v>-29621.72</v>
      </c>
      <c r="D89" s="154">
        <f>SUM(D54:D88)</f>
        <v>20947.400000000001</v>
      </c>
      <c r="E89" s="444"/>
      <c r="F89" s="422"/>
      <c r="H89" s="157"/>
    </row>
    <row r="90" spans="1:8" s="434" customFormat="1" ht="15" x14ac:dyDescent="0.15">
      <c r="A90" s="431">
        <v>45566</v>
      </c>
      <c r="B90" s="431">
        <v>45566</v>
      </c>
      <c r="C90" s="435">
        <v>-1650</v>
      </c>
      <c r="D90" s="435"/>
      <c r="E90" s="433" t="s">
        <v>333</v>
      </c>
      <c r="F90" s="422" t="s">
        <v>246</v>
      </c>
      <c r="H90" s="157"/>
    </row>
    <row r="91" spans="1:8" s="434" customFormat="1" ht="15" x14ac:dyDescent="0.15">
      <c r="A91" s="431">
        <v>45566</v>
      </c>
      <c r="B91" s="431">
        <v>45566</v>
      </c>
      <c r="C91" s="435">
        <v>-550</v>
      </c>
      <c r="D91" s="435"/>
      <c r="E91" s="433" t="s">
        <v>334</v>
      </c>
      <c r="F91" s="422" t="s">
        <v>246</v>
      </c>
      <c r="H91" s="157"/>
    </row>
    <row r="92" spans="1:8" s="434" customFormat="1" ht="15" x14ac:dyDescent="0.15">
      <c r="A92" s="431">
        <v>45567</v>
      </c>
      <c r="B92" s="431">
        <v>45567</v>
      </c>
      <c r="C92" s="435">
        <v>-410</v>
      </c>
      <c r="D92" s="435"/>
      <c r="E92" s="433" t="s">
        <v>335</v>
      </c>
      <c r="F92" s="422" t="s">
        <v>274</v>
      </c>
      <c r="H92" s="157"/>
    </row>
    <row r="93" spans="1:8" s="434" customFormat="1" ht="15" x14ac:dyDescent="0.15">
      <c r="A93" s="431">
        <v>45567</v>
      </c>
      <c r="B93" s="431">
        <v>45567</v>
      </c>
      <c r="C93" s="435">
        <v>-550</v>
      </c>
      <c r="D93" s="435"/>
      <c r="E93" s="433" t="s">
        <v>336</v>
      </c>
      <c r="F93" s="422" t="s">
        <v>274</v>
      </c>
      <c r="H93" s="157"/>
    </row>
    <row r="94" spans="1:8" s="434" customFormat="1" ht="15" x14ac:dyDescent="0.15">
      <c r="A94" s="431">
        <v>45567</v>
      </c>
      <c r="B94" s="431">
        <v>45567</v>
      </c>
      <c r="C94" s="435">
        <v>-60</v>
      </c>
      <c r="D94" s="435"/>
      <c r="E94" s="433" t="s">
        <v>337</v>
      </c>
      <c r="F94" s="422" t="s">
        <v>412</v>
      </c>
      <c r="H94" s="157"/>
    </row>
    <row r="95" spans="1:8" s="434" customFormat="1" ht="15" x14ac:dyDescent="0.15">
      <c r="A95" s="431">
        <v>45568</v>
      </c>
      <c r="B95" s="431">
        <v>45568</v>
      </c>
      <c r="C95" s="435">
        <v>-196.5</v>
      </c>
      <c r="D95" s="435"/>
      <c r="E95" s="433" t="s">
        <v>338</v>
      </c>
      <c r="F95" s="422" t="s">
        <v>257</v>
      </c>
      <c r="H95" s="157"/>
    </row>
    <row r="96" spans="1:8" s="434" customFormat="1" ht="15" x14ac:dyDescent="0.15">
      <c r="A96" s="431">
        <v>45569</v>
      </c>
      <c r="B96" s="431">
        <v>45569</v>
      </c>
      <c r="C96" s="435">
        <v>-436</v>
      </c>
      <c r="D96" s="435"/>
      <c r="E96" s="433" t="s">
        <v>339</v>
      </c>
      <c r="F96" s="422" t="s">
        <v>34</v>
      </c>
      <c r="H96" s="157"/>
    </row>
    <row r="97" spans="1:8" s="434" customFormat="1" ht="15" x14ac:dyDescent="0.15">
      <c r="A97" s="431">
        <v>45572</v>
      </c>
      <c r="B97" s="431">
        <v>45572</v>
      </c>
      <c r="C97" s="435">
        <v>-629</v>
      </c>
      <c r="D97" s="435"/>
      <c r="E97" s="433" t="s">
        <v>340</v>
      </c>
      <c r="F97" s="422" t="s">
        <v>248</v>
      </c>
      <c r="H97" s="157"/>
    </row>
    <row r="98" spans="1:8" s="434" customFormat="1" ht="15" x14ac:dyDescent="0.15">
      <c r="A98" s="431">
        <v>45572</v>
      </c>
      <c r="B98" s="431">
        <v>45572</v>
      </c>
      <c r="C98" s="435">
        <v>-65.84</v>
      </c>
      <c r="D98" s="435"/>
      <c r="E98" s="433" t="s">
        <v>341</v>
      </c>
      <c r="F98" s="422" t="s">
        <v>251</v>
      </c>
      <c r="H98" s="157"/>
    </row>
    <row r="99" spans="1:8" s="434" customFormat="1" ht="15" x14ac:dyDescent="0.15">
      <c r="A99" s="431">
        <v>45575</v>
      </c>
      <c r="B99" s="431">
        <v>45566</v>
      </c>
      <c r="C99" s="435">
        <v>-50.39</v>
      </c>
      <c r="D99" s="435"/>
      <c r="E99" s="433" t="s">
        <v>342</v>
      </c>
      <c r="F99" s="422" t="s">
        <v>264</v>
      </c>
      <c r="H99" s="157"/>
    </row>
    <row r="100" spans="1:8" s="434" customFormat="1" ht="15" x14ac:dyDescent="0.15">
      <c r="A100" s="431">
        <v>45575</v>
      </c>
      <c r="B100" s="431">
        <v>45575</v>
      </c>
      <c r="C100" s="435">
        <v>-24.27</v>
      </c>
      <c r="D100" s="435"/>
      <c r="E100" s="433" t="s">
        <v>343</v>
      </c>
      <c r="F100" s="422" t="s">
        <v>259</v>
      </c>
      <c r="H100" s="157"/>
    </row>
    <row r="101" spans="1:8" s="434" customFormat="1" ht="30" x14ac:dyDescent="0.15">
      <c r="A101" s="431">
        <v>45575</v>
      </c>
      <c r="B101" s="431">
        <v>45575</v>
      </c>
      <c r="C101" s="435">
        <v>-645.53</v>
      </c>
      <c r="D101" s="435"/>
      <c r="E101" s="433" t="s">
        <v>344</v>
      </c>
      <c r="F101" s="422" t="s">
        <v>255</v>
      </c>
      <c r="H101" s="157"/>
    </row>
    <row r="102" spans="1:8" s="434" customFormat="1" ht="15" x14ac:dyDescent="0.15">
      <c r="A102" s="431">
        <v>45576</v>
      </c>
      <c r="B102" s="431">
        <v>45576</v>
      </c>
      <c r="C102" s="435"/>
      <c r="D102" s="435">
        <v>1944</v>
      </c>
      <c r="E102" s="433" t="s">
        <v>345</v>
      </c>
      <c r="F102" s="422" t="s">
        <v>243</v>
      </c>
      <c r="H102" s="157"/>
    </row>
    <row r="103" spans="1:8" s="434" customFormat="1" ht="15" x14ac:dyDescent="0.15">
      <c r="A103" s="431">
        <v>45577</v>
      </c>
      <c r="B103" s="431">
        <v>45577</v>
      </c>
      <c r="C103" s="435">
        <v>-945</v>
      </c>
      <c r="D103" s="435"/>
      <c r="E103" s="433" t="s">
        <v>346</v>
      </c>
      <c r="F103" s="422" t="s">
        <v>242</v>
      </c>
      <c r="H103" s="157"/>
    </row>
    <row r="104" spans="1:8" s="434" customFormat="1" ht="15" x14ac:dyDescent="0.15">
      <c r="A104" s="431">
        <v>45579</v>
      </c>
      <c r="B104" s="431">
        <v>45579</v>
      </c>
      <c r="C104" s="435">
        <v>-48.5</v>
      </c>
      <c r="D104" s="435"/>
      <c r="E104" s="433" t="s">
        <v>347</v>
      </c>
      <c r="F104" s="422" t="s">
        <v>265</v>
      </c>
      <c r="H104" s="157"/>
    </row>
    <row r="105" spans="1:8" s="434" customFormat="1" ht="15" x14ac:dyDescent="0.15">
      <c r="A105" s="431">
        <v>45580</v>
      </c>
      <c r="B105" s="431">
        <v>45580</v>
      </c>
      <c r="C105" s="435">
        <v>-1831</v>
      </c>
      <c r="D105" s="435"/>
      <c r="E105" s="433" t="s">
        <v>348</v>
      </c>
      <c r="F105" s="452" t="s">
        <v>35</v>
      </c>
      <c r="H105" s="157"/>
    </row>
    <row r="106" spans="1:8" s="434" customFormat="1" ht="15" x14ac:dyDescent="0.15">
      <c r="A106" s="431">
        <v>45582</v>
      </c>
      <c r="B106" s="431">
        <v>45582</v>
      </c>
      <c r="C106" s="435">
        <v>-6.6</v>
      </c>
      <c r="D106" s="435"/>
      <c r="E106" s="433" t="s">
        <v>349</v>
      </c>
      <c r="F106" s="422" t="s">
        <v>265</v>
      </c>
      <c r="H106" s="157"/>
    </row>
    <row r="107" spans="1:8" s="434" customFormat="1" ht="15" x14ac:dyDescent="0.15">
      <c r="A107" s="431">
        <v>45586</v>
      </c>
      <c r="B107" s="431">
        <v>45586</v>
      </c>
      <c r="C107" s="435">
        <v>-42</v>
      </c>
      <c r="D107" s="435"/>
      <c r="E107" s="433" t="s">
        <v>350</v>
      </c>
      <c r="F107" s="422" t="s">
        <v>273</v>
      </c>
      <c r="H107" s="157"/>
    </row>
    <row r="108" spans="1:8" s="434" customFormat="1" ht="15" x14ac:dyDescent="0.15">
      <c r="A108" s="431">
        <v>45586</v>
      </c>
      <c r="B108" s="431">
        <v>45586</v>
      </c>
      <c r="C108" s="435">
        <v>-83.02</v>
      </c>
      <c r="D108" s="435"/>
      <c r="E108" s="433" t="s">
        <v>351</v>
      </c>
      <c r="F108" s="422" t="s">
        <v>411</v>
      </c>
      <c r="H108" s="157"/>
    </row>
    <row r="109" spans="1:8" s="434" customFormat="1" ht="15" x14ac:dyDescent="0.15">
      <c r="A109" s="431">
        <v>45589</v>
      </c>
      <c r="B109" s="431">
        <v>45589</v>
      </c>
      <c r="C109" s="435"/>
      <c r="D109" s="435">
        <v>900</v>
      </c>
      <c r="E109" s="433" t="s">
        <v>352</v>
      </c>
      <c r="F109" s="422" t="s">
        <v>243</v>
      </c>
      <c r="H109" s="157"/>
    </row>
    <row r="110" spans="1:8" s="434" customFormat="1" ht="15" x14ac:dyDescent="0.15">
      <c r="A110" s="431">
        <v>45589</v>
      </c>
      <c r="B110" s="431">
        <v>45589</v>
      </c>
      <c r="C110" s="435"/>
      <c r="D110" s="435">
        <v>1000</v>
      </c>
      <c r="E110" s="433" t="s">
        <v>353</v>
      </c>
      <c r="F110" s="422" t="s">
        <v>243</v>
      </c>
      <c r="H110" s="157"/>
    </row>
    <row r="111" spans="1:8" s="434" customFormat="1" ht="30" x14ac:dyDescent="0.15">
      <c r="A111" s="431">
        <v>45590</v>
      </c>
      <c r="B111" s="431">
        <v>45590</v>
      </c>
      <c r="C111" s="435">
        <v>-150</v>
      </c>
      <c r="D111" s="435"/>
      <c r="E111" s="433" t="s">
        <v>354</v>
      </c>
      <c r="F111" s="422" t="s">
        <v>253</v>
      </c>
      <c r="H111" s="157"/>
    </row>
    <row r="112" spans="1:8" s="434" customFormat="1" ht="15" x14ac:dyDescent="0.15">
      <c r="A112" s="431">
        <v>45594</v>
      </c>
      <c r="B112" s="431">
        <v>45594</v>
      </c>
      <c r="C112" s="435"/>
      <c r="D112" s="435">
        <v>1000</v>
      </c>
      <c r="E112" s="433" t="s">
        <v>355</v>
      </c>
      <c r="F112" s="422" t="s">
        <v>243</v>
      </c>
      <c r="H112" s="157"/>
    </row>
    <row r="113" spans="1:8" s="434" customFormat="1" ht="15" x14ac:dyDescent="0.15">
      <c r="A113" s="431">
        <v>45595</v>
      </c>
      <c r="B113" s="431">
        <v>45595</v>
      </c>
      <c r="C113" s="435"/>
      <c r="D113" s="435">
        <v>1000</v>
      </c>
      <c r="E113" s="433" t="s">
        <v>356</v>
      </c>
      <c r="F113" s="422" t="s">
        <v>243</v>
      </c>
      <c r="H113" s="157"/>
    </row>
    <row r="114" spans="1:8" s="434" customFormat="1" ht="15" x14ac:dyDescent="0.15">
      <c r="A114" s="431">
        <v>45596</v>
      </c>
      <c r="B114" s="431">
        <v>45596</v>
      </c>
      <c r="C114" s="435"/>
      <c r="D114" s="435">
        <v>1000</v>
      </c>
      <c r="E114" s="433" t="s">
        <v>357</v>
      </c>
      <c r="F114" s="422" t="s">
        <v>243</v>
      </c>
      <c r="H114" s="157"/>
    </row>
    <row r="115" spans="1:8" s="434" customFormat="1" x14ac:dyDescent="0.15">
      <c r="A115" s="534" t="s">
        <v>282</v>
      </c>
      <c r="B115" s="534"/>
      <c r="C115" s="154">
        <f>SUM(C90:C114)</f>
        <v>-8373.6500000000015</v>
      </c>
      <c r="D115" s="154">
        <f>SUM(D90:D114)</f>
        <v>6844</v>
      </c>
      <c r="E115" s="444"/>
      <c r="F115" s="422"/>
      <c r="H115" s="157"/>
    </row>
    <row r="116" spans="1:8" s="434" customFormat="1" ht="15" x14ac:dyDescent="0.15">
      <c r="A116" s="431">
        <v>45597</v>
      </c>
      <c r="B116" s="431">
        <v>45597</v>
      </c>
      <c r="C116" s="435">
        <v>-1650</v>
      </c>
      <c r="D116" s="435"/>
      <c r="E116" s="433" t="s">
        <v>358</v>
      </c>
      <c r="F116" s="422" t="s">
        <v>246</v>
      </c>
      <c r="H116" s="157"/>
    </row>
    <row r="117" spans="1:8" s="434" customFormat="1" ht="15" x14ac:dyDescent="0.15">
      <c r="A117" s="431">
        <v>45597</v>
      </c>
      <c r="B117" s="431">
        <v>45597</v>
      </c>
      <c r="C117" s="435">
        <v>-550</v>
      </c>
      <c r="D117" s="435"/>
      <c r="E117" s="433" t="s">
        <v>359</v>
      </c>
      <c r="F117" s="422" t="s">
        <v>246</v>
      </c>
      <c r="H117" s="157"/>
    </row>
    <row r="118" spans="1:8" s="434" customFormat="1" ht="15" x14ac:dyDescent="0.15">
      <c r="A118" s="431">
        <v>45599</v>
      </c>
      <c r="B118" s="431">
        <v>45599</v>
      </c>
      <c r="C118" s="435">
        <v>-1065</v>
      </c>
      <c r="D118" s="435"/>
      <c r="E118" s="433" t="s">
        <v>360</v>
      </c>
      <c r="F118" s="422" t="s">
        <v>242</v>
      </c>
      <c r="H118" s="157"/>
    </row>
    <row r="119" spans="1:8" s="434" customFormat="1" ht="15" x14ac:dyDescent="0.15">
      <c r="A119" s="431">
        <v>45600</v>
      </c>
      <c r="B119" s="431">
        <v>45600</v>
      </c>
      <c r="C119" s="435"/>
      <c r="D119" s="435">
        <v>5250</v>
      </c>
      <c r="E119" s="433" t="s">
        <v>361</v>
      </c>
      <c r="F119" s="422" t="s">
        <v>243</v>
      </c>
      <c r="H119" s="157"/>
    </row>
    <row r="120" spans="1:8" s="434" customFormat="1" ht="15" x14ac:dyDescent="0.15">
      <c r="A120" s="431">
        <v>45600</v>
      </c>
      <c r="B120" s="431">
        <v>45600</v>
      </c>
      <c r="C120" s="435">
        <v>-55</v>
      </c>
      <c r="D120" s="435"/>
      <c r="E120" s="433" t="s">
        <v>362</v>
      </c>
      <c r="F120" s="422" t="s">
        <v>496</v>
      </c>
      <c r="H120" s="157"/>
    </row>
    <row r="121" spans="1:8" s="434" customFormat="1" ht="15" x14ac:dyDescent="0.15">
      <c r="A121" s="431">
        <v>45600</v>
      </c>
      <c r="B121" s="431">
        <v>45600</v>
      </c>
      <c r="C121" s="435"/>
      <c r="D121" s="435">
        <v>1000</v>
      </c>
      <c r="E121" s="433" t="s">
        <v>363</v>
      </c>
      <c r="F121" s="422" t="s">
        <v>243</v>
      </c>
      <c r="H121" s="157"/>
    </row>
    <row r="122" spans="1:8" s="434" customFormat="1" ht="15" x14ac:dyDescent="0.15">
      <c r="A122" s="431">
        <v>45600</v>
      </c>
      <c r="B122" s="431">
        <v>45600</v>
      </c>
      <c r="C122" s="435">
        <v>-60</v>
      </c>
      <c r="D122" s="435"/>
      <c r="E122" s="433" t="s">
        <v>364</v>
      </c>
      <c r="F122" s="422" t="s">
        <v>412</v>
      </c>
      <c r="H122" s="157"/>
    </row>
    <row r="123" spans="1:8" s="434" customFormat="1" ht="15" x14ac:dyDescent="0.15">
      <c r="A123" s="431">
        <v>45601</v>
      </c>
      <c r="B123" s="431">
        <v>45601</v>
      </c>
      <c r="C123" s="435">
        <v>-745</v>
      </c>
      <c r="D123" s="435"/>
      <c r="E123" s="433" t="s">
        <v>365</v>
      </c>
      <c r="F123" s="422" t="s">
        <v>248</v>
      </c>
      <c r="H123" s="157"/>
    </row>
    <row r="124" spans="1:8" s="434" customFormat="1" ht="15" x14ac:dyDescent="0.15">
      <c r="A124" s="431">
        <v>45601</v>
      </c>
      <c r="B124" s="431">
        <v>45601</v>
      </c>
      <c r="C124" s="435">
        <v>-196.5</v>
      </c>
      <c r="D124" s="435"/>
      <c r="E124" s="433" t="s">
        <v>366</v>
      </c>
      <c r="F124" s="422" t="s">
        <v>257</v>
      </c>
      <c r="H124" s="157"/>
    </row>
    <row r="125" spans="1:8" s="434" customFormat="1" ht="15" x14ac:dyDescent="0.15">
      <c r="A125" s="431">
        <v>45601</v>
      </c>
      <c r="B125" s="431">
        <v>45601</v>
      </c>
      <c r="C125" s="435">
        <v>-71.28</v>
      </c>
      <c r="D125" s="435"/>
      <c r="E125" s="433" t="s">
        <v>367</v>
      </c>
      <c r="F125" s="422" t="s">
        <v>251</v>
      </c>
      <c r="H125" s="157"/>
    </row>
    <row r="126" spans="1:8" s="434" customFormat="1" ht="15" x14ac:dyDescent="0.15">
      <c r="A126" s="431">
        <v>45601</v>
      </c>
      <c r="B126" s="431">
        <v>45601</v>
      </c>
      <c r="C126" s="435">
        <v>-48</v>
      </c>
      <c r="D126" s="435"/>
      <c r="E126" s="433" t="s">
        <v>368</v>
      </c>
      <c r="F126" s="422" t="s">
        <v>412</v>
      </c>
      <c r="H126" s="157"/>
    </row>
    <row r="127" spans="1:8" s="434" customFormat="1" ht="15" x14ac:dyDescent="0.15">
      <c r="A127" s="431">
        <v>45602</v>
      </c>
      <c r="B127" s="431">
        <v>45602</v>
      </c>
      <c r="C127" s="435"/>
      <c r="D127" s="435">
        <v>1000</v>
      </c>
      <c r="E127" s="433" t="s">
        <v>369</v>
      </c>
      <c r="F127" s="422" t="s">
        <v>243</v>
      </c>
      <c r="H127" s="157"/>
    </row>
    <row r="128" spans="1:8" s="434" customFormat="1" ht="15" x14ac:dyDescent="0.15">
      <c r="A128" s="431">
        <v>45602</v>
      </c>
      <c r="B128" s="431">
        <v>45602</v>
      </c>
      <c r="C128" s="435"/>
      <c r="D128" s="435">
        <v>2592</v>
      </c>
      <c r="E128" s="433" t="s">
        <v>370</v>
      </c>
      <c r="F128" s="422" t="s">
        <v>243</v>
      </c>
      <c r="H128" s="157"/>
    </row>
    <row r="129" spans="1:8" s="434" customFormat="1" ht="15" x14ac:dyDescent="0.15">
      <c r="A129" s="431">
        <v>45604</v>
      </c>
      <c r="B129" s="431">
        <v>45604</v>
      </c>
      <c r="C129" s="435">
        <v>-605</v>
      </c>
      <c r="D129" s="435"/>
      <c r="E129" s="433" t="s">
        <v>371</v>
      </c>
      <c r="F129" s="422" t="s">
        <v>274</v>
      </c>
      <c r="H129" s="157"/>
    </row>
    <row r="130" spans="1:8" s="434" customFormat="1" ht="15" x14ac:dyDescent="0.15">
      <c r="A130" s="431">
        <v>45607</v>
      </c>
      <c r="B130" s="431">
        <v>45597</v>
      </c>
      <c r="C130" s="435">
        <v>-45.02</v>
      </c>
      <c r="D130" s="435"/>
      <c r="E130" s="433" t="s">
        <v>372</v>
      </c>
      <c r="F130" s="422" t="s">
        <v>264</v>
      </c>
      <c r="H130" s="157"/>
    </row>
    <row r="131" spans="1:8" s="434" customFormat="1" ht="15" x14ac:dyDescent="0.15">
      <c r="A131" s="431">
        <v>45607</v>
      </c>
      <c r="B131" s="431">
        <v>45607</v>
      </c>
      <c r="C131" s="435">
        <v>-24.27</v>
      </c>
      <c r="D131" s="435"/>
      <c r="E131" s="433" t="s">
        <v>373</v>
      </c>
      <c r="F131" s="422" t="s">
        <v>259</v>
      </c>
      <c r="H131" s="157"/>
    </row>
    <row r="132" spans="1:8" s="434" customFormat="1" ht="15" x14ac:dyDescent="0.15">
      <c r="A132" s="431">
        <v>45607</v>
      </c>
      <c r="B132" s="431">
        <v>45607</v>
      </c>
      <c r="C132" s="435">
        <v>-120</v>
      </c>
      <c r="D132" s="435"/>
      <c r="E132" s="433" t="s">
        <v>374</v>
      </c>
      <c r="F132" s="422" t="s">
        <v>257</v>
      </c>
      <c r="H132" s="157"/>
    </row>
    <row r="133" spans="1:8" s="434" customFormat="1" ht="15" x14ac:dyDescent="0.15">
      <c r="A133" s="431">
        <v>45607</v>
      </c>
      <c r="B133" s="431">
        <v>45607</v>
      </c>
      <c r="C133" s="435">
        <v>-6.8</v>
      </c>
      <c r="D133" s="435"/>
      <c r="E133" s="433" t="s">
        <v>375</v>
      </c>
      <c r="F133" s="422" t="s">
        <v>405</v>
      </c>
      <c r="H133" s="157"/>
    </row>
    <row r="134" spans="1:8" s="434" customFormat="1" ht="15" x14ac:dyDescent="0.15">
      <c r="A134" s="431">
        <v>45607</v>
      </c>
      <c r="B134" s="431">
        <v>45607</v>
      </c>
      <c r="C134" s="435">
        <v>-223.01</v>
      </c>
      <c r="D134" s="435"/>
      <c r="E134" s="433" t="s">
        <v>376</v>
      </c>
      <c r="F134" s="422" t="s">
        <v>405</v>
      </c>
      <c r="H134" s="157"/>
    </row>
    <row r="135" spans="1:8" s="434" customFormat="1" ht="15" x14ac:dyDescent="0.15">
      <c r="A135" s="431">
        <v>45608</v>
      </c>
      <c r="B135" s="431">
        <v>45608</v>
      </c>
      <c r="C135" s="435">
        <v>-17.02</v>
      </c>
      <c r="D135" s="435"/>
      <c r="E135" s="433" t="s">
        <v>377</v>
      </c>
      <c r="F135" s="422" t="s">
        <v>405</v>
      </c>
      <c r="H135" s="157"/>
    </row>
    <row r="136" spans="1:8" s="434" customFormat="1" ht="15" x14ac:dyDescent="0.15">
      <c r="A136" s="431">
        <v>45609</v>
      </c>
      <c r="B136" s="431">
        <v>45609</v>
      </c>
      <c r="C136" s="435"/>
      <c r="D136" s="435">
        <v>800</v>
      </c>
      <c r="E136" s="433" t="s">
        <v>300</v>
      </c>
      <c r="F136" s="422" t="s">
        <v>243</v>
      </c>
      <c r="H136" s="157"/>
    </row>
    <row r="137" spans="1:8" s="434" customFormat="1" ht="15" x14ac:dyDescent="0.15">
      <c r="A137" s="431">
        <v>45609</v>
      </c>
      <c r="B137" s="431">
        <v>45609</v>
      </c>
      <c r="C137" s="435">
        <v>-900</v>
      </c>
      <c r="D137" s="435"/>
      <c r="E137" s="433" t="s">
        <v>378</v>
      </c>
      <c r="F137" s="422" t="s">
        <v>419</v>
      </c>
      <c r="H137" s="157"/>
    </row>
    <row r="138" spans="1:8" s="434" customFormat="1" ht="15" x14ac:dyDescent="0.15">
      <c r="A138" s="431">
        <v>45611</v>
      </c>
      <c r="B138" s="431">
        <v>45611</v>
      </c>
      <c r="C138" s="435">
        <v>-12.45</v>
      </c>
      <c r="D138" s="435"/>
      <c r="E138" s="433" t="s">
        <v>379</v>
      </c>
      <c r="F138" s="422" t="s">
        <v>265</v>
      </c>
      <c r="H138" s="157"/>
    </row>
    <row r="139" spans="1:8" s="434" customFormat="1" ht="15" x14ac:dyDescent="0.15">
      <c r="A139" s="431">
        <v>45611</v>
      </c>
      <c r="B139" s="431">
        <v>45611</v>
      </c>
      <c r="C139" s="435"/>
      <c r="D139" s="435">
        <v>800</v>
      </c>
      <c r="E139" s="433" t="s">
        <v>380</v>
      </c>
      <c r="F139" s="422" t="s">
        <v>243</v>
      </c>
      <c r="H139" s="157"/>
    </row>
    <row r="140" spans="1:8" s="434" customFormat="1" ht="15" x14ac:dyDescent="0.15">
      <c r="A140" s="431">
        <v>45614</v>
      </c>
      <c r="B140" s="431">
        <v>45614</v>
      </c>
      <c r="C140" s="435">
        <v>-6.4</v>
      </c>
      <c r="D140" s="435"/>
      <c r="E140" s="433" t="s">
        <v>381</v>
      </c>
      <c r="F140" s="422" t="s">
        <v>265</v>
      </c>
      <c r="H140" s="157"/>
    </row>
    <row r="141" spans="1:8" s="434" customFormat="1" ht="15" x14ac:dyDescent="0.15">
      <c r="A141" s="431">
        <v>45615</v>
      </c>
      <c r="B141" s="431">
        <v>45615</v>
      </c>
      <c r="C141" s="435">
        <v>-83.02</v>
      </c>
      <c r="D141" s="435"/>
      <c r="E141" s="433" t="s">
        <v>382</v>
      </c>
      <c r="F141" s="422" t="s">
        <v>411</v>
      </c>
      <c r="H141" s="157"/>
    </row>
    <row r="142" spans="1:8" s="434" customFormat="1" ht="15" x14ac:dyDescent="0.15">
      <c r="A142" s="431">
        <v>45616</v>
      </c>
      <c r="B142" s="431">
        <v>45616</v>
      </c>
      <c r="C142" s="435">
        <v>-15</v>
      </c>
      <c r="D142" s="435"/>
      <c r="E142" s="433" t="s">
        <v>383</v>
      </c>
      <c r="F142" s="422" t="s">
        <v>265</v>
      </c>
      <c r="H142" s="157"/>
    </row>
    <row r="143" spans="1:8" s="434" customFormat="1" ht="15" x14ac:dyDescent="0.15">
      <c r="A143" s="431">
        <v>45616</v>
      </c>
      <c r="B143" s="431">
        <v>45616</v>
      </c>
      <c r="C143" s="435">
        <v>-22.2</v>
      </c>
      <c r="D143" s="435"/>
      <c r="E143" s="433" t="s">
        <v>384</v>
      </c>
      <c r="F143" s="422" t="s">
        <v>265</v>
      </c>
      <c r="H143" s="157"/>
    </row>
    <row r="144" spans="1:8" s="434" customFormat="1" ht="15" x14ac:dyDescent="0.15">
      <c r="A144" s="431">
        <v>45617</v>
      </c>
      <c r="B144" s="431">
        <v>45617</v>
      </c>
      <c r="C144" s="435">
        <v>-252</v>
      </c>
      <c r="D144" s="435"/>
      <c r="E144" s="433" t="s">
        <v>385</v>
      </c>
      <c r="F144" s="422" t="s">
        <v>1</v>
      </c>
      <c r="H144" s="157"/>
    </row>
    <row r="145" spans="1:8" s="434" customFormat="1" ht="15" x14ac:dyDescent="0.15">
      <c r="A145" s="431">
        <v>45618</v>
      </c>
      <c r="B145" s="431">
        <v>45618</v>
      </c>
      <c r="C145" s="435"/>
      <c r="D145" s="435">
        <v>1440</v>
      </c>
      <c r="E145" s="433" t="s">
        <v>386</v>
      </c>
      <c r="F145" s="422" t="s">
        <v>243</v>
      </c>
      <c r="H145" s="157"/>
    </row>
    <row r="146" spans="1:8" s="434" customFormat="1" ht="15" x14ac:dyDescent="0.15">
      <c r="A146" s="431">
        <v>45618</v>
      </c>
      <c r="B146" s="431">
        <v>45618</v>
      </c>
      <c r="C146" s="435">
        <v>-50</v>
      </c>
      <c r="D146" s="435"/>
      <c r="E146" s="433" t="s">
        <v>387</v>
      </c>
      <c r="F146" s="422" t="s">
        <v>496</v>
      </c>
      <c r="H146" s="157"/>
    </row>
    <row r="147" spans="1:8" s="434" customFormat="1" ht="30" x14ac:dyDescent="0.15">
      <c r="A147" s="431">
        <v>45621</v>
      </c>
      <c r="B147" s="431">
        <v>45621</v>
      </c>
      <c r="C147" s="435">
        <v>-150</v>
      </c>
      <c r="D147" s="435"/>
      <c r="E147" s="433" t="s">
        <v>388</v>
      </c>
      <c r="F147" s="422" t="s">
        <v>253</v>
      </c>
      <c r="H147" s="157"/>
    </row>
    <row r="148" spans="1:8" s="434" customFormat="1" ht="15" x14ac:dyDescent="0.15">
      <c r="A148" s="431">
        <v>45622</v>
      </c>
      <c r="B148" s="431">
        <v>45622</v>
      </c>
      <c r="C148" s="435">
        <v>-29.15</v>
      </c>
      <c r="D148" s="435"/>
      <c r="E148" s="433" t="s">
        <v>389</v>
      </c>
      <c r="F148" s="422" t="s">
        <v>265</v>
      </c>
      <c r="H148" s="157"/>
    </row>
    <row r="149" spans="1:8" s="434" customFormat="1" ht="15" x14ac:dyDescent="0.15">
      <c r="A149" s="431">
        <v>45622</v>
      </c>
      <c r="B149" s="431">
        <v>45622</v>
      </c>
      <c r="C149" s="435">
        <v>-486</v>
      </c>
      <c r="D149" s="435"/>
      <c r="E149" s="433" t="s">
        <v>390</v>
      </c>
      <c r="F149" s="422" t="s">
        <v>34</v>
      </c>
      <c r="H149" s="157"/>
    </row>
    <row r="150" spans="1:8" s="434" customFormat="1" ht="15" x14ac:dyDescent="0.15">
      <c r="A150" s="431">
        <v>45623</v>
      </c>
      <c r="B150" s="431">
        <v>45623</v>
      </c>
      <c r="C150" s="435"/>
      <c r="D150" s="435">
        <v>900</v>
      </c>
      <c r="E150" s="433" t="s">
        <v>391</v>
      </c>
      <c r="F150" s="422" t="s">
        <v>243</v>
      </c>
      <c r="H150" s="157"/>
    </row>
    <row r="151" spans="1:8" s="434" customFormat="1" ht="15" x14ac:dyDescent="0.15">
      <c r="A151" s="431">
        <v>45623</v>
      </c>
      <c r="B151" s="431">
        <v>45623</v>
      </c>
      <c r="C151" s="435"/>
      <c r="D151" s="435">
        <v>8040</v>
      </c>
      <c r="E151" s="433" t="s">
        <v>392</v>
      </c>
      <c r="F151" s="422" t="s">
        <v>243</v>
      </c>
      <c r="H151" s="157"/>
    </row>
    <row r="152" spans="1:8" s="434" customFormat="1" ht="15" x14ac:dyDescent="0.15">
      <c r="A152" s="431">
        <v>45623</v>
      </c>
      <c r="B152" s="431">
        <v>45623</v>
      </c>
      <c r="C152" s="435">
        <v>-9.44</v>
      </c>
      <c r="D152" s="435"/>
      <c r="E152" s="433" t="s">
        <v>393</v>
      </c>
      <c r="F152" s="422" t="s">
        <v>403</v>
      </c>
      <c r="H152" s="157"/>
    </row>
    <row r="153" spans="1:8" s="434" customFormat="1" ht="15" x14ac:dyDescent="0.15">
      <c r="A153" s="431">
        <v>45623</v>
      </c>
      <c r="B153" s="431">
        <v>45623</v>
      </c>
      <c r="C153" s="435">
        <v>-49.92</v>
      </c>
      <c r="D153" s="435"/>
      <c r="E153" s="433" t="s">
        <v>393</v>
      </c>
      <c r="F153" s="422" t="s">
        <v>403</v>
      </c>
      <c r="H153" s="157"/>
    </row>
    <row r="154" spans="1:8" s="434" customFormat="1" ht="15" x14ac:dyDescent="0.15">
      <c r="A154" s="431">
        <v>45625</v>
      </c>
      <c r="B154" s="431">
        <v>45625</v>
      </c>
      <c r="C154" s="435"/>
      <c r="D154" s="435">
        <v>800</v>
      </c>
      <c r="E154" s="433" t="s">
        <v>394</v>
      </c>
      <c r="F154" s="422" t="s">
        <v>243</v>
      </c>
      <c r="H154" s="157"/>
    </row>
    <row r="155" spans="1:8" s="434" customFormat="1" ht="15" x14ac:dyDescent="0.15">
      <c r="A155" s="431">
        <v>45625</v>
      </c>
      <c r="B155" s="431">
        <v>45625</v>
      </c>
      <c r="C155" s="435">
        <v>-8.4</v>
      </c>
      <c r="D155" s="435"/>
      <c r="E155" s="433" t="s">
        <v>395</v>
      </c>
      <c r="F155" s="422" t="s">
        <v>265</v>
      </c>
      <c r="H155" s="157"/>
    </row>
    <row r="156" spans="1:8" s="434" customFormat="1" x14ac:dyDescent="0.15">
      <c r="A156" s="534" t="s">
        <v>282</v>
      </c>
      <c r="B156" s="534"/>
      <c r="C156" s="154">
        <f>SUM(C116:C155)</f>
        <v>-7555.88</v>
      </c>
      <c r="D156" s="154">
        <f>SUM(D116:D155)</f>
        <v>22622</v>
      </c>
      <c r="E156" s="444"/>
      <c r="F156" s="188"/>
      <c r="H156" s="157"/>
    </row>
    <row r="157" spans="1:8" s="434" customFormat="1" x14ac:dyDescent="0.15">
      <c r="A157" s="436">
        <v>45628</v>
      </c>
      <c r="B157" s="436">
        <v>45628</v>
      </c>
      <c r="C157" s="435">
        <v>-1650</v>
      </c>
      <c r="D157" s="435"/>
      <c r="E157" s="437" t="s">
        <v>457</v>
      </c>
      <c r="F157" s="422" t="s">
        <v>246</v>
      </c>
      <c r="H157" s="157"/>
    </row>
    <row r="158" spans="1:8" s="434" customFormat="1" x14ac:dyDescent="0.15">
      <c r="A158" s="436">
        <v>45628</v>
      </c>
      <c r="B158" s="436">
        <v>45628</v>
      </c>
      <c r="C158" s="435">
        <v>-550</v>
      </c>
      <c r="D158" s="435"/>
      <c r="E158" s="437" t="s">
        <v>458</v>
      </c>
      <c r="F158" s="422" t="s">
        <v>246</v>
      </c>
      <c r="H158" s="157"/>
    </row>
    <row r="159" spans="1:8" s="434" customFormat="1" x14ac:dyDescent="0.15">
      <c r="A159" s="436">
        <v>45628</v>
      </c>
      <c r="B159" s="436">
        <v>45628</v>
      </c>
      <c r="C159" s="435">
        <v>-161.76</v>
      </c>
      <c r="D159" s="435"/>
      <c r="E159" s="437" t="s">
        <v>459</v>
      </c>
      <c r="F159" s="422" t="s">
        <v>257</v>
      </c>
      <c r="H159" s="157" t="s">
        <v>257</v>
      </c>
    </row>
    <row r="160" spans="1:8" s="434" customFormat="1" x14ac:dyDescent="0.15">
      <c r="A160" s="436">
        <v>45628</v>
      </c>
      <c r="B160" s="436">
        <v>45628</v>
      </c>
      <c r="C160" s="435">
        <v>-72.81</v>
      </c>
      <c r="D160" s="435"/>
      <c r="E160" s="437" t="s">
        <v>460</v>
      </c>
      <c r="F160" s="422" t="s">
        <v>257</v>
      </c>
      <c r="H160" s="157" t="s">
        <v>257</v>
      </c>
    </row>
    <row r="161" spans="1:8" s="434" customFormat="1" x14ac:dyDescent="0.15">
      <c r="A161" s="436">
        <v>45629</v>
      </c>
      <c r="B161" s="436">
        <v>45629</v>
      </c>
      <c r="C161" s="435">
        <v>-196.5</v>
      </c>
      <c r="D161" s="435"/>
      <c r="E161" s="437" t="s">
        <v>461</v>
      </c>
      <c r="F161" s="422" t="s">
        <v>257</v>
      </c>
      <c r="H161" s="157"/>
    </row>
    <row r="162" spans="1:8" s="434" customFormat="1" x14ac:dyDescent="0.15">
      <c r="A162" s="436">
        <v>45629</v>
      </c>
      <c r="B162" s="436">
        <v>45629</v>
      </c>
      <c r="C162" s="435"/>
      <c r="D162" s="435">
        <v>1000</v>
      </c>
      <c r="E162" s="437" t="s">
        <v>462</v>
      </c>
      <c r="F162" s="422" t="s">
        <v>243</v>
      </c>
      <c r="H162" s="157"/>
    </row>
    <row r="163" spans="1:8" s="434" customFormat="1" x14ac:dyDescent="0.15">
      <c r="A163" s="436">
        <v>45629</v>
      </c>
      <c r="B163" s="436">
        <v>45629</v>
      </c>
      <c r="C163" s="435">
        <v>-1000</v>
      </c>
      <c r="D163" s="435"/>
      <c r="E163" s="437" t="s">
        <v>463</v>
      </c>
      <c r="F163" s="422" t="s">
        <v>243</v>
      </c>
      <c r="H163" s="157"/>
    </row>
    <row r="164" spans="1:8" s="434" customFormat="1" x14ac:dyDescent="0.15">
      <c r="A164" s="436">
        <v>45629</v>
      </c>
      <c r="B164" s="436">
        <v>45629</v>
      </c>
      <c r="C164" s="435">
        <v>-1065</v>
      </c>
      <c r="D164" s="435"/>
      <c r="E164" s="437" t="s">
        <v>464</v>
      </c>
      <c r="F164" s="422" t="s">
        <v>242</v>
      </c>
      <c r="H164" s="157"/>
    </row>
    <row r="165" spans="1:8" s="434" customFormat="1" x14ac:dyDescent="0.15">
      <c r="A165" s="436">
        <v>45629</v>
      </c>
      <c r="B165" s="436">
        <v>45629</v>
      </c>
      <c r="C165" s="435">
        <v>-900</v>
      </c>
      <c r="D165" s="435"/>
      <c r="E165" s="437" t="s">
        <v>465</v>
      </c>
      <c r="F165" s="422" t="s">
        <v>274</v>
      </c>
      <c r="H165" s="157"/>
    </row>
    <row r="166" spans="1:8" s="434" customFormat="1" x14ac:dyDescent="0.15">
      <c r="A166" s="436">
        <v>45629</v>
      </c>
      <c r="B166" s="436">
        <v>45629</v>
      </c>
      <c r="C166" s="435">
        <v>-2050</v>
      </c>
      <c r="D166" s="435"/>
      <c r="E166" s="437" t="s">
        <v>466</v>
      </c>
      <c r="F166" s="422" t="s">
        <v>274</v>
      </c>
      <c r="H166" s="157"/>
    </row>
    <row r="167" spans="1:8" s="434" customFormat="1" x14ac:dyDescent="0.15">
      <c r="A167" s="436">
        <v>45629</v>
      </c>
      <c r="B167" s="436">
        <v>45629</v>
      </c>
      <c r="C167" s="435">
        <v>-57.84</v>
      </c>
      <c r="D167" s="435"/>
      <c r="E167" s="437" t="s">
        <v>467</v>
      </c>
      <c r="F167" s="422" t="s">
        <v>403</v>
      </c>
      <c r="H167" s="157"/>
    </row>
    <row r="168" spans="1:8" s="434" customFormat="1" x14ac:dyDescent="0.15">
      <c r="A168" s="436">
        <v>45629</v>
      </c>
      <c r="B168" s="436">
        <v>45629</v>
      </c>
      <c r="C168" s="435">
        <v>-60</v>
      </c>
      <c r="D168" s="435"/>
      <c r="E168" s="437" t="s">
        <v>468</v>
      </c>
      <c r="F168" s="422" t="s">
        <v>412</v>
      </c>
      <c r="H168" s="157"/>
    </row>
    <row r="169" spans="1:8" s="434" customFormat="1" x14ac:dyDescent="0.15">
      <c r="A169" s="436">
        <v>45631</v>
      </c>
      <c r="B169" s="436">
        <v>45631</v>
      </c>
      <c r="C169" s="435"/>
      <c r="D169" s="435">
        <v>1296</v>
      </c>
      <c r="E169" s="437" t="s">
        <v>469</v>
      </c>
      <c r="F169" s="422" t="s">
        <v>243</v>
      </c>
      <c r="H169" s="157"/>
    </row>
    <row r="170" spans="1:8" s="434" customFormat="1" x14ac:dyDescent="0.15">
      <c r="A170" s="436">
        <v>45631</v>
      </c>
      <c r="B170" s="436">
        <v>45631</v>
      </c>
      <c r="C170" s="435">
        <v>-621</v>
      </c>
      <c r="D170" s="435"/>
      <c r="E170" s="437" t="s">
        <v>470</v>
      </c>
      <c r="F170" s="422" t="s">
        <v>248</v>
      </c>
      <c r="H170" s="157"/>
    </row>
    <row r="171" spans="1:8" s="434" customFormat="1" x14ac:dyDescent="0.15">
      <c r="A171" s="436">
        <v>45631</v>
      </c>
      <c r="B171" s="436">
        <v>45631</v>
      </c>
      <c r="C171" s="435">
        <v>-71.28</v>
      </c>
      <c r="D171" s="435"/>
      <c r="E171" s="437" t="s">
        <v>471</v>
      </c>
      <c r="F171" s="422" t="s">
        <v>251</v>
      </c>
      <c r="H171" s="157"/>
    </row>
    <row r="172" spans="1:8" s="434" customFormat="1" x14ac:dyDescent="0.15">
      <c r="A172" s="436">
        <v>45635</v>
      </c>
      <c r="B172" s="436">
        <v>45635</v>
      </c>
      <c r="C172" s="435">
        <v>-80.25</v>
      </c>
      <c r="D172" s="435"/>
      <c r="E172" s="437" t="s">
        <v>472</v>
      </c>
      <c r="F172" s="422" t="s">
        <v>265</v>
      </c>
      <c r="H172" s="157"/>
    </row>
    <row r="173" spans="1:8" s="434" customFormat="1" x14ac:dyDescent="0.15">
      <c r="A173" s="436">
        <v>45636</v>
      </c>
      <c r="B173" s="436">
        <v>45627</v>
      </c>
      <c r="C173" s="435">
        <v>-45.02</v>
      </c>
      <c r="D173" s="435"/>
      <c r="E173" s="437" t="s">
        <v>473</v>
      </c>
      <c r="F173" s="422" t="s">
        <v>264</v>
      </c>
      <c r="H173" s="157"/>
    </row>
    <row r="174" spans="1:8" s="434" customFormat="1" x14ac:dyDescent="0.15">
      <c r="A174" s="436">
        <v>45636</v>
      </c>
      <c r="B174" s="436">
        <v>45636</v>
      </c>
      <c r="C174" s="435">
        <v>-24.27</v>
      </c>
      <c r="D174" s="435"/>
      <c r="E174" s="437" t="s">
        <v>474</v>
      </c>
      <c r="F174" s="422" t="s">
        <v>259</v>
      </c>
      <c r="H174" s="157"/>
    </row>
    <row r="175" spans="1:8" s="434" customFormat="1" x14ac:dyDescent="0.15">
      <c r="A175" s="436">
        <v>45638</v>
      </c>
      <c r="B175" s="436">
        <v>45638</v>
      </c>
      <c r="C175" s="435"/>
      <c r="D175" s="435">
        <v>2592</v>
      </c>
      <c r="E175" s="437" t="s">
        <v>475</v>
      </c>
      <c r="F175" s="422" t="s">
        <v>243</v>
      </c>
      <c r="H175" s="157"/>
    </row>
    <row r="176" spans="1:8" s="434" customFormat="1" x14ac:dyDescent="0.15">
      <c r="A176" s="436">
        <v>45639</v>
      </c>
      <c r="B176" s="436">
        <v>45639</v>
      </c>
      <c r="C176" s="435">
        <v>-90.3</v>
      </c>
      <c r="D176" s="435"/>
      <c r="E176" s="437" t="s">
        <v>476</v>
      </c>
      <c r="F176" s="422" t="s">
        <v>403</v>
      </c>
      <c r="H176" s="157"/>
    </row>
    <row r="177" spans="1:8" s="434" customFormat="1" x14ac:dyDescent="0.15">
      <c r="A177" s="436">
        <v>45642</v>
      </c>
      <c r="B177" s="436">
        <v>45642</v>
      </c>
      <c r="C177" s="435">
        <v>-25</v>
      </c>
      <c r="D177" s="435"/>
      <c r="E177" s="437" t="s">
        <v>477</v>
      </c>
      <c r="F177" s="422" t="s">
        <v>265</v>
      </c>
      <c r="H177" s="157"/>
    </row>
    <row r="178" spans="1:8" s="434" customFormat="1" x14ac:dyDescent="0.15">
      <c r="A178" s="436">
        <v>45642</v>
      </c>
      <c r="B178" s="436">
        <v>45642</v>
      </c>
      <c r="C178" s="435">
        <v>-102</v>
      </c>
      <c r="D178" s="435"/>
      <c r="E178" s="437" t="s">
        <v>478</v>
      </c>
      <c r="F178" s="422" t="s">
        <v>495</v>
      </c>
      <c r="H178" s="157" t="s">
        <v>495</v>
      </c>
    </row>
    <row r="179" spans="1:8" s="434" customFormat="1" x14ac:dyDescent="0.15">
      <c r="A179" s="436">
        <v>45644</v>
      </c>
      <c r="B179" s="436">
        <v>45644</v>
      </c>
      <c r="C179" s="435"/>
      <c r="D179" s="435">
        <v>2268</v>
      </c>
      <c r="E179" s="437" t="s">
        <v>479</v>
      </c>
      <c r="F179" s="422" t="s">
        <v>243</v>
      </c>
      <c r="H179" s="157"/>
    </row>
    <row r="180" spans="1:8" s="434" customFormat="1" x14ac:dyDescent="0.15">
      <c r="A180" s="436">
        <v>45644</v>
      </c>
      <c r="B180" s="436">
        <v>45644</v>
      </c>
      <c r="C180" s="435">
        <v>-56.8</v>
      </c>
      <c r="D180" s="435"/>
      <c r="E180" s="437" t="s">
        <v>480</v>
      </c>
      <c r="F180" s="422" t="s">
        <v>265</v>
      </c>
      <c r="H180" s="157"/>
    </row>
    <row r="181" spans="1:8" s="434" customFormat="1" x14ac:dyDescent="0.15">
      <c r="A181" s="436">
        <v>45644</v>
      </c>
      <c r="B181" s="436">
        <v>45644</v>
      </c>
      <c r="C181" s="435">
        <v>-83.02</v>
      </c>
      <c r="D181" s="435"/>
      <c r="E181" s="437" t="s">
        <v>481</v>
      </c>
      <c r="F181" s="422" t="s">
        <v>411</v>
      </c>
      <c r="H181" s="157"/>
    </row>
    <row r="182" spans="1:8" s="434" customFormat="1" x14ac:dyDescent="0.15">
      <c r="A182" s="436">
        <v>45645</v>
      </c>
      <c r="B182" s="436">
        <v>45646</v>
      </c>
      <c r="C182" s="435"/>
      <c r="D182" s="435">
        <v>15000</v>
      </c>
      <c r="E182" s="437" t="s">
        <v>482</v>
      </c>
      <c r="F182" s="422" t="s">
        <v>494</v>
      </c>
      <c r="H182" s="157" t="s">
        <v>494</v>
      </c>
    </row>
    <row r="183" spans="1:8" s="434" customFormat="1" x14ac:dyDescent="0.15">
      <c r="A183" s="436">
        <v>45645</v>
      </c>
      <c r="B183" s="436">
        <v>45646</v>
      </c>
      <c r="C183" s="435"/>
      <c r="D183" s="435">
        <v>246.15</v>
      </c>
      <c r="E183" s="437" t="s">
        <v>483</v>
      </c>
      <c r="F183" s="422" t="s">
        <v>494</v>
      </c>
      <c r="H183" s="157" t="s">
        <v>494</v>
      </c>
    </row>
    <row r="184" spans="1:8" s="434" customFormat="1" x14ac:dyDescent="0.15">
      <c r="A184" s="436">
        <v>45646</v>
      </c>
      <c r="B184" s="436">
        <v>45646</v>
      </c>
      <c r="C184" s="435">
        <v>-2652.8</v>
      </c>
      <c r="D184" s="435"/>
      <c r="E184" s="437" t="s">
        <v>484</v>
      </c>
      <c r="F184" s="422" t="s">
        <v>492</v>
      </c>
      <c r="H184" s="157"/>
    </row>
    <row r="185" spans="1:8" s="434" customFormat="1" x14ac:dyDescent="0.15">
      <c r="A185" s="436">
        <v>45649</v>
      </c>
      <c r="B185" s="436">
        <v>45649</v>
      </c>
      <c r="C185" s="435">
        <v>-17.079999999999998</v>
      </c>
      <c r="D185" s="435"/>
      <c r="E185" s="437" t="s">
        <v>485</v>
      </c>
      <c r="F185" s="422" t="s">
        <v>273</v>
      </c>
      <c r="H185" s="157"/>
    </row>
    <row r="186" spans="1:8" s="434" customFormat="1" x14ac:dyDescent="0.15">
      <c r="A186" s="436">
        <v>45649</v>
      </c>
      <c r="B186" s="436">
        <v>45649</v>
      </c>
      <c r="C186" s="435">
        <v>-44.51</v>
      </c>
      <c r="D186" s="435"/>
      <c r="E186" s="437" t="s">
        <v>486</v>
      </c>
      <c r="F186" s="422" t="s">
        <v>257</v>
      </c>
      <c r="H186" s="157" t="s">
        <v>257</v>
      </c>
    </row>
    <row r="187" spans="1:8" s="434" customFormat="1" x14ac:dyDescent="0.15">
      <c r="A187" s="436">
        <v>45653</v>
      </c>
      <c r="B187" s="436">
        <v>45653</v>
      </c>
      <c r="C187" s="435">
        <v>-150</v>
      </c>
      <c r="D187" s="435"/>
      <c r="E187" s="437" t="s">
        <v>491</v>
      </c>
      <c r="F187" s="422" t="s">
        <v>253</v>
      </c>
      <c r="H187" s="157"/>
    </row>
    <row r="188" spans="1:8" s="434" customFormat="1" x14ac:dyDescent="0.15">
      <c r="A188" s="436">
        <v>45653</v>
      </c>
      <c r="B188" s="436">
        <v>45653</v>
      </c>
      <c r="C188" s="435">
        <v>-3379</v>
      </c>
      <c r="D188" s="435"/>
      <c r="E188" s="437" t="s">
        <v>487</v>
      </c>
      <c r="F188" s="422" t="s">
        <v>1</v>
      </c>
      <c r="H188" s="157"/>
    </row>
    <row r="189" spans="1:8" s="434" customFormat="1" x14ac:dyDescent="0.15">
      <c r="A189" s="436">
        <v>45653</v>
      </c>
      <c r="B189" s="436">
        <v>45653</v>
      </c>
      <c r="C189" s="435">
        <v>-483</v>
      </c>
      <c r="D189" s="435"/>
      <c r="E189" s="437" t="s">
        <v>488</v>
      </c>
      <c r="F189" s="422" t="s">
        <v>23</v>
      </c>
      <c r="H189" s="157"/>
    </row>
    <row r="190" spans="1:8" s="434" customFormat="1" x14ac:dyDescent="0.15">
      <c r="A190" s="436">
        <v>45656</v>
      </c>
      <c r="B190" s="436">
        <v>45656</v>
      </c>
      <c r="C190" s="435">
        <v>-2.59</v>
      </c>
      <c r="D190" s="435"/>
      <c r="E190" s="437" t="s">
        <v>489</v>
      </c>
      <c r="F190" s="422" t="s">
        <v>257</v>
      </c>
      <c r="H190" s="157" t="s">
        <v>257</v>
      </c>
    </row>
    <row r="191" spans="1:8" s="434" customFormat="1" x14ac:dyDescent="0.15">
      <c r="A191" s="436">
        <v>45657</v>
      </c>
      <c r="B191" s="436">
        <v>45657</v>
      </c>
      <c r="C191" s="435"/>
      <c r="D191" s="435">
        <v>800</v>
      </c>
      <c r="E191" s="437" t="s">
        <v>490</v>
      </c>
      <c r="F191" s="422" t="s">
        <v>243</v>
      </c>
      <c r="H191" s="157"/>
    </row>
    <row r="192" spans="1:8" s="434" customFormat="1" x14ac:dyDescent="0.15">
      <c r="A192" s="534" t="s">
        <v>282</v>
      </c>
      <c r="B192" s="534"/>
      <c r="C192" s="154">
        <f>SUM(C157:C191)</f>
        <v>-15691.830000000002</v>
      </c>
      <c r="D192" s="154">
        <f>SUM(D157:D191)</f>
        <v>23202.15</v>
      </c>
      <c r="E192" s="444"/>
      <c r="F192" s="188"/>
      <c r="H192" s="157"/>
    </row>
    <row r="193" spans="1:8" s="434" customFormat="1" ht="15" x14ac:dyDescent="0.15">
      <c r="A193" s="436">
        <v>45659</v>
      </c>
      <c r="B193" s="436">
        <v>45659</v>
      </c>
      <c r="C193" s="435">
        <v>-1650</v>
      </c>
      <c r="D193" s="435"/>
      <c r="E193" s="438" t="s">
        <v>504</v>
      </c>
      <c r="F193" s="422" t="s">
        <v>246</v>
      </c>
      <c r="H193" s="157"/>
    </row>
    <row r="194" spans="1:8" s="434" customFormat="1" ht="15" x14ac:dyDescent="0.15">
      <c r="A194" s="436">
        <v>45659</v>
      </c>
      <c r="B194" s="436">
        <v>45659</v>
      </c>
      <c r="C194" s="435">
        <v>-550</v>
      </c>
      <c r="D194" s="435"/>
      <c r="E194" s="438" t="s">
        <v>505</v>
      </c>
      <c r="F194" s="422" t="s">
        <v>246</v>
      </c>
      <c r="H194" s="157"/>
    </row>
    <row r="195" spans="1:8" s="434" customFormat="1" ht="15" x14ac:dyDescent="0.15">
      <c r="A195" s="436">
        <v>45659</v>
      </c>
      <c r="B195" s="436">
        <v>45659</v>
      </c>
      <c r="C195" s="435"/>
      <c r="D195" s="435">
        <v>900</v>
      </c>
      <c r="E195" s="438" t="s">
        <v>506</v>
      </c>
      <c r="F195" s="422" t="s">
        <v>243</v>
      </c>
      <c r="H195" s="157"/>
    </row>
    <row r="196" spans="1:8" s="434" customFormat="1" ht="15" x14ac:dyDescent="0.15">
      <c r="A196" s="436">
        <v>45659</v>
      </c>
      <c r="B196" s="436">
        <v>45659</v>
      </c>
      <c r="C196" s="435">
        <v>-60</v>
      </c>
      <c r="D196" s="435"/>
      <c r="E196" s="438" t="s">
        <v>507</v>
      </c>
      <c r="F196" s="422" t="s">
        <v>412</v>
      </c>
      <c r="H196" s="157"/>
    </row>
    <row r="197" spans="1:8" s="434" customFormat="1" ht="15" x14ac:dyDescent="0.15">
      <c r="A197" s="436">
        <v>45660</v>
      </c>
      <c r="B197" s="436">
        <v>45660</v>
      </c>
      <c r="C197" s="435">
        <v>-196.5</v>
      </c>
      <c r="D197" s="435"/>
      <c r="E197" s="438" t="s">
        <v>508</v>
      </c>
      <c r="F197" s="422" t="s">
        <v>257</v>
      </c>
      <c r="H197" s="157"/>
    </row>
    <row r="198" spans="1:8" s="434" customFormat="1" ht="15" x14ac:dyDescent="0.15">
      <c r="A198" s="436">
        <v>45660</v>
      </c>
      <c r="B198" s="436">
        <v>45660</v>
      </c>
      <c r="C198" s="435">
        <v>-1065</v>
      </c>
      <c r="D198" s="435"/>
      <c r="E198" s="438" t="s">
        <v>509</v>
      </c>
      <c r="F198" s="422" t="s">
        <v>242</v>
      </c>
      <c r="H198" s="157"/>
    </row>
    <row r="199" spans="1:8" s="434" customFormat="1" ht="15" x14ac:dyDescent="0.15">
      <c r="A199" s="436">
        <v>45663</v>
      </c>
      <c r="B199" s="436">
        <v>45663</v>
      </c>
      <c r="C199" s="435">
        <v>-623</v>
      </c>
      <c r="D199" s="435"/>
      <c r="E199" s="438" t="s">
        <v>510</v>
      </c>
      <c r="F199" s="422" t="s">
        <v>248</v>
      </c>
      <c r="H199" s="157"/>
    </row>
    <row r="200" spans="1:8" s="434" customFormat="1" ht="15" x14ac:dyDescent="0.15">
      <c r="A200" s="436">
        <v>45663</v>
      </c>
      <c r="B200" s="436">
        <v>45663</v>
      </c>
      <c r="C200" s="435">
        <v>-71.28</v>
      </c>
      <c r="D200" s="435"/>
      <c r="E200" s="438" t="s">
        <v>511</v>
      </c>
      <c r="F200" s="422" t="s">
        <v>251</v>
      </c>
      <c r="H200" s="157"/>
    </row>
    <row r="201" spans="1:8" s="434" customFormat="1" ht="15" x14ac:dyDescent="0.15">
      <c r="A201" s="436">
        <v>45663</v>
      </c>
      <c r="B201" s="436">
        <v>45663</v>
      </c>
      <c r="C201" s="435"/>
      <c r="D201" s="435">
        <v>1000</v>
      </c>
      <c r="E201" s="438" t="s">
        <v>512</v>
      </c>
      <c r="F201" s="422" t="s">
        <v>243</v>
      </c>
      <c r="H201" s="157"/>
    </row>
    <row r="202" spans="1:8" s="434" customFormat="1" ht="15" x14ac:dyDescent="0.15">
      <c r="A202" s="436">
        <v>45664</v>
      </c>
      <c r="B202" s="436">
        <v>45664</v>
      </c>
      <c r="C202" s="435">
        <v>-15000</v>
      </c>
      <c r="D202" s="435"/>
      <c r="E202" s="438" t="s">
        <v>513</v>
      </c>
      <c r="F202" s="422" t="s">
        <v>494</v>
      </c>
      <c r="H202" s="157"/>
    </row>
    <row r="203" spans="1:8" s="434" customFormat="1" ht="15" x14ac:dyDescent="0.15">
      <c r="A203" s="436">
        <v>45667</v>
      </c>
      <c r="B203" s="436">
        <v>45658</v>
      </c>
      <c r="C203" s="435">
        <v>-45.59</v>
      </c>
      <c r="D203" s="435"/>
      <c r="E203" s="438" t="s">
        <v>514</v>
      </c>
      <c r="F203" s="422" t="s">
        <v>264</v>
      </c>
      <c r="H203" s="157"/>
    </row>
    <row r="204" spans="1:8" s="434" customFormat="1" ht="15" x14ac:dyDescent="0.15">
      <c r="A204" s="436">
        <v>45667</v>
      </c>
      <c r="B204" s="436">
        <v>45667</v>
      </c>
      <c r="C204" s="435">
        <v>-24.27</v>
      </c>
      <c r="D204" s="435"/>
      <c r="E204" s="438" t="s">
        <v>515</v>
      </c>
      <c r="F204" s="422" t="s">
        <v>259</v>
      </c>
      <c r="H204" s="157"/>
    </row>
    <row r="205" spans="1:8" s="434" customFormat="1" ht="30" x14ac:dyDescent="0.15">
      <c r="A205" s="436">
        <v>45667</v>
      </c>
      <c r="B205" s="436">
        <v>45667</v>
      </c>
      <c r="C205" s="435">
        <v>-565.53</v>
      </c>
      <c r="D205" s="435"/>
      <c r="E205" s="438" t="s">
        <v>516</v>
      </c>
      <c r="F205" s="422" t="s">
        <v>255</v>
      </c>
      <c r="H205" s="157"/>
    </row>
    <row r="206" spans="1:8" s="434" customFormat="1" ht="15" x14ac:dyDescent="0.15">
      <c r="A206" s="436">
        <v>45667</v>
      </c>
      <c r="B206" s="436">
        <v>45667</v>
      </c>
      <c r="C206" s="435">
        <v>-335.31</v>
      </c>
      <c r="D206" s="435"/>
      <c r="E206" s="438" t="s">
        <v>517</v>
      </c>
      <c r="F206" s="425" t="s">
        <v>419</v>
      </c>
      <c r="H206" s="157"/>
    </row>
    <row r="207" spans="1:8" s="434" customFormat="1" ht="15" x14ac:dyDescent="0.15">
      <c r="A207" s="436">
        <v>45667</v>
      </c>
      <c r="B207" s="436">
        <v>45667</v>
      </c>
      <c r="C207" s="435">
        <v>-22.44</v>
      </c>
      <c r="D207" s="435"/>
      <c r="E207" s="438" t="s">
        <v>518</v>
      </c>
      <c r="F207" s="422" t="s">
        <v>403</v>
      </c>
      <c r="H207" s="157"/>
    </row>
    <row r="208" spans="1:8" s="434" customFormat="1" ht="15" x14ac:dyDescent="0.15">
      <c r="A208" s="436">
        <v>45670</v>
      </c>
      <c r="B208" s="436">
        <v>45670</v>
      </c>
      <c r="C208" s="435"/>
      <c r="D208" s="435">
        <v>756</v>
      </c>
      <c r="E208" s="438" t="s">
        <v>519</v>
      </c>
      <c r="F208" s="422" t="s">
        <v>243</v>
      </c>
      <c r="H208" s="157"/>
    </row>
    <row r="209" spans="1:8" s="434" customFormat="1" ht="15" x14ac:dyDescent="0.15">
      <c r="A209" s="436">
        <v>45671</v>
      </c>
      <c r="B209" s="436">
        <v>45671</v>
      </c>
      <c r="C209" s="435">
        <v>-24.66</v>
      </c>
      <c r="D209" s="435"/>
      <c r="E209" s="438" t="s">
        <v>520</v>
      </c>
      <c r="F209" s="422" t="s">
        <v>265</v>
      </c>
      <c r="H209" s="157"/>
    </row>
    <row r="210" spans="1:8" s="434" customFormat="1" ht="15" x14ac:dyDescent="0.15">
      <c r="A210" s="436">
        <v>45671</v>
      </c>
      <c r="B210" s="436">
        <v>45671</v>
      </c>
      <c r="C210" s="435">
        <v>-99</v>
      </c>
      <c r="D210" s="435"/>
      <c r="E210" s="438" t="s">
        <v>521</v>
      </c>
      <c r="F210" s="422" t="s">
        <v>412</v>
      </c>
      <c r="H210" s="157"/>
    </row>
    <row r="211" spans="1:8" s="434" customFormat="1" ht="15" x14ac:dyDescent="0.15">
      <c r="A211" s="436">
        <v>45672</v>
      </c>
      <c r="B211" s="436">
        <v>45672</v>
      </c>
      <c r="C211" s="435"/>
      <c r="D211" s="435">
        <v>236.15</v>
      </c>
      <c r="E211" s="438" t="s">
        <v>522</v>
      </c>
      <c r="F211" s="422" t="s">
        <v>243</v>
      </c>
      <c r="H211" s="157"/>
    </row>
    <row r="212" spans="1:8" s="434" customFormat="1" ht="15" x14ac:dyDescent="0.15">
      <c r="A212" s="436">
        <v>45672</v>
      </c>
      <c r="B212" s="436">
        <v>45672</v>
      </c>
      <c r="C212" s="445">
        <v>-10.38</v>
      </c>
      <c r="D212" s="435"/>
      <c r="E212" s="438" t="s">
        <v>523</v>
      </c>
      <c r="F212" s="422" t="s">
        <v>496</v>
      </c>
      <c r="H212" s="157"/>
    </row>
    <row r="213" spans="1:8" s="434" customFormat="1" ht="15" x14ac:dyDescent="0.15">
      <c r="A213" s="436">
        <v>45673</v>
      </c>
      <c r="B213" s="436">
        <v>45673</v>
      </c>
      <c r="C213" s="435"/>
      <c r="D213" s="435">
        <v>800</v>
      </c>
      <c r="E213" s="438" t="s">
        <v>524</v>
      </c>
      <c r="F213" s="422" t="s">
        <v>243</v>
      </c>
      <c r="H213" s="157"/>
    </row>
    <row r="214" spans="1:8" s="434" customFormat="1" ht="15" x14ac:dyDescent="0.15">
      <c r="A214" s="436">
        <v>45674</v>
      </c>
      <c r="B214" s="436">
        <v>45674</v>
      </c>
      <c r="C214" s="435">
        <v>-9.86</v>
      </c>
      <c r="D214" s="435"/>
      <c r="E214" s="438" t="s">
        <v>525</v>
      </c>
      <c r="F214" s="422" t="s">
        <v>496</v>
      </c>
      <c r="H214" s="157"/>
    </row>
    <row r="215" spans="1:8" s="434" customFormat="1" ht="15" x14ac:dyDescent="0.15">
      <c r="A215" s="436">
        <v>45677</v>
      </c>
      <c r="B215" s="436">
        <v>45677</v>
      </c>
      <c r="C215" s="435">
        <v>-129.5</v>
      </c>
      <c r="D215" s="435"/>
      <c r="E215" s="438" t="s">
        <v>526</v>
      </c>
      <c r="F215" s="422" t="s">
        <v>496</v>
      </c>
      <c r="H215" s="157"/>
    </row>
    <row r="216" spans="1:8" s="434" customFormat="1" ht="15" x14ac:dyDescent="0.15">
      <c r="A216" s="436">
        <v>45678</v>
      </c>
      <c r="B216" s="436">
        <v>45678</v>
      </c>
      <c r="C216" s="435">
        <v>-44.4</v>
      </c>
      <c r="D216" s="435"/>
      <c r="E216" s="438" t="s">
        <v>527</v>
      </c>
      <c r="F216" s="422" t="s">
        <v>273</v>
      </c>
      <c r="H216" s="157"/>
    </row>
    <row r="217" spans="1:8" s="434" customFormat="1" ht="15" x14ac:dyDescent="0.15">
      <c r="A217" s="436">
        <v>45679</v>
      </c>
      <c r="B217" s="436">
        <v>45679</v>
      </c>
      <c r="C217" s="435">
        <v>-469</v>
      </c>
      <c r="D217" s="435"/>
      <c r="E217" s="438" t="s">
        <v>528</v>
      </c>
      <c r="F217" s="422" t="s">
        <v>1</v>
      </c>
      <c r="H217" s="157"/>
    </row>
    <row r="218" spans="1:8" s="434" customFormat="1" ht="15" x14ac:dyDescent="0.15">
      <c r="A218" s="436">
        <v>45680</v>
      </c>
      <c r="B218" s="436">
        <v>45680</v>
      </c>
      <c r="C218" s="435">
        <v>-6.45</v>
      </c>
      <c r="D218" s="435"/>
      <c r="E218" s="438" t="s">
        <v>529</v>
      </c>
      <c r="F218" s="422" t="s">
        <v>265</v>
      </c>
      <c r="H218" s="157"/>
    </row>
    <row r="219" spans="1:8" s="434" customFormat="1" ht="30" x14ac:dyDescent="0.15">
      <c r="A219" s="436">
        <v>45684</v>
      </c>
      <c r="B219" s="436">
        <v>45684</v>
      </c>
      <c r="C219" s="435">
        <v>-152.37</v>
      </c>
      <c r="D219" s="435"/>
      <c r="E219" s="438" t="s">
        <v>530</v>
      </c>
      <c r="F219" s="422" t="s">
        <v>253</v>
      </c>
      <c r="H219" s="157"/>
    </row>
    <row r="220" spans="1:8" s="434" customFormat="1" ht="15" x14ac:dyDescent="0.15">
      <c r="A220" s="436">
        <v>45684</v>
      </c>
      <c r="B220" s="436">
        <v>45684</v>
      </c>
      <c r="C220" s="435">
        <v>-6</v>
      </c>
      <c r="D220" s="435"/>
      <c r="E220" s="438" t="s">
        <v>531</v>
      </c>
      <c r="F220" s="425" t="s">
        <v>396</v>
      </c>
      <c r="H220" s="157"/>
    </row>
    <row r="221" spans="1:8" s="434" customFormat="1" ht="15" x14ac:dyDescent="0.15">
      <c r="A221" s="436">
        <v>45684</v>
      </c>
      <c r="B221" s="436">
        <v>45684</v>
      </c>
      <c r="C221" s="435">
        <v>-85.9</v>
      </c>
      <c r="D221" s="435"/>
      <c r="E221" s="438" t="s">
        <v>532</v>
      </c>
      <c r="F221" s="422" t="s">
        <v>265</v>
      </c>
      <c r="H221" s="157"/>
    </row>
    <row r="222" spans="1:8" s="434" customFormat="1" ht="15" x14ac:dyDescent="0.15">
      <c r="A222" s="436">
        <v>45686</v>
      </c>
      <c r="B222" s="436">
        <v>45686</v>
      </c>
      <c r="C222" s="435">
        <v>-41.5</v>
      </c>
      <c r="D222" s="435"/>
      <c r="E222" s="438" t="s">
        <v>533</v>
      </c>
      <c r="F222" s="425" t="s">
        <v>265</v>
      </c>
      <c r="H222" s="157"/>
    </row>
    <row r="223" spans="1:8" s="434" customFormat="1" ht="15" x14ac:dyDescent="0.15">
      <c r="A223" s="436">
        <v>45686</v>
      </c>
      <c r="B223" s="436">
        <v>45686</v>
      </c>
      <c r="C223" s="435">
        <v>-25.2</v>
      </c>
      <c r="D223" s="435"/>
      <c r="E223" s="438" t="s">
        <v>534</v>
      </c>
      <c r="F223" s="422" t="s">
        <v>403</v>
      </c>
      <c r="H223" s="157"/>
    </row>
    <row r="224" spans="1:8" s="434" customFormat="1" ht="15" x14ac:dyDescent="0.15">
      <c r="A224" s="436">
        <v>45686</v>
      </c>
      <c r="B224" s="436">
        <v>45686</v>
      </c>
      <c r="C224" s="435">
        <v>-139.97999999999999</v>
      </c>
      <c r="D224" s="435"/>
      <c r="E224" s="438" t="s">
        <v>535</v>
      </c>
      <c r="F224" s="422" t="s">
        <v>405</v>
      </c>
      <c r="H224" s="157"/>
    </row>
    <row r="225" spans="1:8" s="434" customFormat="1" x14ac:dyDescent="0.15">
      <c r="A225" s="534" t="s">
        <v>282</v>
      </c>
      <c r="B225" s="534"/>
      <c r="C225" s="154">
        <f>SUM(C193:C224)</f>
        <v>-21453.120000000003</v>
      </c>
      <c r="D225" s="154">
        <f>SUM(D193:D224)</f>
        <v>3692.15</v>
      </c>
      <c r="E225" s="444"/>
      <c r="F225" s="188"/>
      <c r="H225" s="157"/>
    </row>
    <row r="226" spans="1:8" s="434" customFormat="1" ht="15" x14ac:dyDescent="0.15">
      <c r="A226" s="436">
        <v>45689</v>
      </c>
      <c r="B226" s="436">
        <v>45689</v>
      </c>
      <c r="C226" s="435">
        <v>-1650</v>
      </c>
      <c r="D226" s="435"/>
      <c r="E226" s="438" t="s">
        <v>551</v>
      </c>
      <c r="F226" s="422" t="s">
        <v>246</v>
      </c>
      <c r="H226" s="157"/>
    </row>
    <row r="227" spans="1:8" s="434" customFormat="1" ht="15" x14ac:dyDescent="0.15">
      <c r="A227" s="436">
        <v>45689</v>
      </c>
      <c r="B227" s="436">
        <v>45689</v>
      </c>
      <c r="C227" s="435">
        <v>-550</v>
      </c>
      <c r="D227" s="435"/>
      <c r="E227" s="438" t="s">
        <v>552</v>
      </c>
      <c r="F227" s="422" t="s">
        <v>246</v>
      </c>
      <c r="H227" s="157"/>
    </row>
    <row r="228" spans="1:8" s="434" customFormat="1" ht="15" x14ac:dyDescent="0.15">
      <c r="A228" s="436">
        <v>45691</v>
      </c>
      <c r="B228" s="436">
        <v>45691</v>
      </c>
      <c r="C228" s="435">
        <v>-1048</v>
      </c>
      <c r="D228" s="435"/>
      <c r="E228" s="438" t="s">
        <v>553</v>
      </c>
      <c r="F228" s="422" t="s">
        <v>34</v>
      </c>
      <c r="H228" s="157"/>
    </row>
    <row r="229" spans="1:8" s="434" customFormat="1" ht="15" x14ac:dyDescent="0.15">
      <c r="A229" s="436">
        <v>45691</v>
      </c>
      <c r="B229" s="436">
        <v>45691</v>
      </c>
      <c r="C229" s="435">
        <v>-60</v>
      </c>
      <c r="D229" s="435"/>
      <c r="E229" s="438" t="s">
        <v>554</v>
      </c>
      <c r="F229" s="422" t="s">
        <v>412</v>
      </c>
      <c r="H229" s="157"/>
    </row>
    <row r="230" spans="1:8" s="434" customFormat="1" ht="15" x14ac:dyDescent="0.15">
      <c r="A230" s="436">
        <v>45691</v>
      </c>
      <c r="B230" s="436">
        <v>45691</v>
      </c>
      <c r="C230" s="435">
        <v>-22</v>
      </c>
      <c r="D230" s="435"/>
      <c r="E230" s="438" t="s">
        <v>555</v>
      </c>
      <c r="F230" s="422" t="s">
        <v>265</v>
      </c>
      <c r="H230" s="157"/>
    </row>
    <row r="231" spans="1:8" s="434" customFormat="1" ht="15" x14ac:dyDescent="0.15">
      <c r="A231" s="436">
        <v>45692</v>
      </c>
      <c r="B231" s="436">
        <v>45692</v>
      </c>
      <c r="C231" s="435">
        <v>-196.5</v>
      </c>
      <c r="D231" s="435"/>
      <c r="E231" s="438" t="s">
        <v>556</v>
      </c>
      <c r="F231" s="422" t="s">
        <v>257</v>
      </c>
      <c r="H231" s="157"/>
    </row>
    <row r="232" spans="1:8" s="434" customFormat="1" ht="15" x14ac:dyDescent="0.15">
      <c r="A232" s="436">
        <v>45692</v>
      </c>
      <c r="B232" s="436">
        <v>45692</v>
      </c>
      <c r="C232" s="435">
        <v>-1065</v>
      </c>
      <c r="D232" s="435"/>
      <c r="E232" s="438" t="s">
        <v>557</v>
      </c>
      <c r="F232" s="422" t="s">
        <v>242</v>
      </c>
      <c r="H232" s="157"/>
    </row>
    <row r="233" spans="1:8" s="434" customFormat="1" ht="15" x14ac:dyDescent="0.15">
      <c r="A233" s="436">
        <v>45692</v>
      </c>
      <c r="B233" s="436">
        <v>45692</v>
      </c>
      <c r="C233" s="435">
        <v>-37.99</v>
      </c>
      <c r="D233" s="435"/>
      <c r="E233" s="438" t="s">
        <v>558</v>
      </c>
      <c r="F233" s="422" t="s">
        <v>403</v>
      </c>
      <c r="H233" s="157"/>
    </row>
    <row r="234" spans="1:8" s="434" customFormat="1" ht="15" x14ac:dyDescent="0.15">
      <c r="A234" s="436">
        <v>45692</v>
      </c>
      <c r="B234" s="436">
        <v>45692</v>
      </c>
      <c r="C234" s="435">
        <v>-266.60000000000002</v>
      </c>
      <c r="D234" s="435"/>
      <c r="E234" s="438" t="s">
        <v>558</v>
      </c>
      <c r="F234" s="422" t="s">
        <v>403</v>
      </c>
      <c r="H234" s="157"/>
    </row>
    <row r="235" spans="1:8" s="434" customFormat="1" ht="15" x14ac:dyDescent="0.15">
      <c r="A235" s="436">
        <v>45693</v>
      </c>
      <c r="B235" s="436">
        <v>45693</v>
      </c>
      <c r="C235" s="435">
        <v>-623</v>
      </c>
      <c r="D235" s="435"/>
      <c r="E235" s="438" t="s">
        <v>559</v>
      </c>
      <c r="F235" s="422" t="s">
        <v>248</v>
      </c>
      <c r="H235" s="157"/>
    </row>
    <row r="236" spans="1:8" s="434" customFormat="1" ht="15" x14ac:dyDescent="0.15">
      <c r="A236" s="436">
        <v>45693</v>
      </c>
      <c r="B236" s="436">
        <v>45693</v>
      </c>
      <c r="C236" s="435">
        <v>-71.28</v>
      </c>
      <c r="D236" s="435"/>
      <c r="E236" s="438" t="s">
        <v>560</v>
      </c>
      <c r="F236" s="422" t="s">
        <v>251</v>
      </c>
      <c r="H236" s="157"/>
    </row>
    <row r="237" spans="1:8" s="434" customFormat="1" ht="15" x14ac:dyDescent="0.15">
      <c r="A237" s="436">
        <v>45693</v>
      </c>
      <c r="B237" s="436">
        <v>45693</v>
      </c>
      <c r="C237" s="435"/>
      <c r="D237" s="445">
        <v>10.38</v>
      </c>
      <c r="E237" s="438" t="s">
        <v>561</v>
      </c>
      <c r="F237" s="446" t="s">
        <v>496</v>
      </c>
      <c r="H237" s="157"/>
    </row>
    <row r="238" spans="1:8" s="434" customFormat="1" ht="15" x14ac:dyDescent="0.15">
      <c r="A238" s="436">
        <v>45693</v>
      </c>
      <c r="B238" s="436">
        <v>45693</v>
      </c>
      <c r="C238" s="435">
        <v>-360</v>
      </c>
      <c r="D238" s="435"/>
      <c r="E238" s="438" t="s">
        <v>562</v>
      </c>
      <c r="F238" s="422" t="s">
        <v>250</v>
      </c>
      <c r="H238" s="157"/>
    </row>
    <row r="239" spans="1:8" s="434" customFormat="1" ht="15" x14ac:dyDescent="0.15">
      <c r="A239" s="436">
        <v>45693</v>
      </c>
      <c r="B239" s="436">
        <v>45693</v>
      </c>
      <c r="C239" s="435">
        <v>-360</v>
      </c>
      <c r="D239" s="435"/>
      <c r="E239" s="438" t="s">
        <v>562</v>
      </c>
      <c r="F239" s="422" t="s">
        <v>250</v>
      </c>
      <c r="H239" s="157"/>
    </row>
    <row r="240" spans="1:8" s="434" customFormat="1" ht="15" x14ac:dyDescent="0.15">
      <c r="A240" s="436">
        <v>45697</v>
      </c>
      <c r="B240" s="436">
        <v>45697</v>
      </c>
      <c r="C240" s="435">
        <v>-585.79999999999995</v>
      </c>
      <c r="D240" s="435"/>
      <c r="E240" s="438" t="s">
        <v>563</v>
      </c>
      <c r="F240" s="446" t="s">
        <v>34</v>
      </c>
      <c r="H240" s="157"/>
    </row>
    <row r="241" spans="1:8" s="434" customFormat="1" ht="15" x14ac:dyDescent="0.15">
      <c r="A241" s="436">
        <v>45698</v>
      </c>
      <c r="B241" s="436">
        <v>45689</v>
      </c>
      <c r="C241" s="435">
        <v>-44.96</v>
      </c>
      <c r="D241" s="435"/>
      <c r="E241" s="438" t="s">
        <v>564</v>
      </c>
      <c r="F241" s="422" t="s">
        <v>264</v>
      </c>
      <c r="H241" s="157"/>
    </row>
    <row r="242" spans="1:8" s="434" customFormat="1" ht="15" x14ac:dyDescent="0.15">
      <c r="A242" s="436">
        <v>45698</v>
      </c>
      <c r="B242" s="436">
        <v>45698</v>
      </c>
      <c r="C242" s="435">
        <v>-24.27</v>
      </c>
      <c r="D242" s="435"/>
      <c r="E242" s="438" t="s">
        <v>565</v>
      </c>
      <c r="F242" s="422" t="s">
        <v>259</v>
      </c>
      <c r="H242" s="157"/>
    </row>
    <row r="243" spans="1:8" s="434" customFormat="1" ht="15" x14ac:dyDescent="0.15">
      <c r="A243" s="436">
        <v>45698</v>
      </c>
      <c r="B243" s="436">
        <v>45698</v>
      </c>
      <c r="C243" s="435">
        <v>-565.53</v>
      </c>
      <c r="D243" s="435"/>
      <c r="E243" s="438" t="s">
        <v>566</v>
      </c>
      <c r="F243" s="422" t="s">
        <v>255</v>
      </c>
      <c r="H243" s="157"/>
    </row>
    <row r="244" spans="1:8" s="434" customFormat="1" ht="15" x14ac:dyDescent="0.15">
      <c r="A244" s="436">
        <v>45698</v>
      </c>
      <c r="B244" s="436">
        <v>45698</v>
      </c>
      <c r="C244" s="435"/>
      <c r="D244" s="435">
        <v>551</v>
      </c>
      <c r="E244" s="438" t="s">
        <v>567</v>
      </c>
      <c r="F244" s="422" t="s">
        <v>243</v>
      </c>
      <c r="H244" s="157"/>
    </row>
    <row r="245" spans="1:8" s="434" customFormat="1" ht="15" x14ac:dyDescent="0.15">
      <c r="A245" s="436">
        <v>45698</v>
      </c>
      <c r="B245" s="436">
        <v>45698</v>
      </c>
      <c r="C245" s="435">
        <v>-1395.78</v>
      </c>
      <c r="D245" s="435"/>
      <c r="E245" s="438" t="s">
        <v>568</v>
      </c>
      <c r="F245" s="422" t="s">
        <v>419</v>
      </c>
      <c r="H245" s="157"/>
    </row>
    <row r="246" spans="1:8" s="434" customFormat="1" ht="15" x14ac:dyDescent="0.15">
      <c r="A246" s="436">
        <v>45700</v>
      </c>
      <c r="B246" s="436">
        <v>45700</v>
      </c>
      <c r="C246" s="435">
        <v>-196.49</v>
      </c>
      <c r="D246" s="435"/>
      <c r="E246" s="438" t="s">
        <v>569</v>
      </c>
      <c r="F246" s="422" t="s">
        <v>419</v>
      </c>
      <c r="H246" s="157"/>
    </row>
    <row r="247" spans="1:8" s="434" customFormat="1" ht="15" x14ac:dyDescent="0.15">
      <c r="A247" s="436">
        <v>45705</v>
      </c>
      <c r="B247" s="436">
        <v>45705</v>
      </c>
      <c r="C247" s="435">
        <v>-25.5</v>
      </c>
      <c r="D247" s="435"/>
      <c r="E247" s="438" t="s">
        <v>570</v>
      </c>
      <c r="F247" s="422" t="s">
        <v>265</v>
      </c>
      <c r="H247" s="157"/>
    </row>
    <row r="248" spans="1:8" s="434" customFormat="1" ht="15" x14ac:dyDescent="0.15">
      <c r="A248" s="436">
        <v>45707</v>
      </c>
      <c r="B248" s="436">
        <v>45707</v>
      </c>
      <c r="C248" s="435">
        <v>-180</v>
      </c>
      <c r="D248" s="435"/>
      <c r="E248" s="438" t="s">
        <v>571</v>
      </c>
      <c r="F248" s="422" t="s">
        <v>250</v>
      </c>
      <c r="H248" s="157"/>
    </row>
    <row r="249" spans="1:8" s="434" customFormat="1" ht="15" x14ac:dyDescent="0.15">
      <c r="A249" s="436">
        <v>45707</v>
      </c>
      <c r="B249" s="436">
        <v>45707</v>
      </c>
      <c r="C249" s="435">
        <v>-132</v>
      </c>
      <c r="D249" s="435"/>
      <c r="E249" s="438" t="s">
        <v>572</v>
      </c>
      <c r="F249" s="422" t="s">
        <v>405</v>
      </c>
      <c r="H249" s="157"/>
    </row>
    <row r="250" spans="1:8" s="434" customFormat="1" ht="15" x14ac:dyDescent="0.15">
      <c r="A250" s="436">
        <v>45707</v>
      </c>
      <c r="B250" s="436">
        <v>45705</v>
      </c>
      <c r="C250" s="435"/>
      <c r="D250" s="435">
        <v>3</v>
      </c>
      <c r="E250" s="438" t="s">
        <v>573</v>
      </c>
      <c r="F250" s="422" t="s">
        <v>405</v>
      </c>
      <c r="H250" s="157"/>
    </row>
    <row r="251" spans="1:8" s="434" customFormat="1" ht="15" x14ac:dyDescent="0.15">
      <c r="A251" s="436">
        <v>45708</v>
      </c>
      <c r="B251" s="436">
        <v>45708</v>
      </c>
      <c r="C251" s="435"/>
      <c r="D251" s="435">
        <v>1166.8499999999999</v>
      </c>
      <c r="E251" s="438" t="s">
        <v>580</v>
      </c>
      <c r="F251" s="422" t="s">
        <v>419</v>
      </c>
      <c r="H251" s="157"/>
    </row>
    <row r="252" spans="1:8" s="434" customFormat="1" ht="15" x14ac:dyDescent="0.15">
      <c r="A252" s="436">
        <v>45709</v>
      </c>
      <c r="B252" s="436">
        <v>45709</v>
      </c>
      <c r="C252" s="435">
        <v>-385</v>
      </c>
      <c r="D252" s="435"/>
      <c r="E252" s="438" t="s">
        <v>574</v>
      </c>
      <c r="F252" s="422" t="s">
        <v>1</v>
      </c>
      <c r="H252" s="157"/>
    </row>
    <row r="253" spans="1:8" s="434" customFormat="1" ht="15" x14ac:dyDescent="0.15">
      <c r="A253" s="436">
        <v>45709</v>
      </c>
      <c r="B253" s="436">
        <v>45709</v>
      </c>
      <c r="C253" s="435">
        <v>-44.4</v>
      </c>
      <c r="D253" s="435"/>
      <c r="E253" s="438" t="s">
        <v>575</v>
      </c>
      <c r="F253" s="422" t="s">
        <v>273</v>
      </c>
      <c r="H253" s="157"/>
    </row>
    <row r="254" spans="1:8" s="434" customFormat="1" ht="30" x14ac:dyDescent="0.15">
      <c r="A254" s="436">
        <v>45713</v>
      </c>
      <c r="B254" s="436">
        <v>45713</v>
      </c>
      <c r="C254" s="435">
        <v>-152.37</v>
      </c>
      <c r="D254" s="435"/>
      <c r="E254" s="438" t="s">
        <v>576</v>
      </c>
      <c r="F254" s="422" t="s">
        <v>253</v>
      </c>
      <c r="H254" s="157"/>
    </row>
    <row r="255" spans="1:8" s="434" customFormat="1" ht="15" x14ac:dyDescent="0.15">
      <c r="A255" s="436">
        <v>45714</v>
      </c>
      <c r="B255" s="436">
        <v>45714</v>
      </c>
      <c r="C255" s="435"/>
      <c r="D255" s="435">
        <v>1080</v>
      </c>
      <c r="E255" s="438" t="s">
        <v>577</v>
      </c>
      <c r="F255" s="422" t="s">
        <v>243</v>
      </c>
      <c r="H255" s="157"/>
    </row>
    <row r="256" spans="1:8" s="434" customFormat="1" ht="15" x14ac:dyDescent="0.15">
      <c r="A256" s="436">
        <v>45714</v>
      </c>
      <c r="B256" s="436">
        <v>45714</v>
      </c>
      <c r="C256" s="435">
        <v>-2.76</v>
      </c>
      <c r="D256" s="435"/>
      <c r="E256" s="438" t="s">
        <v>578</v>
      </c>
      <c r="F256" s="422" t="s">
        <v>264</v>
      </c>
      <c r="H256" s="157"/>
    </row>
    <row r="257" spans="1:9" s="434" customFormat="1" ht="15" x14ac:dyDescent="0.15">
      <c r="A257" s="436">
        <v>45714</v>
      </c>
      <c r="B257" s="436">
        <v>45714</v>
      </c>
      <c r="C257" s="435">
        <v>-83.88</v>
      </c>
      <c r="D257" s="435"/>
      <c r="E257" s="438" t="s">
        <v>579</v>
      </c>
      <c r="F257" s="422" t="s">
        <v>412</v>
      </c>
      <c r="H257" s="157"/>
    </row>
    <row r="258" spans="1:9" s="434" customFormat="1" x14ac:dyDescent="0.15">
      <c r="A258" s="534" t="s">
        <v>282</v>
      </c>
      <c r="B258" s="534"/>
      <c r="C258" s="154">
        <f>SUM(C226:C257)</f>
        <v>-10129.11</v>
      </c>
      <c r="D258" s="154">
        <f>SUM(D226:D257)</f>
        <v>2811.23</v>
      </c>
      <c r="E258" s="444"/>
      <c r="F258" s="188"/>
      <c r="H258" s="157"/>
    </row>
    <row r="259" spans="1:9" s="434" customFormat="1" x14ac:dyDescent="0.15">
      <c r="A259" s="436">
        <v>45717</v>
      </c>
      <c r="B259" s="436">
        <v>45717</v>
      </c>
      <c r="C259" s="439">
        <v>-1650</v>
      </c>
      <c r="D259" s="439"/>
      <c r="E259" s="437" t="s">
        <v>597</v>
      </c>
      <c r="F259" s="422" t="s">
        <v>246</v>
      </c>
      <c r="H259" s="157"/>
    </row>
    <row r="260" spans="1:9" s="434" customFormat="1" x14ac:dyDescent="0.15">
      <c r="A260" s="436">
        <v>45717</v>
      </c>
      <c r="B260" s="436">
        <v>45717</v>
      </c>
      <c r="C260" s="439">
        <v>-550</v>
      </c>
      <c r="D260" s="439"/>
      <c r="E260" s="437" t="s">
        <v>598</v>
      </c>
      <c r="F260" s="422" t="s">
        <v>246</v>
      </c>
      <c r="H260" s="157"/>
    </row>
    <row r="261" spans="1:9" s="434" customFormat="1" x14ac:dyDescent="0.15">
      <c r="A261" s="436">
        <v>45719</v>
      </c>
      <c r="B261" s="436">
        <v>45719</v>
      </c>
      <c r="C261" s="439">
        <v>-20</v>
      </c>
      <c r="D261" s="439"/>
      <c r="E261" s="437" t="s">
        <v>599</v>
      </c>
      <c r="F261" s="422" t="s">
        <v>396</v>
      </c>
      <c r="H261" s="157"/>
    </row>
    <row r="262" spans="1:9" s="434" customFormat="1" x14ac:dyDescent="0.15">
      <c r="A262" s="436">
        <v>45720</v>
      </c>
      <c r="B262" s="436">
        <v>45720</v>
      </c>
      <c r="C262" s="439">
        <v>-196.5</v>
      </c>
      <c r="D262" s="439"/>
      <c r="E262" s="437" t="s">
        <v>600</v>
      </c>
      <c r="F262" s="422" t="s">
        <v>257</v>
      </c>
      <c r="H262" s="157">
        <f>C262/1.2</f>
        <v>-163.75</v>
      </c>
      <c r="I262" s="434">
        <f>H262*12</f>
        <v>-1965</v>
      </c>
    </row>
    <row r="263" spans="1:9" s="434" customFormat="1" x14ac:dyDescent="0.15">
      <c r="A263" s="436">
        <v>45720</v>
      </c>
      <c r="B263" s="436">
        <v>45720</v>
      </c>
      <c r="C263" s="439">
        <v>-60</v>
      </c>
      <c r="D263" s="439"/>
      <c r="E263" s="437" t="s">
        <v>601</v>
      </c>
      <c r="F263" s="422" t="s">
        <v>412</v>
      </c>
      <c r="H263" s="157"/>
    </row>
    <row r="264" spans="1:9" s="434" customFormat="1" x14ac:dyDescent="0.15">
      <c r="A264" s="436">
        <v>45720</v>
      </c>
      <c r="B264" s="436">
        <v>45720</v>
      </c>
      <c r="C264" s="439">
        <v>-1104.43</v>
      </c>
      <c r="D264" s="439"/>
      <c r="E264" s="437" t="s">
        <v>602</v>
      </c>
      <c r="F264" s="422" t="s">
        <v>242</v>
      </c>
      <c r="H264" s="157"/>
    </row>
    <row r="265" spans="1:9" s="434" customFormat="1" x14ac:dyDescent="0.15">
      <c r="A265" s="436">
        <v>45721</v>
      </c>
      <c r="B265" s="436">
        <v>45721</v>
      </c>
      <c r="C265" s="439">
        <v>-623</v>
      </c>
      <c r="D265" s="439"/>
      <c r="E265" s="437" t="s">
        <v>603</v>
      </c>
      <c r="F265" s="422" t="s">
        <v>248</v>
      </c>
      <c r="H265" s="157"/>
    </row>
    <row r="266" spans="1:9" s="434" customFormat="1" x14ac:dyDescent="0.15">
      <c r="A266" s="436">
        <v>45721</v>
      </c>
      <c r="B266" s="436">
        <v>45721</v>
      </c>
      <c r="C266" s="439">
        <v>-71.28</v>
      </c>
      <c r="D266" s="439"/>
      <c r="E266" s="437" t="s">
        <v>604</v>
      </c>
      <c r="F266" s="422" t="s">
        <v>251</v>
      </c>
      <c r="H266" s="157"/>
    </row>
    <row r="267" spans="1:9" s="434" customFormat="1" x14ac:dyDescent="0.15">
      <c r="A267" s="436">
        <v>45721</v>
      </c>
      <c r="B267" s="436">
        <v>45721</v>
      </c>
      <c r="C267" s="439"/>
      <c r="D267" s="439">
        <v>800</v>
      </c>
      <c r="E267" s="437" t="s">
        <v>605</v>
      </c>
      <c r="F267" s="422" t="s">
        <v>243</v>
      </c>
      <c r="H267" s="157"/>
    </row>
    <row r="268" spans="1:9" s="434" customFormat="1" x14ac:dyDescent="0.15">
      <c r="A268" s="436">
        <v>45721</v>
      </c>
      <c r="B268" s="436">
        <v>45721</v>
      </c>
      <c r="C268" s="439"/>
      <c r="D268" s="439">
        <v>1000</v>
      </c>
      <c r="E268" s="437" t="s">
        <v>606</v>
      </c>
      <c r="F268" s="422" t="s">
        <v>243</v>
      </c>
      <c r="H268" s="157"/>
    </row>
    <row r="269" spans="1:9" s="434" customFormat="1" x14ac:dyDescent="0.15">
      <c r="A269" s="436">
        <v>45721</v>
      </c>
      <c r="B269" s="436">
        <v>45721</v>
      </c>
      <c r="C269" s="439">
        <v>-4.67</v>
      </c>
      <c r="D269" s="439"/>
      <c r="E269" s="437" t="s">
        <v>607</v>
      </c>
      <c r="F269" s="422" t="s">
        <v>396</v>
      </c>
      <c r="H269" s="157"/>
    </row>
    <row r="270" spans="1:9" s="434" customFormat="1" x14ac:dyDescent="0.15">
      <c r="A270" s="436">
        <v>45726</v>
      </c>
      <c r="B270" s="436">
        <v>45717</v>
      </c>
      <c r="C270" s="439">
        <v>-45.59</v>
      </c>
      <c r="D270" s="439"/>
      <c r="E270" s="437" t="s">
        <v>608</v>
      </c>
      <c r="F270" s="422" t="s">
        <v>264</v>
      </c>
      <c r="H270" s="157"/>
    </row>
    <row r="271" spans="1:9" s="434" customFormat="1" x14ac:dyDescent="0.15">
      <c r="A271" s="436">
        <v>45726</v>
      </c>
      <c r="B271" s="436">
        <v>45726</v>
      </c>
      <c r="C271" s="439">
        <v>-787.38</v>
      </c>
      <c r="D271" s="439"/>
      <c r="E271" s="437" t="s">
        <v>609</v>
      </c>
      <c r="F271" s="422" t="s">
        <v>255</v>
      </c>
      <c r="H271" s="157"/>
    </row>
    <row r="272" spans="1:9" s="434" customFormat="1" x14ac:dyDescent="0.15">
      <c r="A272" s="436">
        <v>45726</v>
      </c>
      <c r="B272" s="436">
        <v>45726</v>
      </c>
      <c r="C272" s="439">
        <v>-45.9</v>
      </c>
      <c r="D272" s="439"/>
      <c r="E272" s="437" t="s">
        <v>610</v>
      </c>
      <c r="F272" s="422" t="s">
        <v>405</v>
      </c>
      <c r="H272" s="157"/>
    </row>
    <row r="273" spans="1:8" s="434" customFormat="1" x14ac:dyDescent="0.15">
      <c r="A273" s="436">
        <v>45727</v>
      </c>
      <c r="B273" s="436">
        <v>45727</v>
      </c>
      <c r="C273" s="439">
        <v>-24.27</v>
      </c>
      <c r="D273" s="439"/>
      <c r="E273" s="437" t="s">
        <v>611</v>
      </c>
      <c r="F273" s="422" t="s">
        <v>259</v>
      </c>
      <c r="H273" s="157"/>
    </row>
    <row r="274" spans="1:8" s="434" customFormat="1" x14ac:dyDescent="0.15">
      <c r="A274" s="436">
        <v>45727</v>
      </c>
      <c r="B274" s="436">
        <v>45727</v>
      </c>
      <c r="C274" s="439">
        <v>-270</v>
      </c>
      <c r="D274" s="439"/>
      <c r="E274" s="437" t="s">
        <v>612</v>
      </c>
      <c r="F274" s="422" t="s">
        <v>496</v>
      </c>
      <c r="H274" s="157"/>
    </row>
    <row r="275" spans="1:8" s="434" customFormat="1" x14ac:dyDescent="0.15">
      <c r="A275" s="436">
        <v>45730</v>
      </c>
      <c r="B275" s="436">
        <v>45730</v>
      </c>
      <c r="C275" s="439"/>
      <c r="D275" s="439">
        <v>3000</v>
      </c>
      <c r="E275" s="437" t="s">
        <v>613</v>
      </c>
      <c r="F275" s="422" t="s">
        <v>243</v>
      </c>
      <c r="H275" s="157"/>
    </row>
    <row r="276" spans="1:8" s="434" customFormat="1" x14ac:dyDescent="0.15">
      <c r="A276" s="436">
        <v>45730</v>
      </c>
      <c r="B276" s="436">
        <v>45730</v>
      </c>
      <c r="C276" s="439">
        <v>-2400</v>
      </c>
      <c r="D276" s="439"/>
      <c r="E276" s="437" t="s">
        <v>614</v>
      </c>
      <c r="F276" s="422" t="s">
        <v>274</v>
      </c>
      <c r="H276" s="157"/>
    </row>
    <row r="277" spans="1:8" s="434" customFormat="1" x14ac:dyDescent="0.15">
      <c r="A277" s="436">
        <v>45730</v>
      </c>
      <c r="B277" s="436">
        <v>45730</v>
      </c>
      <c r="C277" s="439"/>
      <c r="D277" s="439">
        <v>1440</v>
      </c>
      <c r="E277" s="437" t="s">
        <v>615</v>
      </c>
      <c r="F277" s="422" t="s">
        <v>243</v>
      </c>
      <c r="H277" s="157"/>
    </row>
    <row r="278" spans="1:8" s="434" customFormat="1" x14ac:dyDescent="0.15">
      <c r="A278" s="436">
        <v>45730</v>
      </c>
      <c r="B278" s="436">
        <v>45733</v>
      </c>
      <c r="C278" s="439"/>
      <c r="D278" s="439">
        <v>129.5</v>
      </c>
      <c r="E278" s="437" t="s">
        <v>616</v>
      </c>
      <c r="F278" s="422" t="s">
        <v>496</v>
      </c>
      <c r="H278" s="157"/>
    </row>
    <row r="279" spans="1:8" s="434" customFormat="1" x14ac:dyDescent="0.15">
      <c r="A279" s="436">
        <v>45736</v>
      </c>
      <c r="B279" s="436">
        <v>45736</v>
      </c>
      <c r="C279" s="439">
        <v>-19</v>
      </c>
      <c r="D279" s="439"/>
      <c r="E279" s="437" t="s">
        <v>617</v>
      </c>
      <c r="F279" s="422" t="s">
        <v>265</v>
      </c>
      <c r="H279" s="157"/>
    </row>
    <row r="280" spans="1:8" s="434" customFormat="1" x14ac:dyDescent="0.15">
      <c r="A280" s="436">
        <v>45736</v>
      </c>
      <c r="B280" s="436">
        <v>45737</v>
      </c>
      <c r="C280" s="439"/>
      <c r="D280" s="439">
        <v>15000</v>
      </c>
      <c r="E280" s="437" t="s">
        <v>618</v>
      </c>
      <c r="F280" s="422" t="s">
        <v>494</v>
      </c>
      <c r="H280" s="157"/>
    </row>
    <row r="281" spans="1:8" s="434" customFormat="1" x14ac:dyDescent="0.15">
      <c r="A281" s="436">
        <v>45736</v>
      </c>
      <c r="B281" s="436">
        <v>45737</v>
      </c>
      <c r="C281" s="439"/>
      <c r="D281" s="439">
        <v>243.46</v>
      </c>
      <c r="E281" s="437" t="s">
        <v>619</v>
      </c>
      <c r="F281" s="422" t="s">
        <v>494</v>
      </c>
      <c r="H281" s="157"/>
    </row>
    <row r="282" spans="1:8" s="434" customFormat="1" x14ac:dyDescent="0.15">
      <c r="A282" s="436">
        <v>45737</v>
      </c>
      <c r="B282" s="436">
        <v>45737</v>
      </c>
      <c r="C282" s="439">
        <v>-44.4</v>
      </c>
      <c r="D282" s="439"/>
      <c r="E282" s="437" t="s">
        <v>620</v>
      </c>
      <c r="F282" s="422" t="s">
        <v>273</v>
      </c>
      <c r="H282" s="157"/>
    </row>
    <row r="283" spans="1:8" s="434" customFormat="1" x14ac:dyDescent="0.15">
      <c r="A283" s="436">
        <v>45741</v>
      </c>
      <c r="B283" s="436">
        <v>45741</v>
      </c>
      <c r="C283" s="439">
        <v>-152.37</v>
      </c>
      <c r="D283" s="439"/>
      <c r="E283" s="437" t="s">
        <v>621</v>
      </c>
      <c r="F283" s="422" t="s">
        <v>253</v>
      </c>
      <c r="H283" s="157"/>
    </row>
    <row r="284" spans="1:8" s="434" customFormat="1" x14ac:dyDescent="0.15">
      <c r="A284" s="436">
        <v>45742</v>
      </c>
      <c r="B284" s="436">
        <v>45742</v>
      </c>
      <c r="C284" s="439"/>
      <c r="D284" s="439">
        <v>2772</v>
      </c>
      <c r="E284" s="437" t="s">
        <v>622</v>
      </c>
      <c r="F284" s="422" t="s">
        <v>243</v>
      </c>
      <c r="H284" s="157"/>
    </row>
    <row r="285" spans="1:8" s="434" customFormat="1" x14ac:dyDescent="0.15">
      <c r="A285" s="436">
        <v>45743</v>
      </c>
      <c r="B285" s="436">
        <v>45743</v>
      </c>
      <c r="C285" s="439"/>
      <c r="D285" s="439">
        <v>1540</v>
      </c>
      <c r="E285" s="437" t="s">
        <v>506</v>
      </c>
      <c r="F285" s="422" t="s">
        <v>243</v>
      </c>
      <c r="H285" s="157"/>
    </row>
    <row r="286" spans="1:8" s="434" customFormat="1" x14ac:dyDescent="0.15">
      <c r="A286" s="534" t="s">
        <v>282</v>
      </c>
      <c r="B286" s="534"/>
      <c r="C286" s="423">
        <f>SUM(C259:C285)</f>
        <v>-8068.79</v>
      </c>
      <c r="D286" s="423">
        <f>SUM(D259:D285)</f>
        <v>25924.959999999999</v>
      </c>
      <c r="E286" s="444"/>
      <c r="F286" s="188"/>
      <c r="H286" s="157"/>
    </row>
    <row r="287" spans="1:8" s="434" customFormat="1" x14ac:dyDescent="0.15">
      <c r="A287" s="436">
        <v>45748</v>
      </c>
      <c r="B287" s="436">
        <v>45748</v>
      </c>
      <c r="C287" s="439">
        <v>-1650</v>
      </c>
      <c r="D287" s="439"/>
      <c r="E287" s="437" t="s">
        <v>682</v>
      </c>
      <c r="F287" s="422" t="s">
        <v>246</v>
      </c>
      <c r="H287" s="157"/>
    </row>
    <row r="288" spans="1:8" s="434" customFormat="1" x14ac:dyDescent="0.15">
      <c r="A288" s="436">
        <v>45748</v>
      </c>
      <c r="B288" s="436">
        <v>45748</v>
      </c>
      <c r="C288" s="439">
        <v>-550</v>
      </c>
      <c r="D288" s="439"/>
      <c r="E288" s="437" t="s">
        <v>683</v>
      </c>
      <c r="F288" s="422" t="s">
        <v>246</v>
      </c>
      <c r="H288" s="157"/>
    </row>
    <row r="289" spans="1:8" s="434" customFormat="1" x14ac:dyDescent="0.15">
      <c r="A289" s="436">
        <v>45748</v>
      </c>
      <c r="B289" s="436">
        <v>45748</v>
      </c>
      <c r="C289" s="439">
        <v>-60</v>
      </c>
      <c r="D289" s="439"/>
      <c r="E289" s="437" t="s">
        <v>684</v>
      </c>
      <c r="F289" s="422" t="s">
        <v>412</v>
      </c>
      <c r="H289" s="157"/>
    </row>
    <row r="290" spans="1:8" s="434" customFormat="1" x14ac:dyDescent="0.15">
      <c r="A290" s="436">
        <v>45749</v>
      </c>
      <c r="B290" s="436">
        <v>45749</v>
      </c>
      <c r="C290" s="439"/>
      <c r="D290" s="439">
        <v>1440</v>
      </c>
      <c r="E290" s="437" t="s">
        <v>685</v>
      </c>
      <c r="F290" s="422" t="s">
        <v>243</v>
      </c>
      <c r="H290" s="157"/>
    </row>
    <row r="291" spans="1:8" s="434" customFormat="1" x14ac:dyDescent="0.15">
      <c r="A291" s="436">
        <v>45749</v>
      </c>
      <c r="B291" s="436">
        <v>45749</v>
      </c>
      <c r="C291" s="439">
        <v>-19</v>
      </c>
      <c r="D291" s="439"/>
      <c r="E291" s="437" t="s">
        <v>686</v>
      </c>
      <c r="F291" s="422" t="s">
        <v>265</v>
      </c>
      <c r="H291" s="157"/>
    </row>
    <row r="292" spans="1:8" s="434" customFormat="1" x14ac:dyDescent="0.15">
      <c r="A292" s="436">
        <v>45750</v>
      </c>
      <c r="B292" s="436">
        <v>45749</v>
      </c>
      <c r="C292" s="439">
        <v>-15000</v>
      </c>
      <c r="D292" s="439"/>
      <c r="E292" s="437" t="s">
        <v>687</v>
      </c>
      <c r="F292" s="422" t="s">
        <v>494</v>
      </c>
      <c r="H292" s="157"/>
    </row>
    <row r="293" spans="1:8" s="434" customFormat="1" x14ac:dyDescent="0.15">
      <c r="A293" s="436">
        <v>45750</v>
      </c>
      <c r="B293" s="436">
        <v>45750</v>
      </c>
      <c r="C293" s="439">
        <v>-196.5</v>
      </c>
      <c r="D293" s="439"/>
      <c r="E293" s="437" t="s">
        <v>688</v>
      </c>
      <c r="F293" s="422" t="s">
        <v>257</v>
      </c>
      <c r="H293" s="157"/>
    </row>
    <row r="294" spans="1:8" s="434" customFormat="1" x14ac:dyDescent="0.15">
      <c r="A294" s="436">
        <v>45751</v>
      </c>
      <c r="B294" s="436">
        <v>45751</v>
      </c>
      <c r="C294" s="439">
        <v>-1065</v>
      </c>
      <c r="D294" s="439"/>
      <c r="E294" s="437" t="s">
        <v>689</v>
      </c>
      <c r="F294" s="422" t="s">
        <v>242</v>
      </c>
      <c r="H294" s="157"/>
    </row>
    <row r="295" spans="1:8" s="434" customFormat="1" x14ac:dyDescent="0.15">
      <c r="A295" s="436">
        <v>45751</v>
      </c>
      <c r="B295" s="436">
        <v>45751</v>
      </c>
      <c r="C295" s="439">
        <v>-1800</v>
      </c>
      <c r="D295" s="439"/>
      <c r="E295" s="437" t="s">
        <v>690</v>
      </c>
      <c r="F295" s="422" t="s">
        <v>274</v>
      </c>
      <c r="H295" s="157"/>
    </row>
    <row r="296" spans="1:8" s="434" customFormat="1" x14ac:dyDescent="0.15">
      <c r="A296" s="436">
        <v>45751</v>
      </c>
      <c r="B296" s="436">
        <v>45751</v>
      </c>
      <c r="C296" s="439">
        <v>-2000</v>
      </c>
      <c r="D296" s="439"/>
      <c r="E296" s="437" t="s">
        <v>691</v>
      </c>
      <c r="F296" s="422" t="s">
        <v>274</v>
      </c>
      <c r="H296" s="157"/>
    </row>
    <row r="297" spans="1:8" s="434" customFormat="1" x14ac:dyDescent="0.15">
      <c r="A297" s="436">
        <v>45753</v>
      </c>
      <c r="B297" s="436">
        <v>45754</v>
      </c>
      <c r="C297" s="439"/>
      <c r="D297" s="439">
        <v>15000</v>
      </c>
      <c r="E297" s="437" t="s">
        <v>692</v>
      </c>
      <c r="F297" s="422" t="s">
        <v>494</v>
      </c>
      <c r="H297" s="157"/>
    </row>
    <row r="298" spans="1:8" s="434" customFormat="1" x14ac:dyDescent="0.15">
      <c r="A298" s="436">
        <v>45753</v>
      </c>
      <c r="B298" s="436">
        <v>45754</v>
      </c>
      <c r="C298" s="439"/>
      <c r="D298" s="439">
        <v>102.49</v>
      </c>
      <c r="E298" s="437" t="s">
        <v>693</v>
      </c>
      <c r="F298" s="422" t="s">
        <v>494</v>
      </c>
      <c r="H298" s="157"/>
    </row>
    <row r="299" spans="1:8" s="434" customFormat="1" x14ac:dyDescent="0.15">
      <c r="A299" s="436">
        <v>45754</v>
      </c>
      <c r="B299" s="436">
        <v>45754</v>
      </c>
      <c r="C299" s="439">
        <v>-623</v>
      </c>
      <c r="D299" s="439"/>
      <c r="E299" s="437" t="s">
        <v>694</v>
      </c>
      <c r="F299" s="422" t="s">
        <v>248</v>
      </c>
      <c r="H299" s="157"/>
    </row>
    <row r="300" spans="1:8" s="434" customFormat="1" x14ac:dyDescent="0.15">
      <c r="A300" s="436">
        <v>45754</v>
      </c>
      <c r="B300" s="436">
        <v>45754</v>
      </c>
      <c r="C300" s="439">
        <v>-71.28</v>
      </c>
      <c r="D300" s="439"/>
      <c r="E300" s="437" t="s">
        <v>695</v>
      </c>
      <c r="F300" s="422" t="s">
        <v>251</v>
      </c>
      <c r="H300" s="157"/>
    </row>
    <row r="301" spans="1:8" s="434" customFormat="1" x14ac:dyDescent="0.15">
      <c r="A301" s="436">
        <v>45754</v>
      </c>
      <c r="B301" s="436">
        <v>45754</v>
      </c>
      <c r="C301" s="439">
        <v>-36</v>
      </c>
      <c r="D301" s="439"/>
      <c r="E301" s="437" t="s">
        <v>696</v>
      </c>
      <c r="F301" s="422" t="s">
        <v>265</v>
      </c>
      <c r="H301" s="157"/>
    </row>
    <row r="302" spans="1:8" s="434" customFormat="1" x14ac:dyDescent="0.15">
      <c r="A302" s="436">
        <v>45757</v>
      </c>
      <c r="B302" s="436">
        <v>45748</v>
      </c>
      <c r="C302" s="439">
        <v>-45.17</v>
      </c>
      <c r="D302" s="439"/>
      <c r="E302" s="437" t="s">
        <v>697</v>
      </c>
      <c r="F302" s="422" t="s">
        <v>264</v>
      </c>
      <c r="H302" s="157"/>
    </row>
    <row r="303" spans="1:8" s="434" customFormat="1" x14ac:dyDescent="0.15">
      <c r="A303" s="436">
        <v>45757</v>
      </c>
      <c r="B303" s="436">
        <v>45757</v>
      </c>
      <c r="C303" s="439">
        <v>-24.27</v>
      </c>
      <c r="D303" s="439"/>
      <c r="E303" s="437" t="s">
        <v>698</v>
      </c>
      <c r="F303" s="422" t="s">
        <v>259</v>
      </c>
      <c r="H303" s="157"/>
    </row>
    <row r="304" spans="1:8" s="434" customFormat="1" x14ac:dyDescent="0.15">
      <c r="A304" s="436">
        <v>45757</v>
      </c>
      <c r="B304" s="436">
        <v>45757</v>
      </c>
      <c r="C304" s="439">
        <v>-787.38</v>
      </c>
      <c r="D304" s="439"/>
      <c r="E304" s="437" t="s">
        <v>699</v>
      </c>
      <c r="F304" s="422" t="s">
        <v>255</v>
      </c>
      <c r="H304" s="157"/>
    </row>
    <row r="305" spans="1:8" s="434" customFormat="1" x14ac:dyDescent="0.15">
      <c r="A305" s="436">
        <v>45758</v>
      </c>
      <c r="B305" s="436">
        <v>45758</v>
      </c>
      <c r="C305" s="439"/>
      <c r="D305" s="439">
        <v>600</v>
      </c>
      <c r="E305" s="437" t="s">
        <v>380</v>
      </c>
      <c r="F305" s="422" t="s">
        <v>243</v>
      </c>
      <c r="H305" s="157"/>
    </row>
    <row r="306" spans="1:8" s="434" customFormat="1" x14ac:dyDescent="0.15">
      <c r="A306" s="436">
        <v>45762</v>
      </c>
      <c r="B306" s="436">
        <v>45762</v>
      </c>
      <c r="C306" s="439"/>
      <c r="D306" s="439">
        <v>15.5</v>
      </c>
      <c r="E306" s="437" t="s">
        <v>700</v>
      </c>
      <c r="F306" s="422" t="s">
        <v>496</v>
      </c>
      <c r="H306" s="157"/>
    </row>
    <row r="307" spans="1:8" s="434" customFormat="1" x14ac:dyDescent="0.15">
      <c r="A307" s="436">
        <v>45763</v>
      </c>
      <c r="B307" s="436">
        <v>45763</v>
      </c>
      <c r="C307" s="439"/>
      <c r="D307" s="439">
        <v>1000</v>
      </c>
      <c r="E307" s="437" t="s">
        <v>701</v>
      </c>
      <c r="F307" s="422" t="s">
        <v>243</v>
      </c>
      <c r="H307" s="157"/>
    </row>
    <row r="308" spans="1:8" s="434" customFormat="1" x14ac:dyDescent="0.15">
      <c r="A308" s="436">
        <v>45763</v>
      </c>
      <c r="B308" s="436">
        <v>45763</v>
      </c>
      <c r="C308" s="439"/>
      <c r="D308" s="439">
        <v>14.7</v>
      </c>
      <c r="E308" s="437" t="s">
        <v>702</v>
      </c>
      <c r="F308" s="422" t="s">
        <v>496</v>
      </c>
      <c r="H308" s="157"/>
    </row>
    <row r="309" spans="1:8" s="434" customFormat="1" x14ac:dyDescent="0.15">
      <c r="A309" s="436">
        <v>45763</v>
      </c>
      <c r="B309" s="436">
        <v>45763</v>
      </c>
      <c r="C309" s="439">
        <v>-107.28</v>
      </c>
      <c r="D309" s="439"/>
      <c r="E309" s="437" t="s">
        <v>703</v>
      </c>
      <c r="F309" s="422" t="s">
        <v>265</v>
      </c>
      <c r="H309" s="157"/>
    </row>
    <row r="310" spans="1:8" s="434" customFormat="1" x14ac:dyDescent="0.15">
      <c r="A310" s="436">
        <v>45763</v>
      </c>
      <c r="B310" s="436">
        <v>45763</v>
      </c>
      <c r="C310" s="439">
        <v>-3.9</v>
      </c>
      <c r="D310" s="439"/>
      <c r="E310" s="437" t="s">
        <v>704</v>
      </c>
      <c r="F310" s="422" t="s">
        <v>265</v>
      </c>
      <c r="H310" s="157"/>
    </row>
    <row r="311" spans="1:8" s="434" customFormat="1" x14ac:dyDescent="0.15">
      <c r="A311" s="436">
        <v>45764</v>
      </c>
      <c r="B311" s="436">
        <v>45764</v>
      </c>
      <c r="C311" s="439"/>
      <c r="D311" s="439">
        <v>0.01</v>
      </c>
      <c r="E311" s="437" t="s">
        <v>705</v>
      </c>
      <c r="F311" s="422" t="s">
        <v>396</v>
      </c>
      <c r="H311" s="157"/>
    </row>
    <row r="312" spans="1:8" s="434" customFormat="1" x14ac:dyDescent="0.15">
      <c r="A312" s="436">
        <v>45765</v>
      </c>
      <c r="B312" s="436">
        <v>45765</v>
      </c>
      <c r="C312" s="439">
        <v>-2.88</v>
      </c>
      <c r="D312" s="439"/>
      <c r="E312" s="437" t="s">
        <v>706</v>
      </c>
      <c r="F312" s="422" t="s">
        <v>396</v>
      </c>
      <c r="H312" s="157"/>
    </row>
    <row r="313" spans="1:8" s="434" customFormat="1" x14ac:dyDescent="0.15">
      <c r="A313" s="436">
        <v>45765</v>
      </c>
      <c r="B313" s="436">
        <v>45765</v>
      </c>
      <c r="C313" s="439">
        <v>-87.9</v>
      </c>
      <c r="D313" s="439"/>
      <c r="E313" s="437" t="s">
        <v>707</v>
      </c>
      <c r="F313" s="422" t="s">
        <v>396</v>
      </c>
      <c r="H313" s="157"/>
    </row>
    <row r="314" spans="1:8" s="434" customFormat="1" x14ac:dyDescent="0.15">
      <c r="A314" s="436">
        <v>45768</v>
      </c>
      <c r="B314" s="436">
        <v>45768</v>
      </c>
      <c r="C314" s="439">
        <v>-48.15</v>
      </c>
      <c r="D314" s="439"/>
      <c r="E314" s="437" t="s">
        <v>708</v>
      </c>
      <c r="F314" s="422" t="s">
        <v>403</v>
      </c>
      <c r="H314" s="157"/>
    </row>
    <row r="315" spans="1:8" s="434" customFormat="1" x14ac:dyDescent="0.15">
      <c r="A315" s="436">
        <v>45768</v>
      </c>
      <c r="B315" s="436">
        <v>45768</v>
      </c>
      <c r="C315" s="439">
        <v>-5.4</v>
      </c>
      <c r="D315" s="439"/>
      <c r="E315" s="437" t="s">
        <v>709</v>
      </c>
      <c r="F315" s="422" t="s">
        <v>396</v>
      </c>
      <c r="H315" s="157"/>
    </row>
    <row r="316" spans="1:8" s="434" customFormat="1" x14ac:dyDescent="0.15">
      <c r="A316" s="436">
        <v>45768</v>
      </c>
      <c r="B316" s="436">
        <v>45768</v>
      </c>
      <c r="C316" s="439">
        <v>-174.7</v>
      </c>
      <c r="D316" s="439"/>
      <c r="E316" s="437" t="s">
        <v>710</v>
      </c>
      <c r="F316" s="422" t="s">
        <v>396</v>
      </c>
      <c r="H316" s="157"/>
    </row>
    <row r="317" spans="1:8" s="434" customFormat="1" x14ac:dyDescent="0.15">
      <c r="A317" s="436">
        <v>45769</v>
      </c>
      <c r="B317" s="436">
        <v>45769</v>
      </c>
      <c r="C317" s="439">
        <v>-725</v>
      </c>
      <c r="D317" s="439"/>
      <c r="E317" s="437" t="s">
        <v>711</v>
      </c>
      <c r="F317" s="422" t="s">
        <v>495</v>
      </c>
      <c r="H317" s="157"/>
    </row>
    <row r="318" spans="1:8" s="434" customFormat="1" x14ac:dyDescent="0.15">
      <c r="A318" s="436">
        <v>45770</v>
      </c>
      <c r="B318" s="436">
        <v>45770</v>
      </c>
      <c r="C318" s="439"/>
      <c r="D318" s="439">
        <v>525</v>
      </c>
      <c r="E318" s="437" t="s">
        <v>712</v>
      </c>
      <c r="F318" s="422" t="s">
        <v>243</v>
      </c>
      <c r="H318" s="157"/>
    </row>
    <row r="319" spans="1:8" s="434" customFormat="1" x14ac:dyDescent="0.15">
      <c r="A319" s="436">
        <v>45771</v>
      </c>
      <c r="B319" s="436">
        <v>45771</v>
      </c>
      <c r="C319" s="439">
        <v>-877</v>
      </c>
      <c r="D319" s="439"/>
      <c r="E319" s="437" t="s">
        <v>713</v>
      </c>
      <c r="F319" s="422" t="s">
        <v>1</v>
      </c>
      <c r="H319" s="157"/>
    </row>
    <row r="320" spans="1:8" s="434" customFormat="1" x14ac:dyDescent="0.15">
      <c r="A320" s="436">
        <v>45772</v>
      </c>
      <c r="B320" s="436">
        <v>45772</v>
      </c>
      <c r="C320" s="439">
        <v>-152.37</v>
      </c>
      <c r="D320" s="439"/>
      <c r="E320" s="437" t="s">
        <v>714</v>
      </c>
      <c r="F320" s="422" t="s">
        <v>253</v>
      </c>
      <c r="H320" s="157"/>
    </row>
    <row r="321" spans="1:8" s="434" customFormat="1" x14ac:dyDescent="0.15">
      <c r="A321" s="436">
        <v>45773</v>
      </c>
      <c r="B321" s="436">
        <v>45773</v>
      </c>
      <c r="C321" s="439">
        <v>-1200</v>
      </c>
      <c r="D321" s="439"/>
      <c r="E321" s="437" t="s">
        <v>715</v>
      </c>
      <c r="F321" s="422" t="s">
        <v>274</v>
      </c>
      <c r="H321" s="157"/>
    </row>
    <row r="322" spans="1:8" s="434" customFormat="1" x14ac:dyDescent="0.15">
      <c r="A322" s="436">
        <v>45775</v>
      </c>
      <c r="B322" s="436">
        <v>45775</v>
      </c>
      <c r="C322" s="439"/>
      <c r="D322" s="439">
        <v>9.86</v>
      </c>
      <c r="E322" s="437" t="s">
        <v>716</v>
      </c>
      <c r="F322" s="454" t="s">
        <v>496</v>
      </c>
      <c r="H322" s="157"/>
    </row>
    <row r="323" spans="1:8" s="434" customFormat="1" x14ac:dyDescent="0.15">
      <c r="A323" s="436">
        <v>45775</v>
      </c>
      <c r="B323" s="436">
        <v>45775</v>
      </c>
      <c r="C323" s="439">
        <v>-46</v>
      </c>
      <c r="D323" s="439"/>
      <c r="E323" s="437" t="s">
        <v>717</v>
      </c>
      <c r="F323" s="422" t="s">
        <v>265</v>
      </c>
      <c r="H323" s="157"/>
    </row>
    <row r="324" spans="1:8" s="434" customFormat="1" x14ac:dyDescent="0.15">
      <c r="A324" s="436">
        <v>45776</v>
      </c>
      <c r="B324" s="436">
        <v>45776</v>
      </c>
      <c r="C324" s="439"/>
      <c r="D324" s="439">
        <v>3780</v>
      </c>
      <c r="E324" s="437" t="s">
        <v>718</v>
      </c>
      <c r="F324" s="422" t="s">
        <v>243</v>
      </c>
      <c r="H324" s="157"/>
    </row>
    <row r="325" spans="1:8" s="434" customFormat="1" x14ac:dyDescent="0.15">
      <c r="A325" s="436">
        <v>45776</v>
      </c>
      <c r="B325" s="436">
        <v>45771</v>
      </c>
      <c r="C325" s="439">
        <v>-15000</v>
      </c>
      <c r="D325" s="439"/>
      <c r="E325" s="437" t="s">
        <v>719</v>
      </c>
      <c r="F325" s="422" t="s">
        <v>494</v>
      </c>
      <c r="H325" s="157"/>
    </row>
    <row r="326" spans="1:8" s="434" customFormat="1" x14ac:dyDescent="0.15">
      <c r="A326" s="436">
        <v>45776</v>
      </c>
      <c r="B326" s="436">
        <v>45776</v>
      </c>
      <c r="C326" s="439">
        <v>-720</v>
      </c>
      <c r="D326" s="439"/>
      <c r="E326" s="437" t="s">
        <v>720</v>
      </c>
      <c r="F326" s="422" t="s">
        <v>274</v>
      </c>
      <c r="H326" s="157"/>
    </row>
    <row r="327" spans="1:8" s="434" customFormat="1" x14ac:dyDescent="0.15">
      <c r="A327" s="436">
        <v>45776</v>
      </c>
      <c r="B327" s="436">
        <v>45776</v>
      </c>
      <c r="C327" s="439">
        <v>-750</v>
      </c>
      <c r="D327" s="439"/>
      <c r="E327" s="437" t="s">
        <v>721</v>
      </c>
      <c r="F327" s="422" t="s">
        <v>274</v>
      </c>
      <c r="H327" s="157"/>
    </row>
    <row r="328" spans="1:8" s="434" customFormat="1" x14ac:dyDescent="0.15">
      <c r="A328" s="436">
        <v>45777</v>
      </c>
      <c r="B328" s="436">
        <v>45777</v>
      </c>
      <c r="C328" s="439"/>
      <c r="D328" s="439">
        <v>1663.2</v>
      </c>
      <c r="E328" s="437" t="s">
        <v>722</v>
      </c>
      <c r="F328" s="422" t="s">
        <v>243</v>
      </c>
      <c r="H328" s="157"/>
    </row>
    <row r="329" spans="1:8" s="434" customFormat="1" x14ac:dyDescent="0.15">
      <c r="A329" s="436">
        <v>45777</v>
      </c>
      <c r="B329" s="436">
        <v>45777</v>
      </c>
      <c r="C329" s="439"/>
      <c r="D329" s="439">
        <v>1000</v>
      </c>
      <c r="E329" s="437" t="s">
        <v>723</v>
      </c>
      <c r="F329" s="422" t="s">
        <v>243</v>
      </c>
      <c r="H329" s="157"/>
    </row>
    <row r="330" spans="1:8" s="434" customFormat="1" x14ac:dyDescent="0.15">
      <c r="A330" s="436">
        <v>45777</v>
      </c>
      <c r="B330" s="436">
        <v>45777</v>
      </c>
      <c r="C330" s="439">
        <v>-8.1300000000000008</v>
      </c>
      <c r="D330" s="439"/>
      <c r="E330" s="437" t="s">
        <v>724</v>
      </c>
      <c r="F330" s="422" t="s">
        <v>265</v>
      </c>
      <c r="H330" s="157"/>
    </row>
    <row r="331" spans="1:8" s="434" customFormat="1" x14ac:dyDescent="0.15">
      <c r="A331" s="436">
        <v>45777</v>
      </c>
      <c r="B331" s="436">
        <v>45777</v>
      </c>
      <c r="C331" s="439"/>
      <c r="D331" s="439">
        <v>30.75</v>
      </c>
      <c r="E331" s="437" t="s">
        <v>725</v>
      </c>
      <c r="F331" s="422" t="s">
        <v>496</v>
      </c>
      <c r="H331" s="157"/>
    </row>
    <row r="332" spans="1:8" s="434" customFormat="1" x14ac:dyDescent="0.15">
      <c r="A332" s="534" t="s">
        <v>282</v>
      </c>
      <c r="B332" s="534"/>
      <c r="C332" s="423">
        <f>SUM(C287:C331)</f>
        <v>-43836.310000000005</v>
      </c>
      <c r="D332" s="423">
        <f>SUM(D287:D331)</f>
        <v>25181.510000000002</v>
      </c>
      <c r="E332" s="444"/>
      <c r="F332" s="188"/>
      <c r="H332" s="157"/>
    </row>
    <row r="333" spans="1:8" s="434" customFormat="1" x14ac:dyDescent="0.15">
      <c r="A333" s="436">
        <v>45779</v>
      </c>
      <c r="B333" s="436">
        <v>45779</v>
      </c>
      <c r="C333" s="439">
        <v>-1650</v>
      </c>
      <c r="D333" s="439"/>
      <c r="E333" s="437" t="s">
        <v>740</v>
      </c>
      <c r="F333" s="422" t="s">
        <v>246</v>
      </c>
      <c r="H333" s="157"/>
    </row>
    <row r="334" spans="1:8" s="434" customFormat="1" x14ac:dyDescent="0.15">
      <c r="A334" s="436">
        <v>45779</v>
      </c>
      <c r="B334" s="436">
        <v>45779</v>
      </c>
      <c r="C334" s="439">
        <v>-550</v>
      </c>
      <c r="D334" s="439"/>
      <c r="E334" s="437" t="s">
        <v>741</v>
      </c>
      <c r="F334" s="422" t="s">
        <v>246</v>
      </c>
      <c r="H334" s="157"/>
    </row>
    <row r="335" spans="1:8" s="434" customFormat="1" x14ac:dyDescent="0.15">
      <c r="A335" s="436">
        <v>45779</v>
      </c>
      <c r="B335" s="436">
        <v>45779</v>
      </c>
      <c r="C335" s="439"/>
      <c r="D335" s="439">
        <v>246</v>
      </c>
      <c r="E335" s="437" t="s">
        <v>742</v>
      </c>
      <c r="F335" s="422" t="s">
        <v>243</v>
      </c>
      <c r="H335" s="157"/>
    </row>
    <row r="336" spans="1:8" s="434" customFormat="1" x14ac:dyDescent="0.15">
      <c r="A336" s="436">
        <v>45782</v>
      </c>
      <c r="B336" s="436">
        <v>45782</v>
      </c>
      <c r="C336" s="439">
        <v>-196.5</v>
      </c>
      <c r="D336" s="439"/>
      <c r="E336" s="437" t="s">
        <v>743</v>
      </c>
      <c r="F336" s="422" t="s">
        <v>257</v>
      </c>
      <c r="H336" s="157"/>
    </row>
    <row r="337" spans="1:8" s="434" customFormat="1" x14ac:dyDescent="0.15">
      <c r="A337" s="436">
        <v>45782</v>
      </c>
      <c r="B337" s="436">
        <v>45782</v>
      </c>
      <c r="C337" s="439">
        <v>-71.28</v>
      </c>
      <c r="D337" s="439"/>
      <c r="E337" s="437" t="s">
        <v>744</v>
      </c>
      <c r="F337" s="422" t="s">
        <v>251</v>
      </c>
      <c r="H337" s="157"/>
    </row>
    <row r="338" spans="1:8" s="434" customFormat="1" x14ac:dyDescent="0.15">
      <c r="A338" s="436">
        <v>45782</v>
      </c>
      <c r="B338" s="436">
        <v>45782</v>
      </c>
      <c r="C338" s="439">
        <v>-746</v>
      </c>
      <c r="D338" s="439"/>
      <c r="E338" s="437" t="s">
        <v>745</v>
      </c>
      <c r="F338" s="422" t="s">
        <v>248</v>
      </c>
      <c r="H338" s="157"/>
    </row>
    <row r="339" spans="1:8" s="434" customFormat="1" x14ac:dyDescent="0.15">
      <c r="A339" s="436">
        <v>45782</v>
      </c>
      <c r="B339" s="436">
        <v>45782</v>
      </c>
      <c r="C339" s="439">
        <v>-60</v>
      </c>
      <c r="D339" s="439"/>
      <c r="E339" s="437" t="s">
        <v>746</v>
      </c>
      <c r="F339" s="422" t="s">
        <v>412</v>
      </c>
      <c r="H339" s="157"/>
    </row>
    <row r="340" spans="1:8" s="434" customFormat="1" x14ac:dyDescent="0.15">
      <c r="A340" s="436">
        <v>45785</v>
      </c>
      <c r="B340" s="436">
        <v>45785</v>
      </c>
      <c r="C340" s="439">
        <v>-3.5</v>
      </c>
      <c r="D340" s="439"/>
      <c r="E340" s="437" t="s">
        <v>747</v>
      </c>
      <c r="F340" s="422" t="s">
        <v>265</v>
      </c>
      <c r="H340" s="157"/>
    </row>
    <row r="341" spans="1:8" s="434" customFormat="1" x14ac:dyDescent="0.15">
      <c r="A341" s="436">
        <v>45788</v>
      </c>
      <c r="B341" s="436">
        <v>45788</v>
      </c>
      <c r="C341" s="439"/>
      <c r="D341" s="439">
        <v>525</v>
      </c>
      <c r="E341" s="437" t="s">
        <v>748</v>
      </c>
      <c r="F341" s="422" t="s">
        <v>243</v>
      </c>
      <c r="H341" s="157"/>
    </row>
    <row r="342" spans="1:8" s="434" customFormat="1" x14ac:dyDescent="0.15">
      <c r="A342" s="436">
        <v>45789</v>
      </c>
      <c r="B342" s="436">
        <v>45778</v>
      </c>
      <c r="C342" s="439">
        <v>-46.01</v>
      </c>
      <c r="D342" s="439"/>
      <c r="E342" s="437" t="s">
        <v>749</v>
      </c>
      <c r="F342" s="422" t="s">
        <v>264</v>
      </c>
      <c r="H342" s="157"/>
    </row>
    <row r="343" spans="1:8" s="434" customFormat="1" x14ac:dyDescent="0.15">
      <c r="A343" s="436">
        <v>45789</v>
      </c>
      <c r="B343" s="436">
        <v>45789</v>
      </c>
      <c r="C343" s="439">
        <v>-24.27</v>
      </c>
      <c r="D343" s="439"/>
      <c r="E343" s="437" t="s">
        <v>750</v>
      </c>
      <c r="F343" s="422" t="s">
        <v>259</v>
      </c>
      <c r="H343" s="157"/>
    </row>
    <row r="344" spans="1:8" s="434" customFormat="1" x14ac:dyDescent="0.15">
      <c r="A344" s="436">
        <v>45789</v>
      </c>
      <c r="B344" s="436">
        <v>45789</v>
      </c>
      <c r="C344" s="439">
        <v>-787.38</v>
      </c>
      <c r="D344" s="439"/>
      <c r="E344" s="437" t="s">
        <v>751</v>
      </c>
      <c r="F344" s="422" t="s">
        <v>255</v>
      </c>
      <c r="H344" s="157"/>
    </row>
    <row r="345" spans="1:8" s="434" customFormat="1" x14ac:dyDescent="0.15">
      <c r="A345" s="436">
        <v>45790</v>
      </c>
      <c r="B345" s="436">
        <v>45790</v>
      </c>
      <c r="C345" s="439">
        <v>-1065</v>
      </c>
      <c r="D345" s="439"/>
      <c r="E345" s="437" t="s">
        <v>752</v>
      </c>
      <c r="F345" s="422" t="s">
        <v>242</v>
      </c>
      <c r="H345" s="157"/>
    </row>
    <row r="346" spans="1:8" s="434" customFormat="1" x14ac:dyDescent="0.15">
      <c r="A346" s="436">
        <v>45790</v>
      </c>
      <c r="B346" s="436">
        <v>45790</v>
      </c>
      <c r="C346" s="439">
        <v>-30</v>
      </c>
      <c r="D346" s="439"/>
      <c r="E346" s="437" t="s">
        <v>753</v>
      </c>
      <c r="F346" s="422" t="s">
        <v>496</v>
      </c>
      <c r="H346" s="157"/>
    </row>
    <row r="347" spans="1:8" s="434" customFormat="1" x14ac:dyDescent="0.15">
      <c r="A347" s="436">
        <v>45791</v>
      </c>
      <c r="B347" s="436">
        <v>45791</v>
      </c>
      <c r="C347" s="439">
        <v>-6.2</v>
      </c>
      <c r="D347" s="439"/>
      <c r="E347" s="437" t="s">
        <v>754</v>
      </c>
      <c r="F347" s="422" t="s">
        <v>265</v>
      </c>
      <c r="H347" s="157"/>
    </row>
    <row r="348" spans="1:8" s="434" customFormat="1" x14ac:dyDescent="0.15">
      <c r="A348" s="436">
        <v>45792</v>
      </c>
      <c r="B348" s="436">
        <v>45792</v>
      </c>
      <c r="C348" s="439">
        <v>-21</v>
      </c>
      <c r="D348" s="439"/>
      <c r="E348" s="437" t="s">
        <v>755</v>
      </c>
      <c r="F348" s="422" t="s">
        <v>265</v>
      </c>
      <c r="H348" s="157"/>
    </row>
    <row r="349" spans="1:8" s="434" customFormat="1" x14ac:dyDescent="0.15">
      <c r="A349" s="436">
        <v>45793</v>
      </c>
      <c r="B349" s="436">
        <v>45793</v>
      </c>
      <c r="C349" s="439">
        <v>-500</v>
      </c>
      <c r="D349" s="439"/>
      <c r="E349" s="437" t="s">
        <v>756</v>
      </c>
      <c r="F349" s="422" t="s">
        <v>274</v>
      </c>
      <c r="H349" s="157"/>
    </row>
    <row r="350" spans="1:8" s="434" customFormat="1" x14ac:dyDescent="0.15">
      <c r="A350" s="436">
        <v>45797</v>
      </c>
      <c r="B350" s="436">
        <v>45796</v>
      </c>
      <c r="C350" s="439">
        <v>-13.63</v>
      </c>
      <c r="D350" s="439"/>
      <c r="E350" s="437" t="s">
        <v>757</v>
      </c>
      <c r="F350" s="422" t="s">
        <v>404</v>
      </c>
      <c r="H350" s="157"/>
    </row>
    <row r="351" spans="1:8" s="434" customFormat="1" x14ac:dyDescent="0.15">
      <c r="A351" s="436">
        <v>45798</v>
      </c>
      <c r="B351" s="436">
        <v>45798</v>
      </c>
      <c r="C351" s="439">
        <v>-542</v>
      </c>
      <c r="D351" s="439"/>
      <c r="E351" s="437" t="s">
        <v>758</v>
      </c>
      <c r="F351" s="422" t="s">
        <v>1</v>
      </c>
      <c r="H351" s="157"/>
    </row>
    <row r="352" spans="1:8" s="434" customFormat="1" x14ac:dyDescent="0.15">
      <c r="A352" s="436">
        <v>45798</v>
      </c>
      <c r="B352" s="436">
        <v>45798</v>
      </c>
      <c r="C352" s="439"/>
      <c r="D352" s="439">
        <v>10</v>
      </c>
      <c r="E352" s="437" t="s">
        <v>759</v>
      </c>
      <c r="F352" s="422" t="s">
        <v>243</v>
      </c>
      <c r="H352" s="157"/>
    </row>
    <row r="353" spans="1:8" s="434" customFormat="1" x14ac:dyDescent="0.15">
      <c r="A353" s="436">
        <v>45799</v>
      </c>
      <c r="B353" s="436">
        <v>45799</v>
      </c>
      <c r="C353" s="439">
        <v>-25.2</v>
      </c>
      <c r="D353" s="439"/>
      <c r="E353" s="437" t="s">
        <v>760</v>
      </c>
      <c r="F353" s="422" t="s">
        <v>403</v>
      </c>
      <c r="H353" s="157"/>
    </row>
    <row r="354" spans="1:8" s="434" customFormat="1" x14ac:dyDescent="0.15">
      <c r="A354" s="436">
        <v>45800</v>
      </c>
      <c r="B354" s="436">
        <v>45800</v>
      </c>
      <c r="C354" s="439"/>
      <c r="D354" s="439">
        <v>560</v>
      </c>
      <c r="E354" s="437" t="s">
        <v>506</v>
      </c>
      <c r="F354" s="422" t="s">
        <v>243</v>
      </c>
      <c r="H354" s="157"/>
    </row>
    <row r="355" spans="1:8" s="434" customFormat="1" x14ac:dyDescent="0.15">
      <c r="A355" s="436">
        <v>45803</v>
      </c>
      <c r="B355" s="436">
        <v>45803</v>
      </c>
      <c r="C355" s="439">
        <v>-152.37</v>
      </c>
      <c r="D355" s="439"/>
      <c r="E355" s="437" t="s">
        <v>761</v>
      </c>
      <c r="F355" s="422" t="s">
        <v>253</v>
      </c>
      <c r="H355" s="157"/>
    </row>
    <row r="356" spans="1:8" s="434" customFormat="1" x14ac:dyDescent="0.15">
      <c r="A356" s="436">
        <v>45803</v>
      </c>
      <c r="B356" s="436">
        <v>45803</v>
      </c>
      <c r="C356" s="439"/>
      <c r="D356" s="439">
        <v>8820</v>
      </c>
      <c r="E356" s="437" t="s">
        <v>762</v>
      </c>
      <c r="F356" s="422" t="s">
        <v>243</v>
      </c>
      <c r="H356" s="157"/>
    </row>
    <row r="357" spans="1:8" s="434" customFormat="1" x14ac:dyDescent="0.15">
      <c r="A357" s="436">
        <v>45803</v>
      </c>
      <c r="B357" s="436">
        <v>45803</v>
      </c>
      <c r="C357" s="439">
        <v>-66.3</v>
      </c>
      <c r="D357" s="439"/>
      <c r="E357" s="437" t="s">
        <v>763</v>
      </c>
      <c r="F357" s="422" t="s">
        <v>412</v>
      </c>
      <c r="H357" s="157"/>
    </row>
    <row r="358" spans="1:8" s="434" customFormat="1" x14ac:dyDescent="0.15">
      <c r="A358" s="436">
        <v>45804</v>
      </c>
      <c r="B358" s="436">
        <v>45804</v>
      </c>
      <c r="C358" s="439"/>
      <c r="D358" s="439">
        <v>1663.2</v>
      </c>
      <c r="E358" s="437" t="s">
        <v>764</v>
      </c>
      <c r="F358" s="422" t="s">
        <v>243</v>
      </c>
      <c r="H358" s="157"/>
    </row>
    <row r="359" spans="1:8" s="434" customFormat="1" x14ac:dyDescent="0.15">
      <c r="A359" s="436">
        <v>45805</v>
      </c>
      <c r="B359" s="436">
        <v>45805</v>
      </c>
      <c r="C359" s="439"/>
      <c r="D359" s="439">
        <v>1000</v>
      </c>
      <c r="E359" s="437" t="s">
        <v>765</v>
      </c>
      <c r="F359" s="422" t="s">
        <v>243</v>
      </c>
      <c r="H359" s="157"/>
    </row>
    <row r="360" spans="1:8" s="434" customFormat="1" x14ac:dyDescent="0.15">
      <c r="A360" s="436">
        <v>45805</v>
      </c>
      <c r="B360" s="436">
        <v>45805</v>
      </c>
      <c r="C360" s="439">
        <v>-750</v>
      </c>
      <c r="D360" s="439"/>
      <c r="E360" s="437" t="s">
        <v>766</v>
      </c>
      <c r="F360" s="472" t="s">
        <v>274</v>
      </c>
      <c r="H360" s="157"/>
    </row>
    <row r="361" spans="1:8" s="434" customFormat="1" x14ac:dyDescent="0.15">
      <c r="A361" s="436">
        <v>45805</v>
      </c>
      <c r="B361" s="436">
        <v>45805</v>
      </c>
      <c r="C361" s="439">
        <v>-16.5</v>
      </c>
      <c r="D361" s="439"/>
      <c r="E361" s="437" t="s">
        <v>767</v>
      </c>
      <c r="F361" s="422" t="s">
        <v>265</v>
      </c>
      <c r="H361" s="157"/>
    </row>
    <row r="362" spans="1:8" s="434" customFormat="1" x14ac:dyDescent="0.15">
      <c r="A362" s="436">
        <v>45805</v>
      </c>
      <c r="B362" s="436">
        <v>45804</v>
      </c>
      <c r="C362" s="439">
        <v>-13.63</v>
      </c>
      <c r="D362" s="439"/>
      <c r="E362" s="437" t="s">
        <v>768</v>
      </c>
      <c r="F362" s="422" t="s">
        <v>404</v>
      </c>
      <c r="H362" s="157"/>
    </row>
    <row r="363" spans="1:8" s="434" customFormat="1" x14ac:dyDescent="0.15">
      <c r="A363" s="436">
        <v>45806</v>
      </c>
      <c r="B363" s="436">
        <v>45806</v>
      </c>
      <c r="C363" s="439"/>
      <c r="D363" s="439">
        <v>990</v>
      </c>
      <c r="E363" s="437" t="s">
        <v>769</v>
      </c>
      <c r="F363" s="422" t="s">
        <v>243</v>
      </c>
      <c r="H363" s="157"/>
    </row>
    <row r="364" spans="1:8" s="434" customFormat="1" x14ac:dyDescent="0.15">
      <c r="A364" s="436">
        <v>45806</v>
      </c>
      <c r="B364" s="436">
        <v>45806</v>
      </c>
      <c r="C364" s="439">
        <v>-22</v>
      </c>
      <c r="D364" s="439"/>
      <c r="E364" s="437" t="s">
        <v>770</v>
      </c>
      <c r="F364" s="422" t="s">
        <v>265</v>
      </c>
      <c r="H364" s="157"/>
    </row>
    <row r="365" spans="1:8" s="434" customFormat="1" x14ac:dyDescent="0.15">
      <c r="A365" s="436">
        <v>45807</v>
      </c>
      <c r="B365" s="436">
        <v>45807</v>
      </c>
      <c r="C365" s="439">
        <v>-12.9</v>
      </c>
      <c r="D365" s="439"/>
      <c r="E365" s="437" t="s">
        <v>771</v>
      </c>
      <c r="F365" s="422" t="s">
        <v>403</v>
      </c>
      <c r="H365" s="157"/>
    </row>
    <row r="366" spans="1:8" s="434" customFormat="1" x14ac:dyDescent="0.15">
      <c r="A366" s="534" t="s">
        <v>282</v>
      </c>
      <c r="B366" s="534"/>
      <c r="C366" s="423">
        <f>SUM(C333:C365)</f>
        <v>-7371.67</v>
      </c>
      <c r="D366" s="423">
        <f>SUM(D333:D365)</f>
        <v>13814.2</v>
      </c>
      <c r="E366" s="444"/>
      <c r="F366" s="188"/>
      <c r="H366" s="157"/>
    </row>
    <row r="367" spans="1:8" s="434" customFormat="1" ht="16" x14ac:dyDescent="0.2">
      <c r="A367" s="453">
        <v>45810</v>
      </c>
      <c r="B367" s="453">
        <v>45810</v>
      </c>
      <c r="C367" s="439">
        <v>-1650</v>
      </c>
      <c r="D367" s="439"/>
      <c r="E367" s="247" t="s">
        <v>789</v>
      </c>
      <c r="F367" s="454" t="s">
        <v>246</v>
      </c>
      <c r="H367" s="157"/>
    </row>
    <row r="368" spans="1:8" s="434" customFormat="1" ht="16" x14ac:dyDescent="0.2">
      <c r="A368" s="453">
        <v>45810</v>
      </c>
      <c r="B368" s="453">
        <v>45810</v>
      </c>
      <c r="C368" s="439">
        <v>-550</v>
      </c>
      <c r="D368" s="439"/>
      <c r="E368" s="247" t="s">
        <v>790</v>
      </c>
      <c r="F368" s="454" t="s">
        <v>246</v>
      </c>
      <c r="H368" s="157"/>
    </row>
    <row r="369" spans="1:8" s="434" customFormat="1" ht="16" x14ac:dyDescent="0.2">
      <c r="A369" s="453">
        <v>45810</v>
      </c>
      <c r="B369" s="453">
        <v>45810</v>
      </c>
      <c r="C369" s="439"/>
      <c r="D369" s="439">
        <v>800</v>
      </c>
      <c r="E369" s="247" t="s">
        <v>791</v>
      </c>
      <c r="F369" s="454" t="s">
        <v>243</v>
      </c>
      <c r="H369" s="157"/>
    </row>
    <row r="370" spans="1:8" s="434" customFormat="1" ht="16" x14ac:dyDescent="0.2">
      <c r="A370" s="453">
        <v>45810</v>
      </c>
      <c r="B370" s="453">
        <v>45810</v>
      </c>
      <c r="C370" s="439">
        <v>-23.94</v>
      </c>
      <c r="D370" s="439"/>
      <c r="E370" s="247" t="s">
        <v>792</v>
      </c>
      <c r="F370" s="454" t="s">
        <v>405</v>
      </c>
      <c r="H370" s="157"/>
    </row>
    <row r="371" spans="1:8" s="434" customFormat="1" ht="16" x14ac:dyDescent="0.2">
      <c r="A371" s="453">
        <v>45810</v>
      </c>
      <c r="B371" s="453">
        <v>45810</v>
      </c>
      <c r="C371" s="439">
        <v>-60</v>
      </c>
      <c r="D371" s="439"/>
      <c r="E371" s="247" t="s">
        <v>793</v>
      </c>
      <c r="F371" s="454" t="s">
        <v>412</v>
      </c>
      <c r="H371" s="157"/>
    </row>
    <row r="372" spans="1:8" s="434" customFormat="1" ht="16" x14ac:dyDescent="0.2">
      <c r="A372" s="453">
        <v>45811</v>
      </c>
      <c r="B372" s="453">
        <v>45811</v>
      </c>
      <c r="C372" s="439">
        <v>-196.5</v>
      </c>
      <c r="D372" s="439"/>
      <c r="E372" s="247" t="s">
        <v>794</v>
      </c>
      <c r="F372" s="454" t="s">
        <v>257</v>
      </c>
      <c r="H372" s="157"/>
    </row>
    <row r="373" spans="1:8" s="434" customFormat="1" ht="16" x14ac:dyDescent="0.2">
      <c r="A373" s="453">
        <v>45811</v>
      </c>
      <c r="B373" s="453">
        <v>45811</v>
      </c>
      <c r="C373" s="439"/>
      <c r="D373" s="439">
        <v>1000</v>
      </c>
      <c r="E373" s="247" t="s">
        <v>795</v>
      </c>
      <c r="F373" s="454" t="s">
        <v>243</v>
      </c>
      <c r="H373" s="157"/>
    </row>
    <row r="374" spans="1:8" s="434" customFormat="1" ht="16" x14ac:dyDescent="0.2">
      <c r="A374" s="453">
        <v>45813</v>
      </c>
      <c r="B374" s="453">
        <v>45813</v>
      </c>
      <c r="C374" s="439">
        <v>-749</v>
      </c>
      <c r="D374" s="439"/>
      <c r="E374" s="247" t="s">
        <v>796</v>
      </c>
      <c r="F374" s="454" t="s">
        <v>248</v>
      </c>
      <c r="H374" s="157"/>
    </row>
    <row r="375" spans="1:8" s="434" customFormat="1" ht="16" x14ac:dyDescent="0.2">
      <c r="A375" s="453">
        <v>45813</v>
      </c>
      <c r="B375" s="453">
        <v>45813</v>
      </c>
      <c r="C375" s="439">
        <v>-71.28</v>
      </c>
      <c r="D375" s="439"/>
      <c r="E375" s="247" t="s">
        <v>797</v>
      </c>
      <c r="F375" s="454" t="s">
        <v>251</v>
      </c>
      <c r="H375" s="157"/>
    </row>
    <row r="376" spans="1:8" s="434" customFormat="1" ht="16" x14ac:dyDescent="0.2">
      <c r="A376" s="453">
        <v>45813</v>
      </c>
      <c r="B376" s="453">
        <v>45813</v>
      </c>
      <c r="C376" s="439"/>
      <c r="D376" s="439">
        <v>800</v>
      </c>
      <c r="E376" s="247" t="s">
        <v>798</v>
      </c>
      <c r="F376" s="454" t="s">
        <v>243</v>
      </c>
      <c r="H376" s="157"/>
    </row>
    <row r="377" spans="1:8" s="434" customFormat="1" ht="16" x14ac:dyDescent="0.2">
      <c r="A377" s="453">
        <v>45813</v>
      </c>
      <c r="B377" s="453">
        <v>45813</v>
      </c>
      <c r="C377" s="439">
        <v>-30</v>
      </c>
      <c r="D377" s="439"/>
      <c r="E377" s="247" t="s">
        <v>799</v>
      </c>
      <c r="F377" s="454" t="s">
        <v>265</v>
      </c>
      <c r="H377" s="157"/>
    </row>
    <row r="378" spans="1:8" s="434" customFormat="1" ht="16" x14ac:dyDescent="0.2">
      <c r="A378" s="453">
        <v>45814</v>
      </c>
      <c r="B378" s="453">
        <v>45814</v>
      </c>
      <c r="C378" s="439">
        <v>-550</v>
      </c>
      <c r="D378" s="439"/>
      <c r="E378" s="247" t="s">
        <v>800</v>
      </c>
      <c r="F378" s="454" t="s">
        <v>274</v>
      </c>
      <c r="H378" s="157"/>
    </row>
    <row r="379" spans="1:8" s="434" customFormat="1" ht="16" x14ac:dyDescent="0.2">
      <c r="A379" s="453">
        <v>45814</v>
      </c>
      <c r="B379" s="453">
        <v>45814</v>
      </c>
      <c r="C379" s="439">
        <v>-1065</v>
      </c>
      <c r="D379" s="439"/>
      <c r="E379" s="247" t="s">
        <v>801</v>
      </c>
      <c r="F379" s="454" t="s">
        <v>242</v>
      </c>
      <c r="H379" s="157"/>
    </row>
    <row r="380" spans="1:8" s="434" customFormat="1" ht="16" x14ac:dyDescent="0.2">
      <c r="A380" s="453">
        <v>45814</v>
      </c>
      <c r="B380" s="453">
        <v>45814</v>
      </c>
      <c r="C380" s="439">
        <v>-35.799999999999997</v>
      </c>
      <c r="D380" s="439"/>
      <c r="E380" s="247" t="s">
        <v>802</v>
      </c>
      <c r="F380" s="454" t="s">
        <v>265</v>
      </c>
      <c r="H380" s="157"/>
    </row>
    <row r="381" spans="1:8" s="434" customFormat="1" ht="16" x14ac:dyDescent="0.2">
      <c r="A381" s="453">
        <v>45818</v>
      </c>
      <c r="B381" s="453">
        <v>45809</v>
      </c>
      <c r="C381" s="439">
        <v>-145.16999999999999</v>
      </c>
      <c r="D381" s="439"/>
      <c r="E381" s="247" t="s">
        <v>803</v>
      </c>
      <c r="F381" s="454" t="s">
        <v>264</v>
      </c>
      <c r="H381" s="157"/>
    </row>
    <row r="382" spans="1:8" s="434" customFormat="1" ht="16" x14ac:dyDescent="0.2">
      <c r="A382" s="453">
        <v>45818</v>
      </c>
      <c r="B382" s="453">
        <v>45818</v>
      </c>
      <c r="C382" s="439">
        <v>-24.27</v>
      </c>
      <c r="D382" s="439"/>
      <c r="E382" s="247" t="s">
        <v>804</v>
      </c>
      <c r="F382" s="454" t="s">
        <v>259</v>
      </c>
      <c r="H382" s="157"/>
    </row>
    <row r="383" spans="1:8" s="434" customFormat="1" ht="16" x14ac:dyDescent="0.2">
      <c r="A383" s="453">
        <v>45818</v>
      </c>
      <c r="B383" s="453">
        <v>45818</v>
      </c>
      <c r="C383" s="439">
        <v>-787.38</v>
      </c>
      <c r="D383" s="439"/>
      <c r="E383" s="247" t="s">
        <v>805</v>
      </c>
      <c r="F383" s="454" t="s">
        <v>255</v>
      </c>
      <c r="H383" s="157"/>
    </row>
    <row r="384" spans="1:8" s="434" customFormat="1" ht="16" x14ac:dyDescent="0.2">
      <c r="A384" s="453">
        <v>45819</v>
      </c>
      <c r="B384" s="453">
        <v>45819</v>
      </c>
      <c r="C384" s="439"/>
      <c r="D384" s="439">
        <v>1680</v>
      </c>
      <c r="E384" s="247" t="s">
        <v>806</v>
      </c>
      <c r="F384" s="458" t="s">
        <v>243</v>
      </c>
      <c r="H384" s="157"/>
    </row>
    <row r="385" spans="1:8" s="434" customFormat="1" ht="16" x14ac:dyDescent="0.2">
      <c r="A385" s="453">
        <v>45821</v>
      </c>
      <c r="B385" s="453">
        <v>45821</v>
      </c>
      <c r="C385" s="439">
        <v>-1000</v>
      </c>
      <c r="D385" s="439"/>
      <c r="E385" s="247" t="s">
        <v>807</v>
      </c>
      <c r="F385" s="454" t="s">
        <v>274</v>
      </c>
      <c r="H385" s="157"/>
    </row>
    <row r="386" spans="1:8" s="434" customFormat="1" ht="16" x14ac:dyDescent="0.2">
      <c r="A386" s="453">
        <v>45824</v>
      </c>
      <c r="B386" s="453">
        <v>45824</v>
      </c>
      <c r="C386" s="439"/>
      <c r="D386" s="439">
        <v>400</v>
      </c>
      <c r="E386" s="247" t="s">
        <v>808</v>
      </c>
      <c r="F386" s="454" t="s">
        <v>243</v>
      </c>
      <c r="H386" s="157"/>
    </row>
    <row r="387" spans="1:8" s="434" customFormat="1" ht="16" x14ac:dyDescent="0.2">
      <c r="A387" s="453">
        <v>45828</v>
      </c>
      <c r="B387" s="453">
        <v>45828</v>
      </c>
      <c r="C387" s="439"/>
      <c r="D387" s="439">
        <v>800</v>
      </c>
      <c r="E387" s="247" t="s">
        <v>606</v>
      </c>
      <c r="F387" s="454" t="s">
        <v>243</v>
      </c>
      <c r="H387" s="157"/>
    </row>
    <row r="388" spans="1:8" s="434" customFormat="1" ht="16" x14ac:dyDescent="0.2">
      <c r="A388" s="453">
        <v>45831</v>
      </c>
      <c r="B388" s="453">
        <v>45831</v>
      </c>
      <c r="C388" s="439"/>
      <c r="D388" s="439">
        <v>3000</v>
      </c>
      <c r="E388" s="247" t="s">
        <v>809</v>
      </c>
      <c r="F388" s="454" t="s">
        <v>243</v>
      </c>
      <c r="H388" s="157"/>
    </row>
    <row r="389" spans="1:8" s="434" customFormat="1" ht="16" x14ac:dyDescent="0.2">
      <c r="A389" s="453">
        <v>45831</v>
      </c>
      <c r="B389" s="453">
        <v>45831</v>
      </c>
      <c r="C389" s="439"/>
      <c r="D389" s="439">
        <v>1241.5999999999999</v>
      </c>
      <c r="E389" s="247" t="s">
        <v>809</v>
      </c>
      <c r="F389" s="454" t="s">
        <v>243</v>
      </c>
      <c r="H389" s="157"/>
    </row>
    <row r="390" spans="1:8" s="434" customFormat="1" ht="16" x14ac:dyDescent="0.2">
      <c r="A390" s="453">
        <v>45831</v>
      </c>
      <c r="B390" s="453">
        <v>45831</v>
      </c>
      <c r="C390" s="439">
        <v>-1.2</v>
      </c>
      <c r="D390" s="439"/>
      <c r="E390" s="247" t="s">
        <v>810</v>
      </c>
      <c r="F390" s="454" t="s">
        <v>273</v>
      </c>
      <c r="H390" s="157"/>
    </row>
    <row r="391" spans="1:8" s="434" customFormat="1" ht="16" x14ac:dyDescent="0.2">
      <c r="A391" s="453">
        <v>45832</v>
      </c>
      <c r="B391" s="453">
        <v>45832</v>
      </c>
      <c r="C391" s="439">
        <v>-25</v>
      </c>
      <c r="D391" s="439"/>
      <c r="E391" s="247" t="s">
        <v>811</v>
      </c>
      <c r="F391" s="454" t="s">
        <v>265</v>
      </c>
      <c r="H391" s="157"/>
    </row>
    <row r="392" spans="1:8" s="434" customFormat="1" ht="16" x14ac:dyDescent="0.2">
      <c r="A392" s="453">
        <v>45833</v>
      </c>
      <c r="B392" s="453">
        <v>45833</v>
      </c>
      <c r="C392" s="439">
        <v>-152.37</v>
      </c>
      <c r="D392" s="439"/>
      <c r="E392" s="247" t="s">
        <v>812</v>
      </c>
      <c r="F392" s="454" t="s">
        <v>253</v>
      </c>
      <c r="H392" s="157"/>
    </row>
    <row r="393" spans="1:8" s="434" customFormat="1" ht="16" x14ac:dyDescent="0.2">
      <c r="A393" s="453">
        <v>45833</v>
      </c>
      <c r="B393" s="453">
        <v>45833</v>
      </c>
      <c r="C393" s="439">
        <v>-2142</v>
      </c>
      <c r="D393" s="439"/>
      <c r="E393" s="247" t="s">
        <v>813</v>
      </c>
      <c r="F393" s="454" t="s">
        <v>1</v>
      </c>
      <c r="H393" s="157"/>
    </row>
    <row r="394" spans="1:8" s="434" customFormat="1" ht="16" x14ac:dyDescent="0.2">
      <c r="A394" s="453">
        <v>45833</v>
      </c>
      <c r="B394" s="453">
        <v>45833</v>
      </c>
      <c r="C394" s="439">
        <v>-164</v>
      </c>
      <c r="D394" s="439"/>
      <c r="E394" s="247" t="s">
        <v>814</v>
      </c>
      <c r="F394" s="454" t="s">
        <v>403</v>
      </c>
      <c r="H394" s="157"/>
    </row>
    <row r="395" spans="1:8" s="434" customFormat="1" ht="16" x14ac:dyDescent="0.2">
      <c r="A395" s="453">
        <v>45834</v>
      </c>
      <c r="B395" s="453">
        <v>45834</v>
      </c>
      <c r="C395" s="439">
        <v>-29</v>
      </c>
      <c r="D395" s="439"/>
      <c r="E395" s="247" t="s">
        <v>815</v>
      </c>
      <c r="F395" s="454" t="s">
        <v>265</v>
      </c>
      <c r="H395" s="157"/>
    </row>
    <row r="396" spans="1:8" s="434" customFormat="1" ht="16" x14ac:dyDescent="0.2">
      <c r="A396" s="453">
        <v>45834</v>
      </c>
      <c r="B396" s="453">
        <v>45834</v>
      </c>
      <c r="C396" s="439"/>
      <c r="D396" s="439">
        <v>800</v>
      </c>
      <c r="E396" s="247" t="s">
        <v>355</v>
      </c>
      <c r="F396" s="454" t="s">
        <v>243</v>
      </c>
      <c r="H396" s="157"/>
    </row>
    <row r="397" spans="1:8" s="434" customFormat="1" ht="16" x14ac:dyDescent="0.2">
      <c r="A397" s="453">
        <v>45835</v>
      </c>
      <c r="B397" s="453">
        <v>45835</v>
      </c>
      <c r="C397" s="439"/>
      <c r="D397" s="439">
        <v>800</v>
      </c>
      <c r="E397" s="247" t="s">
        <v>816</v>
      </c>
      <c r="F397" s="454" t="s">
        <v>243</v>
      </c>
      <c r="H397" s="157"/>
    </row>
    <row r="398" spans="1:8" s="434" customFormat="1" ht="16" x14ac:dyDescent="0.2">
      <c r="A398" s="453">
        <v>45836</v>
      </c>
      <c r="B398" s="453">
        <v>45836</v>
      </c>
      <c r="C398" s="439"/>
      <c r="D398" s="439">
        <v>1080</v>
      </c>
      <c r="E398" s="247" t="s">
        <v>817</v>
      </c>
      <c r="F398" s="454" t="s">
        <v>243</v>
      </c>
      <c r="H398" s="157"/>
    </row>
    <row r="399" spans="1:8" s="434" customFormat="1" ht="16" x14ac:dyDescent="0.2">
      <c r="A399" s="453">
        <v>45838</v>
      </c>
      <c r="B399" s="453">
        <v>45835</v>
      </c>
      <c r="C399" s="439">
        <v>-150</v>
      </c>
      <c r="D399" s="439"/>
      <c r="E399" s="247" t="s">
        <v>818</v>
      </c>
      <c r="F399" s="454" t="s">
        <v>496</v>
      </c>
      <c r="H399" s="157"/>
    </row>
    <row r="400" spans="1:8" s="434" customFormat="1" ht="16" x14ac:dyDescent="0.2">
      <c r="A400" s="453">
        <v>45838</v>
      </c>
      <c r="B400" s="453">
        <v>45838</v>
      </c>
      <c r="C400" s="439">
        <v>-25.5</v>
      </c>
      <c r="D400" s="439"/>
      <c r="E400" s="247" t="s">
        <v>819</v>
      </c>
      <c r="F400" s="454" t="s">
        <v>265</v>
      </c>
      <c r="H400" s="157"/>
    </row>
    <row r="401" spans="1:8" s="434" customFormat="1" x14ac:dyDescent="0.15">
      <c r="A401" s="534" t="s">
        <v>282</v>
      </c>
      <c r="B401" s="534"/>
      <c r="C401" s="423">
        <f>SUM(C367:C400)</f>
        <v>-9627.41</v>
      </c>
      <c r="D401" s="423">
        <f>SUM(D367:D400)</f>
        <v>12401.6</v>
      </c>
      <c r="E401" s="444"/>
      <c r="F401" s="188"/>
      <c r="H401" s="157"/>
    </row>
    <row r="402" spans="1:8" s="434" customFormat="1" x14ac:dyDescent="0.15">
      <c r="F402" s="447"/>
      <c r="H402" s="157"/>
    </row>
    <row r="403" spans="1:8" s="434" customFormat="1" x14ac:dyDescent="0.15">
      <c r="F403" s="447"/>
      <c r="H403" s="157"/>
    </row>
    <row r="404" spans="1:8" s="434" customFormat="1" x14ac:dyDescent="0.15">
      <c r="C404" s="461"/>
      <c r="D404" s="461"/>
      <c r="F404" s="447"/>
      <c r="H404" s="157"/>
    </row>
    <row r="405" spans="1:8" s="434" customFormat="1" x14ac:dyDescent="0.15">
      <c r="F405" s="447"/>
      <c r="H405" s="157"/>
    </row>
    <row r="406" spans="1:8" s="434" customFormat="1" x14ac:dyDescent="0.15">
      <c r="F406" s="447"/>
      <c r="H406" s="157"/>
    </row>
    <row r="407" spans="1:8" s="434" customFormat="1" x14ac:dyDescent="0.15">
      <c r="D407" s="461"/>
      <c r="F407" s="447"/>
      <c r="H407" s="157"/>
    </row>
    <row r="408" spans="1:8" s="434" customFormat="1" x14ac:dyDescent="0.15">
      <c r="F408" s="447"/>
      <c r="H408" s="157"/>
    </row>
    <row r="409" spans="1:8" s="434" customFormat="1" x14ac:dyDescent="0.15">
      <c r="F409" s="447"/>
      <c r="H409" s="157"/>
    </row>
    <row r="410" spans="1:8" s="434" customFormat="1" x14ac:dyDescent="0.15">
      <c r="F410" s="447"/>
      <c r="H410" s="157"/>
    </row>
    <row r="411" spans="1:8" s="434" customFormat="1" x14ac:dyDescent="0.15">
      <c r="F411" s="447"/>
      <c r="H411" s="157"/>
    </row>
    <row r="412" spans="1:8" s="434" customFormat="1" x14ac:dyDescent="0.15">
      <c r="F412" s="447"/>
      <c r="H412" s="157"/>
    </row>
    <row r="413" spans="1:8" s="434" customFormat="1" x14ac:dyDescent="0.15">
      <c r="F413" s="447"/>
      <c r="H413" s="157"/>
    </row>
    <row r="414" spans="1:8" s="434" customFormat="1" x14ac:dyDescent="0.15">
      <c r="F414" s="447"/>
      <c r="H414" s="157"/>
    </row>
    <row r="415" spans="1:8" s="434" customFormat="1" x14ac:dyDescent="0.15">
      <c r="D415" s="462"/>
      <c r="F415" s="447"/>
      <c r="H415" s="157"/>
    </row>
    <row r="416" spans="1:8" s="434" customFormat="1" x14ac:dyDescent="0.15">
      <c r="D416" s="461"/>
      <c r="F416" s="447"/>
      <c r="H416" s="157"/>
    </row>
    <row r="417" spans="6:8" s="434" customFormat="1" x14ac:dyDescent="0.15">
      <c r="F417" s="447"/>
      <c r="H417" s="157"/>
    </row>
    <row r="418" spans="6:8" s="434" customFormat="1" x14ac:dyDescent="0.15">
      <c r="F418" s="447"/>
      <c r="H418" s="157"/>
    </row>
    <row r="419" spans="6:8" s="434" customFormat="1" x14ac:dyDescent="0.15">
      <c r="F419" s="447"/>
      <c r="H419" s="157"/>
    </row>
    <row r="420" spans="6:8" s="434" customFormat="1" x14ac:dyDescent="0.15">
      <c r="F420" s="447"/>
      <c r="H420" s="157"/>
    </row>
    <row r="421" spans="6:8" s="434" customFormat="1" x14ac:dyDescent="0.15">
      <c r="F421" s="447"/>
      <c r="H421" s="157"/>
    </row>
    <row r="422" spans="6:8" s="434" customFormat="1" x14ac:dyDescent="0.15">
      <c r="F422" s="447"/>
      <c r="H422" s="157"/>
    </row>
    <row r="423" spans="6:8" s="434" customFormat="1" x14ac:dyDescent="0.15">
      <c r="F423" s="447"/>
      <c r="H423" s="157"/>
    </row>
    <row r="424" spans="6:8" s="434" customFormat="1" x14ac:dyDescent="0.15">
      <c r="F424" s="447"/>
      <c r="H424" s="157"/>
    </row>
    <row r="425" spans="6:8" s="434" customFormat="1" x14ac:dyDescent="0.15">
      <c r="F425" s="447"/>
      <c r="H425" s="157"/>
    </row>
    <row r="426" spans="6:8" s="434" customFormat="1" x14ac:dyDescent="0.15">
      <c r="F426" s="447"/>
      <c r="H426" s="157"/>
    </row>
    <row r="427" spans="6:8" s="434" customFormat="1" x14ac:dyDescent="0.15">
      <c r="F427" s="447"/>
      <c r="H427" s="157"/>
    </row>
    <row r="428" spans="6:8" s="434" customFormat="1" x14ac:dyDescent="0.15">
      <c r="F428" s="447"/>
      <c r="H428" s="157"/>
    </row>
    <row r="429" spans="6:8" s="434" customFormat="1" x14ac:dyDescent="0.15">
      <c r="F429" s="447"/>
      <c r="H429" s="157"/>
    </row>
    <row r="430" spans="6:8" s="434" customFormat="1" x14ac:dyDescent="0.15">
      <c r="F430" s="447"/>
      <c r="H430" s="157"/>
    </row>
    <row r="431" spans="6:8" s="434" customFormat="1" x14ac:dyDescent="0.15">
      <c r="F431" s="447"/>
      <c r="H431" s="157"/>
    </row>
    <row r="432" spans="6:8" s="434" customFormat="1" x14ac:dyDescent="0.15">
      <c r="F432" s="447"/>
      <c r="H432" s="157"/>
    </row>
    <row r="433" spans="6:8" s="434" customFormat="1" x14ac:dyDescent="0.15">
      <c r="F433" s="447"/>
      <c r="H433" s="157"/>
    </row>
    <row r="434" spans="6:8" s="434" customFormat="1" x14ac:dyDescent="0.15">
      <c r="F434" s="447"/>
      <c r="H434" s="157"/>
    </row>
  </sheetData>
  <autoFilter ref="A1:F401" xr:uid="{FB9994D5-ABA2-4D0C-B9C9-0BA537D70E67}"/>
  <mergeCells count="12">
    <mergeCell ref="A225:B225"/>
    <mergeCell ref="A192:B192"/>
    <mergeCell ref="A30:B30"/>
    <mergeCell ref="A53:B53"/>
    <mergeCell ref="A89:B89"/>
    <mergeCell ref="A115:B115"/>
    <mergeCell ref="A156:B156"/>
    <mergeCell ref="A366:B366"/>
    <mergeCell ref="A401:B401"/>
    <mergeCell ref="A332:B332"/>
    <mergeCell ref="A286:B286"/>
    <mergeCell ref="A258:B258"/>
  </mergeCells>
  <dataValidations disablePrompts="1" count="1">
    <dataValidation type="list" allowBlank="1" showInputMessage="1" showErrorMessage="1" sqref="F118 F2:F8 F103 F56" xr:uid="{90FCCE16-F502-4B18-98DD-E8DF7E868524}">
      <formula1>$F$2:$F$29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Z993"/>
  <sheetViews>
    <sheetView zoomScale="170" zoomScaleNormal="170" workbookViewId="0">
      <selection activeCell="C10" sqref="C10"/>
    </sheetView>
  </sheetViews>
  <sheetFormatPr baseColWidth="10" defaultColWidth="10.140625" defaultRowHeight="15" customHeight="1" x14ac:dyDescent="0.2"/>
  <cols>
    <col min="1" max="1" width="13" customWidth="1"/>
    <col min="2" max="2" width="11.7109375" customWidth="1"/>
    <col min="3" max="3" width="29.5703125" customWidth="1"/>
    <col min="4" max="4" width="14.140625" customWidth="1"/>
    <col min="5" max="5" width="11.5703125" customWidth="1"/>
    <col min="6" max="6" width="15.5703125" customWidth="1"/>
    <col min="7" max="7" width="18.7109375" customWidth="1"/>
    <col min="8" max="8" width="1.85546875" customWidth="1"/>
    <col min="9" max="9" width="11.28515625" customWidth="1"/>
    <col min="10" max="10" width="11" customWidth="1"/>
    <col min="11" max="11" width="19" customWidth="1"/>
    <col min="12" max="12" width="12" customWidth="1"/>
    <col min="13" max="13" width="10.5703125" customWidth="1"/>
    <col min="14" max="14" width="11.5703125" customWidth="1"/>
    <col min="15" max="15" width="9.85546875" customWidth="1"/>
    <col min="16" max="16" width="11.28515625" customWidth="1"/>
    <col min="17" max="17" width="9.7109375" customWidth="1"/>
    <col min="18" max="18" width="11" customWidth="1"/>
    <col min="19" max="19" width="16.7109375" customWidth="1"/>
    <col min="20" max="26" width="9.7109375" customWidth="1"/>
  </cols>
  <sheetData>
    <row r="1" spans="1:26" ht="15.75" customHeight="1" x14ac:dyDescent="0.2">
      <c r="A1" s="2"/>
      <c r="B1" s="2"/>
      <c r="C1" s="2"/>
      <c r="D1" s="8"/>
      <c r="E1" s="8"/>
      <c r="F1" s="2"/>
      <c r="G1" s="10"/>
      <c r="H1" s="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.75" customHeight="1" x14ac:dyDescent="0.2">
      <c r="A2" s="2"/>
      <c r="B2" s="535" t="s">
        <v>106</v>
      </c>
      <c r="C2" s="536"/>
      <c r="D2" s="536"/>
      <c r="E2" s="537"/>
      <c r="F2" s="11" t="s">
        <v>0</v>
      </c>
      <c r="G2" s="10"/>
      <c r="H2" s="1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.75" customHeight="1" x14ac:dyDescent="0.2">
      <c r="A3" s="2"/>
      <c r="B3" s="9"/>
      <c r="C3" s="2"/>
      <c r="D3" s="9"/>
      <c r="E3" s="16" t="s">
        <v>12</v>
      </c>
      <c r="F3" s="26"/>
      <c r="G3" s="10"/>
      <c r="H3" s="1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.75" customHeight="1" x14ac:dyDescent="0.2">
      <c r="A4" s="2"/>
      <c r="B4" s="9"/>
      <c r="C4" s="2" t="s">
        <v>143</v>
      </c>
      <c r="D4" s="250">
        <f>600+3600+600+7200+600</f>
        <v>12600</v>
      </c>
      <c r="E4" s="16">
        <v>0.2</v>
      </c>
      <c r="F4" s="6">
        <f>D4*E4</f>
        <v>2520</v>
      </c>
      <c r="G4" s="10"/>
      <c r="H4" s="1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.75" customHeight="1" x14ac:dyDescent="0.2">
      <c r="A5" s="2"/>
      <c r="B5" s="9"/>
      <c r="C5" s="2" t="s">
        <v>138</v>
      </c>
      <c r="D5" s="250">
        <f>1620+1350</f>
        <v>2970</v>
      </c>
      <c r="E5" s="16">
        <v>0.2</v>
      </c>
      <c r="F5" s="6">
        <f>D5*E5</f>
        <v>594</v>
      </c>
      <c r="H5" s="1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.75" customHeight="1" x14ac:dyDescent="0.2">
      <c r="A6" s="2"/>
      <c r="B6" s="9"/>
      <c r="C6" s="2" t="s">
        <v>586</v>
      </c>
      <c r="D6" s="250">
        <v>5500</v>
      </c>
      <c r="E6" s="16">
        <v>0.3</v>
      </c>
      <c r="F6" s="6">
        <f>D6*E6</f>
        <v>1650</v>
      </c>
      <c r="H6" s="1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.75" customHeight="1" x14ac:dyDescent="0.2">
      <c r="A7" s="2"/>
      <c r="B7" s="9"/>
      <c r="G7" s="10"/>
      <c r="H7" s="1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.75" customHeight="1" x14ac:dyDescent="0.2">
      <c r="A8" s="2"/>
      <c r="B8" s="9"/>
      <c r="G8" s="10"/>
      <c r="H8" s="1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.75" customHeight="1" x14ac:dyDescent="0.2">
      <c r="A9" s="2"/>
      <c r="B9" s="90"/>
      <c r="G9" s="10"/>
      <c r="H9" s="1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.75" customHeight="1" x14ac:dyDescent="0.2">
      <c r="A10" s="2"/>
      <c r="B10" s="90"/>
      <c r="G10" s="10">
        <v>875</v>
      </c>
      <c r="H10" s="1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.75" customHeight="1" thickBot="1" x14ac:dyDescent="0.25">
      <c r="A11" s="2"/>
      <c r="B11" s="6"/>
      <c r="H11" s="1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.75" customHeight="1" thickBot="1" x14ac:dyDescent="0.25">
      <c r="A12" s="2"/>
      <c r="B12" s="393">
        <v>4</v>
      </c>
      <c r="C12" s="394" t="s">
        <v>450</v>
      </c>
      <c r="D12" s="395">
        <v>1500</v>
      </c>
      <c r="E12" s="396">
        <v>0.5</v>
      </c>
      <c r="F12" s="360">
        <f>D12*E12*B12</f>
        <v>3000</v>
      </c>
      <c r="G12" s="10"/>
      <c r="H12" s="1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.75" customHeight="1" x14ac:dyDescent="0.2">
      <c r="A13" s="2"/>
      <c r="B13" s="9"/>
      <c r="C13" s="2"/>
      <c r="D13" s="15"/>
      <c r="E13" s="16"/>
      <c r="F13" s="6"/>
      <c r="G13" s="10"/>
      <c r="H13" s="1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.75" customHeight="1" x14ac:dyDescent="0.2">
      <c r="A14" s="2"/>
      <c r="C14" s="127"/>
      <c r="D14" s="127"/>
      <c r="E14" s="127"/>
      <c r="F14" s="6"/>
      <c r="G14" s="10"/>
      <c r="H14" s="1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.75" customHeight="1" x14ac:dyDescent="0.2">
      <c r="A15" s="2"/>
      <c r="F15" s="15"/>
      <c r="G15" s="10"/>
      <c r="H15" s="1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.75" customHeight="1" x14ac:dyDescent="0.2">
      <c r="A16" s="2"/>
      <c r="C16" s="27" t="s">
        <v>13</v>
      </c>
      <c r="E16" s="28" t="s">
        <v>14</v>
      </c>
      <c r="F16" s="128">
        <f>SUM(F7:F15)</f>
        <v>3000</v>
      </c>
      <c r="G16" s="10"/>
      <c r="H16" s="1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.75" customHeight="1" x14ac:dyDescent="0.2">
      <c r="A17" s="2"/>
      <c r="F17" s="26"/>
      <c r="G17" s="10"/>
      <c r="H17" s="1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.75" customHeight="1" x14ac:dyDescent="0.2">
      <c r="A18" s="2"/>
      <c r="B18" s="9"/>
      <c r="C18" s="2"/>
      <c r="D18" s="8"/>
      <c r="E18" s="2"/>
      <c r="F18" s="2"/>
      <c r="G18" s="10"/>
      <c r="H18" s="1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.75" customHeight="1" x14ac:dyDescent="0.2">
      <c r="A19" s="2"/>
      <c r="B19" s="535" t="s">
        <v>107</v>
      </c>
      <c r="C19" s="536"/>
      <c r="D19" s="536"/>
      <c r="E19" s="537"/>
      <c r="F19" s="11" t="s">
        <v>0</v>
      </c>
      <c r="G19" s="10"/>
      <c r="H19" s="1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.75" customHeight="1" x14ac:dyDescent="0.2">
      <c r="A20" s="2"/>
      <c r="B20" s="9"/>
      <c r="C20" s="2"/>
      <c r="D20" s="9"/>
      <c r="E20" s="16" t="s">
        <v>12</v>
      </c>
      <c r="F20" s="26"/>
      <c r="G20" s="10"/>
      <c r="H20" s="1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 x14ac:dyDescent="0.2">
      <c r="A21" s="2"/>
      <c r="B21" s="9"/>
      <c r="C21" s="2" t="s">
        <v>104</v>
      </c>
      <c r="D21" s="15">
        <v>6000</v>
      </c>
      <c r="E21" s="16">
        <v>0.1</v>
      </c>
      <c r="F21" s="6">
        <f>D21*E21</f>
        <v>600</v>
      </c>
      <c r="G21" s="10"/>
      <c r="H21" s="19"/>
      <c r="I21" s="18"/>
      <c r="J21" s="18"/>
      <c r="K21" s="2"/>
      <c r="L21" s="2"/>
      <c r="M21" s="2"/>
      <c r="N21" s="2"/>
      <c r="O21" s="2"/>
      <c r="P21" s="2"/>
      <c r="Q21" s="2"/>
      <c r="R21" s="18"/>
      <c r="S21" s="18"/>
      <c r="T21" s="2"/>
      <c r="U21" s="18"/>
      <c r="V21" s="18"/>
      <c r="W21" s="18"/>
      <c r="X21" s="18"/>
      <c r="Y21" s="18"/>
      <c r="Z21" s="18"/>
    </row>
    <row r="22" spans="1:26" ht="15.75" customHeight="1" x14ac:dyDescent="0.2">
      <c r="A22" s="2"/>
      <c r="B22" s="9"/>
      <c r="C22" s="2" t="s">
        <v>105</v>
      </c>
      <c r="D22" s="15">
        <v>5500</v>
      </c>
      <c r="E22" s="16">
        <v>0.1</v>
      </c>
      <c r="F22" s="6">
        <f t="shared" ref="F22" si="0">D22*E22</f>
        <v>550</v>
      </c>
      <c r="G22" s="10"/>
      <c r="H22" s="19"/>
      <c r="I22" s="18"/>
      <c r="J22" s="18"/>
      <c r="K22" s="2"/>
      <c r="L22" s="2"/>
      <c r="M22" s="2"/>
      <c r="N22" s="2"/>
      <c r="O22" s="2"/>
      <c r="P22" s="2"/>
      <c r="Q22" s="2"/>
      <c r="R22" s="2"/>
      <c r="S22" s="2"/>
      <c r="T22" s="18"/>
      <c r="U22" s="18"/>
      <c r="V22" s="18"/>
      <c r="W22" s="18"/>
      <c r="X22" s="18"/>
      <c r="Y22" s="18"/>
      <c r="Z22" s="18"/>
    </row>
    <row r="23" spans="1:26" ht="15.75" customHeight="1" x14ac:dyDescent="0.2">
      <c r="A23" s="2"/>
      <c r="B23" s="9"/>
      <c r="C23" s="2"/>
      <c r="D23" s="15"/>
      <c r="E23" s="16"/>
      <c r="F23" s="6"/>
      <c r="G23" s="10"/>
      <c r="H23" s="19"/>
      <c r="I23" s="18"/>
      <c r="J23" s="18"/>
      <c r="K23" s="2"/>
      <c r="L23" s="2"/>
      <c r="M23" s="2"/>
      <c r="N23" s="2"/>
      <c r="O23" s="2"/>
      <c r="P23" s="2"/>
      <c r="Q23" s="2"/>
      <c r="R23" s="2"/>
      <c r="S23" s="2"/>
      <c r="T23" s="18"/>
      <c r="U23" s="18"/>
      <c r="V23" s="18"/>
      <c r="W23" s="18"/>
      <c r="X23" s="18"/>
      <c r="Y23" s="18"/>
      <c r="Z23" s="18"/>
    </row>
    <row r="24" spans="1:26" ht="15.75" customHeight="1" x14ac:dyDescent="0.2">
      <c r="A24" s="2"/>
      <c r="B24" s="9"/>
      <c r="C24" s="2"/>
      <c r="D24" s="8"/>
      <c r="E24" s="2"/>
      <c r="F24" s="6"/>
      <c r="G24" s="10"/>
      <c r="H24" s="1"/>
      <c r="I24" s="2"/>
      <c r="J24" s="2"/>
      <c r="K24" s="18"/>
      <c r="L24" s="18"/>
      <c r="M24" s="18"/>
      <c r="N24" s="18"/>
      <c r="O24" s="18"/>
      <c r="P24" s="18"/>
      <c r="Q24" s="18"/>
      <c r="R24" s="2"/>
      <c r="S24" s="2"/>
      <c r="T24" s="18"/>
      <c r="U24" s="2"/>
      <c r="V24" s="2"/>
      <c r="W24" s="2"/>
      <c r="X24" s="2"/>
      <c r="Y24" s="2"/>
      <c r="Z24" s="2"/>
    </row>
    <row r="25" spans="1:26" ht="15.75" customHeight="1" x14ac:dyDescent="0.2">
      <c r="A25" s="2"/>
      <c r="B25" s="9"/>
      <c r="C25" s="2"/>
      <c r="D25" s="8"/>
      <c r="E25" s="2"/>
      <c r="F25" s="6"/>
      <c r="G25" s="10"/>
      <c r="H25" s="1"/>
      <c r="I25" s="2"/>
      <c r="J25" s="2"/>
      <c r="K25" s="18"/>
      <c r="L25" s="18"/>
      <c r="M25" s="18"/>
      <c r="N25" s="18"/>
      <c r="O25" s="18"/>
      <c r="P25" s="18"/>
      <c r="Q25" s="18"/>
      <c r="R25" s="18"/>
      <c r="S25" s="18"/>
      <c r="T25" s="2"/>
      <c r="U25" s="2"/>
      <c r="V25" s="2"/>
      <c r="W25" s="2"/>
      <c r="X25" s="2"/>
      <c r="Y25" s="2"/>
      <c r="Z25" s="2"/>
    </row>
    <row r="26" spans="1:26" ht="15.75" customHeight="1" x14ac:dyDescent="0.2">
      <c r="A26" s="2"/>
      <c r="B26" s="9"/>
      <c r="C26" s="2"/>
      <c r="D26" s="8"/>
      <c r="E26" s="2"/>
      <c r="F26" s="6"/>
      <c r="G26" s="10"/>
      <c r="H26" s="1"/>
      <c r="I26" s="2"/>
      <c r="J26" s="2"/>
      <c r="K26" s="18"/>
      <c r="L26" s="18"/>
      <c r="M26" s="18"/>
      <c r="N26" s="18"/>
      <c r="O26" s="18"/>
      <c r="P26" s="18"/>
      <c r="Q26" s="18"/>
      <c r="R26" s="18"/>
      <c r="S26" s="18"/>
      <c r="T26" s="2"/>
      <c r="U26" s="2"/>
      <c r="V26" s="2"/>
      <c r="W26" s="2"/>
      <c r="X26" s="2"/>
      <c r="Y26" s="2"/>
      <c r="Z26" s="2"/>
    </row>
    <row r="27" spans="1:26" ht="15.75" customHeight="1" x14ac:dyDescent="0.2">
      <c r="A27" s="2"/>
      <c r="B27" s="9"/>
      <c r="C27" s="2"/>
      <c r="D27" s="8"/>
      <c r="E27" s="2"/>
      <c r="F27" s="6"/>
      <c r="G27" s="10"/>
      <c r="H27" s="1"/>
      <c r="I27" s="2"/>
      <c r="J27" s="2"/>
      <c r="K27" s="2"/>
      <c r="L27" s="2"/>
      <c r="M27" s="2"/>
      <c r="N27" s="2"/>
      <c r="O27" s="2"/>
      <c r="P27" s="2"/>
      <c r="Q27" s="2"/>
      <c r="R27" s="18"/>
      <c r="S27" s="18"/>
      <c r="T27" s="2"/>
      <c r="U27" s="2"/>
      <c r="V27" s="2"/>
      <c r="W27" s="2"/>
      <c r="X27" s="2"/>
      <c r="Y27" s="2"/>
      <c r="Z27" s="2"/>
    </row>
    <row r="28" spans="1:26" ht="15.75" customHeight="1" x14ac:dyDescent="0.2">
      <c r="A28" s="2"/>
      <c r="B28" s="9"/>
      <c r="C28" s="2"/>
      <c r="D28" s="8"/>
      <c r="E28" s="2"/>
      <c r="F28" s="2"/>
      <c r="G28" s="10"/>
      <c r="H28" s="1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 x14ac:dyDescent="0.2">
      <c r="A29" s="2"/>
      <c r="B29" s="9"/>
      <c r="C29" s="2"/>
      <c r="D29" s="8"/>
      <c r="E29" s="2"/>
      <c r="F29" s="2"/>
      <c r="G29" s="10"/>
      <c r="H29" s="1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 x14ac:dyDescent="0.2">
      <c r="A30" s="2"/>
      <c r="B30" s="9"/>
      <c r="C30" s="27" t="s">
        <v>13</v>
      </c>
      <c r="E30" s="28" t="s">
        <v>14</v>
      </c>
      <c r="F30" s="128">
        <f>SUM(F21:F27)</f>
        <v>1150</v>
      </c>
      <c r="G30" s="10"/>
      <c r="H30" s="1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 x14ac:dyDescent="0.2">
      <c r="A31" s="2"/>
      <c r="B31" s="9"/>
      <c r="C31" s="2"/>
      <c r="D31" s="8"/>
      <c r="E31" s="2"/>
      <c r="F31" s="2"/>
      <c r="G31" s="10"/>
      <c r="H31" s="1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 x14ac:dyDescent="0.2">
      <c r="A32" s="2"/>
      <c r="B32" s="9"/>
      <c r="C32" s="2"/>
      <c r="D32" s="8"/>
      <c r="E32" s="2"/>
      <c r="F32" s="2"/>
      <c r="G32" s="10"/>
      <c r="H32" s="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 x14ac:dyDescent="0.2">
      <c r="A33" s="2"/>
      <c r="B33" s="9"/>
      <c r="C33" s="2"/>
      <c r="D33" s="8"/>
      <c r="E33" s="2"/>
      <c r="F33" s="2"/>
      <c r="G33" s="10"/>
      <c r="H33" s="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 x14ac:dyDescent="0.2">
      <c r="A34" s="2"/>
      <c r="B34" s="9"/>
      <c r="C34" s="2"/>
      <c r="D34" s="8"/>
      <c r="E34" s="2"/>
      <c r="F34" s="2"/>
      <c r="G34" s="10"/>
      <c r="H34" s="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 x14ac:dyDescent="0.2">
      <c r="A35" s="2"/>
      <c r="B35" s="9"/>
      <c r="C35" s="2"/>
      <c r="D35" s="8"/>
      <c r="E35" s="2"/>
      <c r="F35" s="2"/>
      <c r="G35" s="10"/>
      <c r="H35" s="1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 x14ac:dyDescent="0.2">
      <c r="A36" s="2"/>
      <c r="B36" s="9"/>
      <c r="C36" s="2"/>
      <c r="D36" s="8"/>
      <c r="E36" s="2"/>
      <c r="F36" s="2"/>
      <c r="G36" s="10"/>
      <c r="H36" s="1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 x14ac:dyDescent="0.2">
      <c r="A37" s="2"/>
      <c r="B37" s="9"/>
      <c r="C37" s="2"/>
      <c r="D37" s="8"/>
      <c r="E37" s="2"/>
      <c r="F37" s="2"/>
      <c r="G37" s="10"/>
      <c r="H37" s="1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 x14ac:dyDescent="0.2">
      <c r="A38" s="2"/>
      <c r="B38" s="9"/>
      <c r="C38" s="2"/>
      <c r="D38" s="8"/>
      <c r="E38" s="2"/>
      <c r="F38" s="2"/>
      <c r="G38" s="10"/>
      <c r="H38" s="1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 x14ac:dyDescent="0.2">
      <c r="A39" s="2"/>
      <c r="B39" s="9"/>
      <c r="C39" s="2"/>
      <c r="D39" s="8"/>
      <c r="E39" s="2"/>
      <c r="F39" s="2"/>
      <c r="G39" s="10"/>
      <c r="H39" s="1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 x14ac:dyDescent="0.2">
      <c r="A40" s="2"/>
      <c r="B40" s="9"/>
      <c r="C40" s="2"/>
      <c r="D40" s="8"/>
      <c r="E40" s="2"/>
      <c r="F40" s="2"/>
      <c r="G40" s="10"/>
      <c r="H40" s="1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 x14ac:dyDescent="0.2">
      <c r="A41" s="2"/>
      <c r="B41" s="9"/>
      <c r="C41" s="2"/>
      <c r="D41" s="8"/>
      <c r="E41" s="2"/>
      <c r="F41" s="2"/>
      <c r="G41" s="10"/>
      <c r="H41" s="1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 x14ac:dyDescent="0.2">
      <c r="A42" s="2"/>
      <c r="B42" s="9"/>
      <c r="C42" s="2"/>
      <c r="D42" s="8"/>
      <c r="E42" s="2"/>
      <c r="F42" s="2"/>
      <c r="G42" s="10"/>
      <c r="H42" s="1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 x14ac:dyDescent="0.2">
      <c r="A43" s="2"/>
      <c r="B43" s="9"/>
      <c r="C43" s="2"/>
      <c r="D43" s="8"/>
      <c r="E43" s="2"/>
      <c r="F43" s="2"/>
      <c r="G43" s="10"/>
      <c r="H43" s="1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 x14ac:dyDescent="0.2">
      <c r="A44" s="2"/>
      <c r="B44" s="9"/>
      <c r="C44" s="2"/>
      <c r="D44" s="8"/>
      <c r="E44" s="2"/>
      <c r="F44" s="2"/>
      <c r="G44" s="10"/>
      <c r="H44" s="1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 x14ac:dyDescent="0.2">
      <c r="A45" s="2"/>
      <c r="B45" s="9"/>
      <c r="C45" s="2"/>
      <c r="D45" s="8"/>
      <c r="E45" s="2"/>
      <c r="F45" s="2"/>
      <c r="G45" s="10"/>
      <c r="H45" s="1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 x14ac:dyDescent="0.2">
      <c r="A46" s="2"/>
      <c r="B46" s="9"/>
      <c r="C46" s="2"/>
      <c r="D46" s="8"/>
      <c r="E46" s="2"/>
      <c r="F46" s="2"/>
      <c r="G46" s="10"/>
      <c r="H46" s="1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 x14ac:dyDescent="0.2">
      <c r="A47" s="2"/>
      <c r="B47" s="9"/>
      <c r="C47" s="2"/>
      <c r="D47" s="8"/>
      <c r="E47" s="2"/>
      <c r="F47" s="2"/>
      <c r="G47" s="10"/>
      <c r="H47" s="1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 x14ac:dyDescent="0.2">
      <c r="A48" s="2"/>
      <c r="B48" s="9"/>
      <c r="C48" s="2"/>
      <c r="D48" s="8"/>
      <c r="E48" s="2"/>
      <c r="F48" s="2"/>
      <c r="G48" s="10"/>
      <c r="H48" s="1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 x14ac:dyDescent="0.2">
      <c r="A49" s="2"/>
      <c r="B49" s="9"/>
      <c r="C49" s="2"/>
      <c r="D49" s="8"/>
      <c r="E49" s="2"/>
      <c r="F49" s="2"/>
      <c r="G49" s="10"/>
      <c r="H49" s="1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 x14ac:dyDescent="0.2">
      <c r="A50" s="2"/>
      <c r="B50" s="9"/>
      <c r="C50" s="2"/>
      <c r="D50" s="8"/>
      <c r="E50" s="2"/>
      <c r="F50" s="2"/>
      <c r="G50" s="10"/>
      <c r="H50" s="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 x14ac:dyDescent="0.2">
      <c r="A51" s="2"/>
      <c r="B51" s="9"/>
      <c r="C51" s="2"/>
      <c r="D51" s="8"/>
      <c r="E51" s="2"/>
      <c r="F51" s="2"/>
      <c r="G51" s="10"/>
      <c r="H51" s="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 x14ac:dyDescent="0.2">
      <c r="A52" s="2"/>
      <c r="B52" s="9"/>
      <c r="C52" s="2"/>
      <c r="D52" s="8"/>
      <c r="E52" s="2"/>
      <c r="F52" s="2"/>
      <c r="G52" s="10"/>
      <c r="H52" s="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 x14ac:dyDescent="0.2">
      <c r="A53" s="2"/>
      <c r="B53" s="9"/>
      <c r="C53" s="2"/>
      <c r="D53" s="8"/>
      <c r="E53" s="2"/>
      <c r="F53" s="2"/>
      <c r="G53" s="10"/>
      <c r="H53" s="1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 x14ac:dyDescent="0.2">
      <c r="A54" s="2"/>
      <c r="B54" s="9"/>
      <c r="C54" s="2"/>
      <c r="D54" s="8"/>
      <c r="E54" s="2"/>
      <c r="F54" s="2"/>
      <c r="G54" s="10"/>
      <c r="H54" s="19"/>
      <c r="I54" s="18"/>
      <c r="J54" s="18"/>
      <c r="K54" s="2"/>
      <c r="L54" s="2"/>
      <c r="M54" s="2"/>
      <c r="N54" s="2"/>
      <c r="O54" s="2"/>
      <c r="P54" s="2"/>
      <c r="Q54" s="2"/>
      <c r="R54" s="2"/>
      <c r="S54" s="2"/>
      <c r="T54" s="2"/>
      <c r="U54" s="18"/>
      <c r="V54" s="18"/>
      <c r="W54" s="18"/>
      <c r="X54" s="18"/>
      <c r="Y54" s="18"/>
      <c r="Z54" s="18"/>
    </row>
    <row r="55" spans="1:26" ht="15.75" customHeight="1" x14ac:dyDescent="0.2">
      <c r="A55" s="2"/>
      <c r="B55" s="9"/>
      <c r="C55" s="2"/>
      <c r="D55" s="8"/>
      <c r="E55" s="2"/>
      <c r="F55" s="2"/>
      <c r="G55" s="10"/>
      <c r="H55" s="19"/>
      <c r="I55" s="18"/>
      <c r="J55" s="18"/>
      <c r="K55" s="2"/>
      <c r="L55" s="2"/>
      <c r="M55" s="2"/>
      <c r="N55" s="2"/>
      <c r="O55" s="2"/>
      <c r="P55" s="2"/>
      <c r="Q55" s="2"/>
      <c r="R55" s="2"/>
      <c r="S55" s="2"/>
      <c r="T55" s="18"/>
      <c r="U55" s="18"/>
      <c r="V55" s="18"/>
      <c r="W55" s="18"/>
      <c r="X55" s="18"/>
      <c r="Y55" s="18"/>
      <c r="Z55" s="18"/>
    </row>
    <row r="56" spans="1:26" ht="15.75" customHeight="1" x14ac:dyDescent="0.2">
      <c r="A56" s="2"/>
      <c r="B56" s="9"/>
      <c r="C56" s="2"/>
      <c r="D56" s="8"/>
      <c r="E56" s="2"/>
      <c r="F56" s="2"/>
      <c r="G56" s="10"/>
      <c r="H56" s="1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18"/>
      <c r="U56" s="2"/>
      <c r="V56" s="2"/>
      <c r="W56" s="2"/>
      <c r="X56" s="2"/>
      <c r="Y56" s="2"/>
      <c r="Z56" s="2"/>
    </row>
    <row r="57" spans="1:26" ht="15.75" customHeight="1" x14ac:dyDescent="0.2">
      <c r="A57" s="2"/>
      <c r="B57" s="9"/>
      <c r="C57" s="2"/>
      <c r="D57" s="8"/>
      <c r="E57" s="2"/>
      <c r="F57" s="2"/>
      <c r="G57" s="10"/>
      <c r="H57" s="1"/>
      <c r="I57" s="2"/>
      <c r="J57" s="2"/>
      <c r="K57" s="18"/>
      <c r="L57" s="18"/>
      <c r="M57" s="18"/>
      <c r="N57" s="18"/>
      <c r="O57" s="18"/>
      <c r="P57" s="18"/>
      <c r="Q57" s="18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 x14ac:dyDescent="0.2">
      <c r="A58" s="2"/>
      <c r="B58" s="9"/>
      <c r="C58" s="2"/>
      <c r="D58" s="8"/>
      <c r="E58" s="2"/>
      <c r="F58" s="2"/>
      <c r="G58" s="10"/>
      <c r="H58" s="1"/>
      <c r="I58" s="2"/>
      <c r="J58" s="2"/>
      <c r="K58" s="18"/>
      <c r="L58" s="18"/>
      <c r="M58" s="18"/>
      <c r="N58" s="18"/>
      <c r="O58" s="18"/>
      <c r="P58" s="18"/>
      <c r="Q58" s="18"/>
      <c r="R58" s="18"/>
      <c r="S58" s="18"/>
      <c r="T58" s="2"/>
      <c r="U58" s="2"/>
      <c r="V58" s="2"/>
      <c r="W58" s="2"/>
      <c r="X58" s="2"/>
      <c r="Y58" s="2"/>
      <c r="Z58" s="2"/>
    </row>
    <row r="59" spans="1:26" ht="15.75" customHeight="1" x14ac:dyDescent="0.2">
      <c r="A59" s="2"/>
      <c r="B59" s="9"/>
      <c r="C59" s="2"/>
      <c r="D59" s="8"/>
      <c r="E59" s="2"/>
      <c r="F59" s="2"/>
      <c r="G59" s="10"/>
      <c r="H59" s="1"/>
      <c r="I59" s="2"/>
      <c r="J59" s="2"/>
      <c r="K59" s="2"/>
      <c r="L59" s="2"/>
      <c r="M59" s="2"/>
      <c r="N59" s="2"/>
      <c r="O59" s="2"/>
      <c r="P59" s="2"/>
      <c r="Q59" s="2"/>
      <c r="R59" s="18"/>
      <c r="S59" s="18"/>
      <c r="T59" s="2"/>
      <c r="U59" s="2"/>
      <c r="V59" s="2"/>
      <c r="W59" s="2"/>
      <c r="X59" s="2"/>
      <c r="Y59" s="2"/>
      <c r="Z59" s="2"/>
    </row>
    <row r="60" spans="1:26" ht="15.75" customHeight="1" x14ac:dyDescent="0.2">
      <c r="A60" s="2"/>
      <c r="B60" s="9"/>
      <c r="C60" s="2"/>
      <c r="D60" s="8"/>
      <c r="E60" s="2"/>
      <c r="F60" s="2"/>
      <c r="G60" s="10"/>
      <c r="H60" s="1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 x14ac:dyDescent="0.2">
      <c r="A61" s="2"/>
      <c r="B61" s="9"/>
      <c r="C61" s="2"/>
      <c r="D61" s="8"/>
      <c r="E61" s="2"/>
      <c r="F61" s="2"/>
      <c r="G61" s="10"/>
      <c r="H61" s="1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 x14ac:dyDescent="0.2">
      <c r="A62" s="2"/>
      <c r="B62" s="9"/>
      <c r="C62" s="2"/>
      <c r="D62" s="8"/>
      <c r="E62" s="2"/>
      <c r="F62" s="2"/>
      <c r="G62" s="10"/>
      <c r="H62" s="1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 x14ac:dyDescent="0.2">
      <c r="A63" s="2"/>
      <c r="B63" s="9"/>
      <c r="C63" s="2"/>
      <c r="D63" s="8"/>
      <c r="E63" s="2"/>
      <c r="F63" s="2"/>
      <c r="G63" s="10"/>
      <c r="H63" s="1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 x14ac:dyDescent="0.2">
      <c r="A64" s="2"/>
      <c r="B64" s="9"/>
      <c r="C64" s="2"/>
      <c r="D64" s="8"/>
      <c r="E64" s="2"/>
      <c r="F64" s="2"/>
      <c r="G64" s="10"/>
      <c r="H64" s="1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 x14ac:dyDescent="0.2">
      <c r="A65" s="2"/>
      <c r="B65" s="9"/>
      <c r="C65" s="2"/>
      <c r="D65" s="8"/>
      <c r="E65" s="2"/>
      <c r="F65" s="2"/>
      <c r="G65" s="10"/>
      <c r="H65" s="1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 x14ac:dyDescent="0.2">
      <c r="A66" s="2"/>
      <c r="B66" s="9"/>
      <c r="C66" s="2"/>
      <c r="D66" s="8"/>
      <c r="E66" s="2"/>
      <c r="F66" s="2"/>
      <c r="G66" s="10"/>
      <c r="H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 x14ac:dyDescent="0.2">
      <c r="A67" s="2"/>
      <c r="B67" s="9"/>
      <c r="C67" s="2"/>
      <c r="D67" s="8"/>
      <c r="E67" s="2"/>
      <c r="F67" s="2"/>
      <c r="G67" s="10"/>
      <c r="H67" s="1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 x14ac:dyDescent="0.2">
      <c r="A68" s="2"/>
      <c r="B68" s="9"/>
      <c r="C68" s="2"/>
      <c r="D68" s="8"/>
      <c r="E68" s="2"/>
      <c r="F68" s="2"/>
      <c r="G68" s="10"/>
      <c r="H68" s="1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 x14ac:dyDescent="0.2">
      <c r="A69" s="2"/>
      <c r="B69" s="9"/>
      <c r="C69" s="2"/>
      <c r="D69" s="8"/>
      <c r="E69" s="2"/>
      <c r="F69" s="2"/>
      <c r="G69" s="10"/>
      <c r="H69" s="1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25.5" customHeight="1" x14ac:dyDescent="0.2">
      <c r="A70" s="2"/>
      <c r="B70" s="9"/>
      <c r="C70" s="2"/>
      <c r="D70" s="8"/>
      <c r="E70" s="2"/>
      <c r="F70" s="2"/>
      <c r="G70" s="10"/>
      <c r="H70" s="1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 x14ac:dyDescent="0.2">
      <c r="A71" s="2"/>
      <c r="B71" s="9"/>
      <c r="C71" s="2"/>
      <c r="D71" s="8"/>
      <c r="E71" s="2"/>
      <c r="F71" s="2"/>
      <c r="G71" s="10"/>
      <c r="H71" s="1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 x14ac:dyDescent="0.2">
      <c r="A72" s="2"/>
      <c r="B72" s="9"/>
      <c r="C72" s="2"/>
      <c r="D72" s="8"/>
      <c r="E72" s="2"/>
      <c r="F72" s="2"/>
      <c r="G72" s="10"/>
      <c r="H72" s="1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 x14ac:dyDescent="0.2">
      <c r="A73" s="2"/>
      <c r="B73" s="9"/>
      <c r="C73" s="2"/>
      <c r="D73" s="8"/>
      <c r="E73" s="2"/>
      <c r="F73" s="2"/>
      <c r="G73" s="10"/>
      <c r="H73" s="1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 x14ac:dyDescent="0.2">
      <c r="A74" s="2"/>
      <c r="B74" s="9"/>
      <c r="C74" s="2"/>
      <c r="D74" s="8"/>
      <c r="E74" s="2"/>
      <c r="F74" s="2"/>
      <c r="G74" s="10"/>
      <c r="H74" s="1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 x14ac:dyDescent="0.2">
      <c r="A75" s="2"/>
      <c r="B75" s="9"/>
      <c r="C75" s="2"/>
      <c r="D75" s="8"/>
      <c r="E75" s="2"/>
      <c r="F75" s="2"/>
      <c r="G75" s="10"/>
      <c r="H75" s="1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 x14ac:dyDescent="0.2">
      <c r="A76" s="2"/>
      <c r="B76" s="9"/>
      <c r="C76" s="2"/>
      <c r="D76" s="8"/>
      <c r="E76" s="2"/>
      <c r="F76" s="2"/>
      <c r="G76" s="22"/>
      <c r="H76" s="23"/>
      <c r="I76" s="20"/>
      <c r="J76" s="20"/>
      <c r="K76" s="2"/>
      <c r="L76" s="2"/>
      <c r="M76" s="2"/>
      <c r="N76" s="2"/>
      <c r="O76" s="2"/>
      <c r="P76" s="2"/>
      <c r="Q76" s="2"/>
      <c r="R76" s="2"/>
      <c r="S76" s="2"/>
      <c r="T76" s="2"/>
      <c r="U76" s="20"/>
      <c r="V76" s="20"/>
      <c r="W76" s="20"/>
      <c r="X76" s="20"/>
      <c r="Y76" s="20"/>
      <c r="Z76" s="20"/>
    </row>
    <row r="77" spans="1:26" ht="15.75" customHeight="1" x14ac:dyDescent="0.2">
      <c r="A77" s="2"/>
      <c r="B77" s="9"/>
      <c r="C77" s="2"/>
      <c r="D77" s="8"/>
      <c r="E77" s="2"/>
      <c r="F77" s="2"/>
      <c r="G77" s="10"/>
      <c r="H77" s="1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0"/>
      <c r="U77" s="2"/>
      <c r="V77" s="2"/>
      <c r="W77" s="2"/>
      <c r="X77" s="2"/>
      <c r="Y77" s="2"/>
      <c r="Z77" s="2"/>
    </row>
    <row r="78" spans="1:26" ht="15.75" customHeight="1" x14ac:dyDescent="0.2">
      <c r="A78" s="2"/>
      <c r="B78" s="9"/>
      <c r="C78" s="2"/>
      <c r="D78" s="8"/>
      <c r="E78" s="2"/>
      <c r="F78" s="2"/>
      <c r="G78" s="22"/>
      <c r="H78" s="23"/>
      <c r="I78" s="20"/>
      <c r="J78" s="20"/>
      <c r="K78" s="2"/>
      <c r="L78" s="2"/>
      <c r="M78" s="2"/>
      <c r="N78" s="2"/>
      <c r="O78" s="2"/>
      <c r="P78" s="2"/>
      <c r="Q78" s="2"/>
      <c r="R78" s="2"/>
      <c r="S78" s="2"/>
      <c r="T78" s="2"/>
      <c r="U78" s="20"/>
      <c r="V78" s="20"/>
      <c r="W78" s="20"/>
      <c r="X78" s="20"/>
      <c r="Y78" s="20"/>
      <c r="Z78" s="20"/>
    </row>
    <row r="79" spans="1:26" ht="15.75" customHeight="1" x14ac:dyDescent="0.2">
      <c r="A79" s="2"/>
      <c r="B79" s="9"/>
      <c r="C79" s="2"/>
      <c r="D79" s="8"/>
      <c r="E79" s="2"/>
      <c r="F79" s="2"/>
      <c r="G79" s="10"/>
      <c r="H79" s="1"/>
      <c r="I79" s="2"/>
      <c r="J79" s="2"/>
      <c r="K79" s="20"/>
      <c r="L79" s="20"/>
      <c r="M79" s="20"/>
      <c r="N79" s="20"/>
      <c r="O79" s="20"/>
      <c r="P79" s="20"/>
      <c r="Q79" s="20"/>
      <c r="R79" s="2"/>
      <c r="S79" s="2"/>
      <c r="T79" s="20"/>
      <c r="U79" s="2"/>
      <c r="V79" s="2"/>
      <c r="W79" s="2"/>
      <c r="X79" s="2"/>
      <c r="Y79" s="2"/>
      <c r="Z79" s="2"/>
    </row>
    <row r="80" spans="1:26" ht="15.75" customHeight="1" x14ac:dyDescent="0.2">
      <c r="A80" s="2"/>
      <c r="B80" s="9"/>
      <c r="C80" s="2"/>
      <c r="D80" s="8"/>
      <c r="E80" s="2"/>
      <c r="F80" s="2"/>
      <c r="G80" s="24"/>
      <c r="H80" s="25"/>
      <c r="I80" s="21"/>
      <c r="J80" s="21"/>
      <c r="K80" s="2"/>
      <c r="L80" s="2"/>
      <c r="M80" s="2"/>
      <c r="N80" s="2"/>
      <c r="O80" s="2"/>
      <c r="P80" s="2"/>
      <c r="Q80" s="2"/>
      <c r="R80" s="20"/>
      <c r="S80" s="20"/>
      <c r="T80" s="2"/>
      <c r="U80" s="21"/>
      <c r="V80" s="21"/>
      <c r="W80" s="21"/>
      <c r="X80" s="21"/>
      <c r="Y80" s="21"/>
      <c r="Z80" s="21"/>
    </row>
    <row r="81" spans="1:26" ht="15.75" customHeight="1" x14ac:dyDescent="0.2">
      <c r="A81" s="2"/>
      <c r="B81" s="9"/>
      <c r="C81" s="2"/>
      <c r="D81" s="8"/>
      <c r="E81" s="2"/>
      <c r="F81" s="2"/>
      <c r="G81" s="24"/>
      <c r="H81" s="25"/>
      <c r="I81" s="21"/>
      <c r="J81" s="21"/>
      <c r="K81" s="20"/>
      <c r="L81" s="20"/>
      <c r="M81" s="20"/>
      <c r="N81" s="20"/>
      <c r="O81" s="20"/>
      <c r="P81" s="20"/>
      <c r="Q81" s="20"/>
      <c r="R81" s="2"/>
      <c r="S81" s="2"/>
      <c r="T81" s="21"/>
      <c r="U81" s="21"/>
      <c r="V81" s="21"/>
      <c r="W81" s="21"/>
      <c r="X81" s="21"/>
      <c r="Y81" s="21"/>
      <c r="Z81" s="21"/>
    </row>
    <row r="82" spans="1:26" ht="15.75" customHeight="1" x14ac:dyDescent="0.2">
      <c r="A82" s="2"/>
      <c r="B82" s="9"/>
      <c r="C82" s="2"/>
      <c r="D82" s="8"/>
      <c r="E82" s="2"/>
      <c r="F82" s="2"/>
      <c r="G82" s="22"/>
      <c r="H82" s="23"/>
      <c r="I82" s="20"/>
      <c r="J82" s="20"/>
      <c r="K82" s="2"/>
      <c r="L82" s="2"/>
      <c r="M82" s="2"/>
      <c r="N82" s="2"/>
      <c r="O82" s="2"/>
      <c r="P82" s="2"/>
      <c r="Q82" s="2"/>
      <c r="R82" s="20"/>
      <c r="S82" s="20"/>
      <c r="T82" s="21"/>
      <c r="U82" s="20"/>
      <c r="V82" s="20"/>
      <c r="W82" s="20"/>
      <c r="X82" s="20"/>
      <c r="Y82" s="20"/>
      <c r="Z82" s="20"/>
    </row>
    <row r="83" spans="1:26" ht="15.75" customHeight="1" x14ac:dyDescent="0.2">
      <c r="A83" s="2"/>
      <c r="B83" s="9"/>
      <c r="C83" s="2"/>
      <c r="D83" s="8"/>
      <c r="E83" s="2"/>
      <c r="F83" s="2"/>
      <c r="G83" s="10"/>
      <c r="H83" s="1"/>
      <c r="I83" s="2"/>
      <c r="J83" s="2"/>
      <c r="K83" s="21"/>
      <c r="L83" s="21"/>
      <c r="M83" s="21"/>
      <c r="N83" s="21"/>
      <c r="O83" s="21"/>
      <c r="P83" s="21"/>
      <c r="Q83" s="21"/>
      <c r="R83" s="2"/>
      <c r="S83" s="2"/>
      <c r="T83" s="20"/>
      <c r="U83" s="2"/>
      <c r="V83" s="2"/>
      <c r="W83" s="2"/>
      <c r="X83" s="2"/>
      <c r="Y83" s="2"/>
      <c r="Z83" s="2"/>
    </row>
    <row r="84" spans="1:26" ht="15.75" customHeight="1" x14ac:dyDescent="0.2">
      <c r="A84" s="2"/>
      <c r="B84" s="9"/>
      <c r="C84" s="2"/>
      <c r="D84" s="8"/>
      <c r="E84" s="2"/>
      <c r="F84" s="2"/>
      <c r="G84" s="10"/>
      <c r="H84" s="1"/>
      <c r="I84" s="2"/>
      <c r="J84" s="2"/>
      <c r="K84" s="21"/>
      <c r="L84" s="21"/>
      <c r="M84" s="21"/>
      <c r="N84" s="21"/>
      <c r="O84" s="21"/>
      <c r="P84" s="21"/>
      <c r="Q84" s="21"/>
      <c r="R84" s="21"/>
      <c r="S84" s="21"/>
      <c r="T84" s="2"/>
      <c r="U84" s="2"/>
      <c r="V84" s="2"/>
      <c r="W84" s="2"/>
      <c r="X84" s="2"/>
      <c r="Y84" s="2"/>
      <c r="Z84" s="2"/>
    </row>
    <row r="85" spans="1:26" ht="15.75" customHeight="1" x14ac:dyDescent="0.2">
      <c r="A85" s="2"/>
      <c r="B85" s="9"/>
      <c r="C85" s="2"/>
      <c r="D85" s="8"/>
      <c r="E85" s="2"/>
      <c r="F85" s="2"/>
      <c r="G85" s="10"/>
      <c r="H85" s="1"/>
      <c r="I85" s="2"/>
      <c r="J85" s="2"/>
      <c r="K85" s="20"/>
      <c r="L85" s="20"/>
      <c r="M85" s="20"/>
      <c r="N85" s="20"/>
      <c r="O85" s="20"/>
      <c r="P85" s="20"/>
      <c r="Q85" s="20"/>
      <c r="R85" s="21"/>
      <c r="S85" s="21"/>
      <c r="T85" s="2"/>
      <c r="U85" s="2"/>
      <c r="V85" s="2"/>
      <c r="W85" s="2"/>
      <c r="X85" s="2"/>
      <c r="Y85" s="2"/>
      <c r="Z85" s="2"/>
    </row>
    <row r="86" spans="1:26" ht="15.75" customHeight="1" x14ac:dyDescent="0.2">
      <c r="A86" s="2"/>
      <c r="B86" s="9"/>
      <c r="C86" s="2"/>
      <c r="D86" s="8"/>
      <c r="E86" s="2"/>
      <c r="F86" s="2"/>
      <c r="G86" s="10"/>
      <c r="H86" s="1"/>
      <c r="I86" s="2"/>
      <c r="J86" s="2"/>
      <c r="K86" s="2"/>
      <c r="L86" s="2"/>
      <c r="M86" s="2"/>
      <c r="N86" s="2"/>
      <c r="O86" s="2"/>
      <c r="P86" s="2"/>
      <c r="Q86" s="2"/>
      <c r="R86" s="20"/>
      <c r="S86" s="20"/>
      <c r="T86" s="2"/>
      <c r="U86" s="2"/>
      <c r="V86" s="2"/>
      <c r="W86" s="2"/>
      <c r="X86" s="2"/>
      <c r="Y86" s="2"/>
      <c r="Z86" s="2"/>
    </row>
    <row r="87" spans="1:26" ht="15.75" customHeight="1" x14ac:dyDescent="0.2">
      <c r="A87" s="2"/>
      <c r="B87" s="9"/>
      <c r="C87" s="2"/>
      <c r="D87" s="8"/>
      <c r="E87" s="2"/>
      <c r="F87" s="2"/>
      <c r="G87" s="10"/>
      <c r="H87" s="1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 x14ac:dyDescent="0.2">
      <c r="A88" s="2"/>
      <c r="B88" s="9"/>
      <c r="C88" s="2"/>
      <c r="D88" s="8"/>
      <c r="E88" s="2"/>
      <c r="F88" s="2"/>
      <c r="G88" s="10"/>
      <c r="H88" s="1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 x14ac:dyDescent="0.2">
      <c r="A89" s="2"/>
      <c r="B89" s="9"/>
      <c r="C89" s="2"/>
      <c r="D89" s="8"/>
      <c r="E89" s="2"/>
      <c r="F89" s="2"/>
      <c r="G89" s="10"/>
      <c r="H89" s="1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 x14ac:dyDescent="0.2">
      <c r="A90" s="2"/>
      <c r="B90" s="9"/>
      <c r="C90" s="2"/>
      <c r="D90" s="8"/>
      <c r="E90" s="2"/>
      <c r="F90" s="2"/>
      <c r="G90" s="10"/>
      <c r="H90" s="1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 x14ac:dyDescent="0.2">
      <c r="A91" s="2"/>
      <c r="B91" s="9"/>
      <c r="C91" s="2"/>
      <c r="D91" s="8"/>
      <c r="E91" s="2"/>
      <c r="F91" s="2"/>
      <c r="G91" s="10"/>
      <c r="H91" s="1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 x14ac:dyDescent="0.2">
      <c r="A92" s="2"/>
      <c r="B92" s="9"/>
      <c r="C92" s="2"/>
      <c r="D92" s="8"/>
      <c r="E92" s="2"/>
      <c r="F92" s="2"/>
      <c r="G92" s="24"/>
      <c r="H92" s="25"/>
      <c r="I92" s="21"/>
      <c r="J92" s="21"/>
      <c r="K92" s="2"/>
      <c r="L92" s="2"/>
      <c r="M92" s="2"/>
      <c r="N92" s="2"/>
      <c r="O92" s="2"/>
      <c r="P92" s="2"/>
      <c r="Q92" s="2"/>
      <c r="R92" s="2"/>
      <c r="S92" s="2"/>
      <c r="T92" s="2"/>
      <c r="U92" s="21"/>
      <c r="V92" s="21"/>
      <c r="W92" s="21"/>
      <c r="X92" s="21"/>
      <c r="Y92" s="21"/>
      <c r="Z92" s="21"/>
    </row>
    <row r="93" spans="1:26" ht="15.75" customHeight="1" x14ac:dyDescent="0.2">
      <c r="A93" s="2"/>
      <c r="B93" s="9"/>
      <c r="C93" s="2"/>
      <c r="D93" s="8"/>
      <c r="E93" s="2"/>
      <c r="F93" s="2"/>
      <c r="G93" s="24"/>
      <c r="H93" s="25"/>
      <c r="I93" s="21"/>
      <c r="J93" s="21"/>
      <c r="K93" s="2"/>
      <c r="L93" s="2"/>
      <c r="M93" s="2"/>
      <c r="N93" s="2"/>
      <c r="O93" s="2"/>
      <c r="P93" s="2"/>
      <c r="Q93" s="2"/>
      <c r="R93" s="2"/>
      <c r="S93" s="2"/>
      <c r="T93" s="21"/>
      <c r="U93" s="21"/>
      <c r="V93" s="21"/>
      <c r="W93" s="21"/>
      <c r="X93" s="21"/>
      <c r="Y93" s="21"/>
      <c r="Z93" s="21"/>
    </row>
    <row r="94" spans="1:26" ht="15.75" customHeight="1" x14ac:dyDescent="0.2">
      <c r="A94" s="2"/>
      <c r="B94" s="9"/>
      <c r="C94" s="2"/>
      <c r="D94" s="8"/>
      <c r="E94" s="2"/>
      <c r="F94" s="2"/>
      <c r="G94" s="10"/>
      <c r="H94" s="1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1"/>
      <c r="U94" s="2"/>
      <c r="V94" s="2"/>
      <c r="W94" s="2"/>
      <c r="X94" s="2"/>
      <c r="Y94" s="2"/>
      <c r="Z94" s="2"/>
    </row>
    <row r="95" spans="1:26" ht="15.75" customHeight="1" x14ac:dyDescent="0.2">
      <c r="A95" s="2"/>
      <c r="B95" s="9"/>
      <c r="C95" s="2"/>
      <c r="D95" s="8"/>
      <c r="E95" s="2"/>
      <c r="F95" s="2"/>
      <c r="G95" s="10"/>
      <c r="H95" s="1"/>
      <c r="I95" s="2"/>
      <c r="J95" s="2"/>
      <c r="K95" s="21"/>
      <c r="L95" s="21"/>
      <c r="M95" s="21"/>
      <c r="N95" s="21"/>
      <c r="O95" s="21"/>
      <c r="P95" s="21"/>
      <c r="Q95" s="21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 x14ac:dyDescent="0.2">
      <c r="A96" s="2"/>
      <c r="B96" s="9"/>
      <c r="C96" s="2"/>
      <c r="D96" s="8"/>
      <c r="E96" s="2"/>
      <c r="F96" s="2"/>
      <c r="G96" s="10"/>
      <c r="H96" s="1"/>
      <c r="I96" s="2"/>
      <c r="J96" s="2"/>
      <c r="K96" s="21"/>
      <c r="L96" s="21"/>
      <c r="M96" s="21"/>
      <c r="N96" s="21"/>
      <c r="O96" s="21"/>
      <c r="P96" s="21"/>
      <c r="Q96" s="21"/>
      <c r="R96" s="21"/>
      <c r="S96" s="21"/>
      <c r="T96" s="2"/>
      <c r="U96" s="2"/>
      <c r="V96" s="2"/>
      <c r="W96" s="2"/>
      <c r="X96" s="2"/>
      <c r="Y96" s="2"/>
      <c r="Z96" s="2"/>
    </row>
    <row r="97" spans="1:26" ht="15.75" customHeight="1" x14ac:dyDescent="0.2">
      <c r="A97" s="2"/>
      <c r="B97" s="9"/>
      <c r="C97" s="2"/>
      <c r="D97" s="8"/>
      <c r="E97" s="2"/>
      <c r="F97" s="2"/>
      <c r="G97" s="10"/>
      <c r="H97" s="1"/>
      <c r="I97" s="2"/>
      <c r="J97" s="2"/>
      <c r="K97" s="2"/>
      <c r="L97" s="2"/>
      <c r="M97" s="2"/>
      <c r="N97" s="2"/>
      <c r="O97" s="2"/>
      <c r="P97" s="2"/>
      <c r="Q97" s="2"/>
      <c r="R97" s="21"/>
      <c r="S97" s="21"/>
      <c r="T97" s="2"/>
      <c r="U97" s="2"/>
      <c r="V97" s="2"/>
      <c r="W97" s="2"/>
      <c r="X97" s="2"/>
      <c r="Y97" s="2"/>
      <c r="Z97" s="2"/>
    </row>
    <row r="98" spans="1:26" ht="15.75" customHeight="1" x14ac:dyDescent="0.2">
      <c r="A98" s="2"/>
      <c r="B98" s="9"/>
      <c r="C98" s="2"/>
      <c r="D98" s="8"/>
      <c r="E98" s="2"/>
      <c r="F98" s="2"/>
      <c r="G98" s="10"/>
      <c r="H98" s="1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 x14ac:dyDescent="0.2">
      <c r="A99" s="2"/>
      <c r="B99" s="9"/>
      <c r="C99" s="2"/>
      <c r="D99" s="8"/>
      <c r="E99" s="2"/>
      <c r="F99" s="2"/>
      <c r="G99" s="10"/>
      <c r="H99" s="1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 x14ac:dyDescent="0.2">
      <c r="A100" s="2"/>
      <c r="B100" s="9"/>
      <c r="C100" s="2"/>
      <c r="D100" s="8"/>
      <c r="E100" s="2"/>
      <c r="F100" s="2"/>
      <c r="G100" s="10"/>
      <c r="H100" s="19"/>
      <c r="I100" s="18"/>
      <c r="J100" s="18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18"/>
      <c r="V100" s="18"/>
      <c r="W100" s="18"/>
      <c r="X100" s="18"/>
      <c r="Y100" s="18"/>
      <c r="Z100" s="18"/>
    </row>
    <row r="101" spans="1:26" ht="15.75" customHeight="1" x14ac:dyDescent="0.2">
      <c r="A101" s="2"/>
      <c r="B101" s="9"/>
      <c r="C101" s="2"/>
      <c r="D101" s="8"/>
      <c r="E101" s="2"/>
      <c r="F101" s="2"/>
      <c r="G101" s="10"/>
      <c r="H101" s="19"/>
      <c r="I101" s="18"/>
      <c r="J101" s="18"/>
      <c r="K101" s="2"/>
      <c r="L101" s="2"/>
      <c r="M101" s="2"/>
      <c r="N101" s="2"/>
      <c r="O101" s="2"/>
      <c r="P101" s="2"/>
      <c r="Q101" s="2"/>
      <c r="R101" s="2"/>
      <c r="S101" s="2"/>
      <c r="T101" s="18"/>
      <c r="U101" s="18"/>
      <c r="V101" s="18"/>
      <c r="W101" s="18"/>
      <c r="X101" s="18"/>
      <c r="Y101" s="18"/>
      <c r="Z101" s="18"/>
    </row>
    <row r="102" spans="1:26" ht="15.75" customHeight="1" x14ac:dyDescent="0.2">
      <c r="A102" s="2"/>
      <c r="B102" s="9"/>
      <c r="C102" s="2"/>
      <c r="D102" s="8"/>
      <c r="E102" s="2"/>
      <c r="F102" s="2"/>
      <c r="G102" s="10"/>
      <c r="H102" s="19"/>
      <c r="I102" s="18"/>
      <c r="J102" s="18"/>
      <c r="K102" s="2"/>
      <c r="L102" s="2"/>
      <c r="M102" s="2"/>
      <c r="N102" s="2"/>
      <c r="O102" s="2"/>
      <c r="P102" s="2"/>
      <c r="Q102" s="2"/>
      <c r="R102" s="2"/>
      <c r="S102" s="2"/>
      <c r="T102" s="18"/>
      <c r="U102" s="18"/>
      <c r="V102" s="18"/>
      <c r="W102" s="18"/>
      <c r="X102" s="18"/>
      <c r="Y102" s="18"/>
      <c r="Z102" s="18"/>
    </row>
    <row r="103" spans="1:26" ht="15.75" customHeight="1" x14ac:dyDescent="0.2">
      <c r="A103" s="2"/>
      <c r="B103" s="9"/>
      <c r="C103" s="2"/>
      <c r="D103" s="8"/>
      <c r="E103" s="2"/>
      <c r="F103" s="2"/>
      <c r="G103" s="10"/>
      <c r="H103" s="1"/>
      <c r="I103" s="2"/>
      <c r="J103" s="2"/>
      <c r="K103" s="18"/>
      <c r="L103" s="18"/>
      <c r="M103" s="18"/>
      <c r="N103" s="18"/>
      <c r="O103" s="18"/>
      <c r="P103" s="18"/>
      <c r="Q103" s="18"/>
      <c r="R103" s="2"/>
      <c r="S103" s="2"/>
      <c r="T103" s="18"/>
      <c r="U103" s="2"/>
      <c r="V103" s="2"/>
      <c r="W103" s="2"/>
      <c r="X103" s="2"/>
      <c r="Y103" s="2"/>
      <c r="Z103" s="2"/>
    </row>
    <row r="104" spans="1:26" ht="15.75" customHeight="1" x14ac:dyDescent="0.2">
      <c r="A104" s="2"/>
      <c r="B104" s="9"/>
      <c r="C104" s="2"/>
      <c r="D104" s="8"/>
      <c r="E104" s="2"/>
      <c r="F104" s="2"/>
      <c r="G104" s="10"/>
      <c r="H104" s="1"/>
      <c r="I104" s="2"/>
      <c r="J104" s="2"/>
      <c r="K104" s="18"/>
      <c r="L104" s="18"/>
      <c r="M104" s="18"/>
      <c r="N104" s="18"/>
      <c r="O104" s="18"/>
      <c r="P104" s="18"/>
      <c r="Q104" s="18"/>
      <c r="R104" s="18"/>
      <c r="S104" s="18"/>
      <c r="T104" s="2"/>
      <c r="U104" s="2"/>
      <c r="V104" s="2"/>
      <c r="W104" s="2"/>
      <c r="X104" s="2"/>
      <c r="Y104" s="2"/>
      <c r="Z104" s="2"/>
    </row>
    <row r="105" spans="1:26" ht="15.75" customHeight="1" x14ac:dyDescent="0.2">
      <c r="A105" s="2"/>
      <c r="B105" s="9"/>
      <c r="C105" s="2"/>
      <c r="D105" s="8"/>
      <c r="E105" s="2"/>
      <c r="F105" s="2"/>
      <c r="G105" s="10"/>
      <c r="H105" s="1"/>
      <c r="I105" s="2"/>
      <c r="J105" s="2"/>
      <c r="K105" s="18"/>
      <c r="L105" s="18"/>
      <c r="M105" s="18"/>
      <c r="N105" s="18"/>
      <c r="O105" s="18"/>
      <c r="P105" s="18"/>
      <c r="Q105" s="18"/>
      <c r="R105" s="18"/>
      <c r="S105" s="18"/>
      <c r="T105" s="2"/>
      <c r="U105" s="2"/>
      <c r="V105" s="2"/>
      <c r="W105" s="2"/>
      <c r="X105" s="2"/>
      <c r="Y105" s="2"/>
      <c r="Z105" s="2"/>
    </row>
    <row r="106" spans="1:26" ht="15.75" customHeight="1" x14ac:dyDescent="0.2">
      <c r="A106" s="2"/>
      <c r="B106" s="9"/>
      <c r="C106" s="2"/>
      <c r="D106" s="8"/>
      <c r="E106" s="2"/>
      <c r="F106" s="2"/>
      <c r="G106" s="10"/>
      <c r="H106" s="1"/>
      <c r="I106" s="2"/>
      <c r="J106" s="2"/>
      <c r="K106" s="2"/>
      <c r="L106" s="2"/>
      <c r="M106" s="2"/>
      <c r="N106" s="2"/>
      <c r="O106" s="2"/>
      <c r="P106" s="2"/>
      <c r="Q106" s="2"/>
      <c r="R106" s="18"/>
      <c r="S106" s="18"/>
      <c r="T106" s="2"/>
      <c r="U106" s="2"/>
      <c r="V106" s="2"/>
      <c r="W106" s="2"/>
      <c r="X106" s="2"/>
      <c r="Y106" s="2"/>
      <c r="Z106" s="2"/>
    </row>
    <row r="107" spans="1:26" ht="15.75" customHeight="1" x14ac:dyDescent="0.2">
      <c r="A107" s="2"/>
      <c r="B107" s="9"/>
      <c r="C107" s="2"/>
      <c r="D107" s="8"/>
      <c r="E107" s="2"/>
      <c r="F107" s="2"/>
      <c r="G107" s="10"/>
      <c r="H107" s="1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 x14ac:dyDescent="0.2">
      <c r="A108" s="2"/>
      <c r="B108" s="9"/>
      <c r="C108" s="2"/>
      <c r="D108" s="8"/>
      <c r="E108" s="2"/>
      <c r="F108" s="2"/>
      <c r="G108" s="10"/>
      <c r="H108" s="1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 x14ac:dyDescent="0.2">
      <c r="A109" s="2"/>
      <c r="B109" s="9"/>
      <c r="C109" s="2"/>
      <c r="D109" s="8"/>
      <c r="E109" s="2"/>
      <c r="F109" s="2"/>
      <c r="G109" s="10"/>
      <c r="H109" s="1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 x14ac:dyDescent="0.2">
      <c r="A110" s="2"/>
      <c r="B110" s="9"/>
      <c r="C110" s="2"/>
      <c r="D110" s="8"/>
      <c r="E110" s="2"/>
      <c r="F110" s="2"/>
      <c r="G110" s="10"/>
      <c r="H110" s="1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 x14ac:dyDescent="0.2">
      <c r="A111" s="2"/>
      <c r="B111" s="9"/>
      <c r="C111" s="2"/>
      <c r="D111" s="8"/>
      <c r="E111" s="2"/>
      <c r="F111" s="2"/>
      <c r="G111" s="10"/>
      <c r="H111" s="1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 x14ac:dyDescent="0.2">
      <c r="A112" s="2"/>
      <c r="B112" s="9"/>
      <c r="C112" s="2"/>
      <c r="D112" s="8"/>
      <c r="E112" s="2"/>
      <c r="F112" s="2"/>
      <c r="G112" s="10"/>
      <c r="H112" s="1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 x14ac:dyDescent="0.2">
      <c r="A113" s="2"/>
      <c r="B113" s="9"/>
      <c r="C113" s="2"/>
      <c r="D113" s="8"/>
      <c r="E113" s="2"/>
      <c r="F113" s="2"/>
      <c r="G113" s="10"/>
      <c r="H113" s="1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 x14ac:dyDescent="0.2">
      <c r="A114" s="2"/>
      <c r="B114" s="9"/>
      <c r="C114" s="2"/>
      <c r="D114" s="8"/>
      <c r="E114" s="2"/>
      <c r="F114" s="2"/>
      <c r="G114" s="10"/>
      <c r="H114" s="1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 x14ac:dyDescent="0.2">
      <c r="A115" s="2"/>
      <c r="B115" s="9"/>
      <c r="C115" s="2"/>
      <c r="D115" s="8"/>
      <c r="E115" s="2"/>
      <c r="F115" s="2"/>
      <c r="G115" s="10"/>
      <c r="H115" s="1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 x14ac:dyDescent="0.2">
      <c r="A116" s="2"/>
      <c r="B116" s="9"/>
      <c r="C116" s="2"/>
      <c r="D116" s="8"/>
      <c r="E116" s="2"/>
      <c r="F116" s="2"/>
      <c r="G116" s="10"/>
      <c r="H116" s="1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 x14ac:dyDescent="0.2">
      <c r="A117" s="2"/>
      <c r="B117" s="9"/>
      <c r="C117" s="2"/>
      <c r="D117" s="8"/>
      <c r="E117" s="2"/>
      <c r="F117" s="2"/>
      <c r="G117" s="10"/>
      <c r="H117" s="1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 x14ac:dyDescent="0.2">
      <c r="A118" s="2"/>
      <c r="B118" s="9"/>
      <c r="C118" s="2"/>
      <c r="D118" s="8"/>
      <c r="E118" s="2"/>
      <c r="F118" s="2"/>
      <c r="G118" s="10"/>
      <c r="H118" s="1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 x14ac:dyDescent="0.2">
      <c r="A119" s="2"/>
      <c r="B119" s="9"/>
      <c r="C119" s="2"/>
      <c r="D119" s="8"/>
      <c r="E119" s="2"/>
      <c r="F119" s="2"/>
      <c r="G119" s="10"/>
      <c r="H119" s="1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 x14ac:dyDescent="0.2">
      <c r="A120" s="2"/>
      <c r="B120" s="9"/>
      <c r="C120" s="2"/>
      <c r="D120" s="8"/>
      <c r="E120" s="2"/>
      <c r="F120" s="2"/>
      <c r="G120" s="10"/>
      <c r="H120" s="1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 x14ac:dyDescent="0.2">
      <c r="A121" s="2"/>
      <c r="B121" s="9"/>
      <c r="C121" s="2"/>
      <c r="D121" s="8"/>
      <c r="E121" s="2"/>
      <c r="F121" s="2"/>
      <c r="G121" s="10"/>
      <c r="H121" s="1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 x14ac:dyDescent="0.2">
      <c r="A122" s="2"/>
      <c r="B122" s="9"/>
      <c r="C122" s="2"/>
      <c r="D122" s="8"/>
      <c r="E122" s="2"/>
      <c r="F122" s="2"/>
      <c r="G122" s="10"/>
      <c r="H122" s="1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 x14ac:dyDescent="0.2">
      <c r="A123" s="2"/>
      <c r="B123" s="9"/>
      <c r="C123" s="2"/>
      <c r="D123" s="8"/>
      <c r="E123" s="2"/>
      <c r="F123" s="2"/>
      <c r="G123" s="10"/>
      <c r="H123" s="1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 x14ac:dyDescent="0.2">
      <c r="A124" s="2"/>
      <c r="B124" s="9"/>
      <c r="C124" s="2"/>
      <c r="D124" s="8"/>
      <c r="E124" s="2"/>
      <c r="F124" s="2"/>
      <c r="G124" s="10"/>
      <c r="H124" s="1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 x14ac:dyDescent="0.2">
      <c r="A125" s="2"/>
      <c r="B125" s="9"/>
      <c r="C125" s="2"/>
      <c r="D125" s="8"/>
      <c r="E125" s="2"/>
      <c r="F125" s="2"/>
      <c r="G125" s="10"/>
      <c r="H125" s="1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 x14ac:dyDescent="0.2">
      <c r="A126" s="2"/>
      <c r="B126" s="9"/>
      <c r="C126" s="2"/>
      <c r="D126" s="8"/>
      <c r="E126" s="2"/>
      <c r="F126" s="2"/>
      <c r="G126" s="10"/>
      <c r="H126" s="1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 x14ac:dyDescent="0.2">
      <c r="A127" s="2"/>
      <c r="B127" s="9"/>
      <c r="C127" s="2"/>
      <c r="D127" s="8"/>
      <c r="E127" s="2"/>
      <c r="F127" s="2"/>
      <c r="G127" s="10"/>
      <c r="H127" s="1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 x14ac:dyDescent="0.2">
      <c r="A128" s="2"/>
      <c r="B128" s="9"/>
      <c r="C128" s="2"/>
      <c r="D128" s="8"/>
      <c r="E128" s="2"/>
      <c r="F128" s="2"/>
      <c r="G128" s="10"/>
      <c r="H128" s="1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 x14ac:dyDescent="0.2">
      <c r="A129" s="2"/>
      <c r="B129" s="9"/>
      <c r="C129" s="2"/>
      <c r="D129" s="8"/>
      <c r="E129" s="2"/>
      <c r="F129" s="2"/>
      <c r="G129" s="10"/>
      <c r="H129" s="1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 x14ac:dyDescent="0.2">
      <c r="A130" s="2"/>
      <c r="B130" s="9"/>
      <c r="C130" s="2"/>
      <c r="D130" s="8"/>
      <c r="E130" s="2"/>
      <c r="F130" s="2"/>
      <c r="G130" s="10"/>
      <c r="H130" s="1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 x14ac:dyDescent="0.2">
      <c r="A131" s="2"/>
      <c r="B131" s="9"/>
      <c r="C131" s="2"/>
      <c r="D131" s="8"/>
      <c r="E131" s="2"/>
      <c r="F131" s="2"/>
      <c r="G131" s="10"/>
      <c r="H131" s="19"/>
      <c r="I131" s="18"/>
      <c r="J131" s="18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18"/>
      <c r="V131" s="18"/>
      <c r="W131" s="18"/>
      <c r="X131" s="18"/>
      <c r="Y131" s="18"/>
      <c r="Z131" s="18"/>
    </row>
    <row r="132" spans="1:26" ht="15.75" customHeight="1" x14ac:dyDescent="0.2">
      <c r="A132" s="2"/>
      <c r="B132" s="9"/>
      <c r="C132" s="2"/>
      <c r="D132" s="8"/>
      <c r="E132" s="2"/>
      <c r="F132" s="2"/>
      <c r="G132" s="10"/>
      <c r="H132" s="1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18"/>
      <c r="U132" s="2"/>
      <c r="V132" s="2"/>
      <c r="W132" s="2"/>
      <c r="X132" s="2"/>
      <c r="Y132" s="2"/>
      <c r="Z132" s="2"/>
    </row>
    <row r="133" spans="1:26" ht="15.75" customHeight="1" x14ac:dyDescent="0.2">
      <c r="A133" s="2"/>
      <c r="B133" s="9"/>
      <c r="C133" s="2"/>
      <c r="D133" s="8"/>
      <c r="E133" s="2"/>
      <c r="F133" s="2"/>
      <c r="G133" s="10"/>
      <c r="H133" s="1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 x14ac:dyDescent="0.2">
      <c r="A134" s="2"/>
      <c r="B134" s="9"/>
      <c r="C134" s="2"/>
      <c r="D134" s="8"/>
      <c r="E134" s="2"/>
      <c r="F134" s="2"/>
      <c r="G134" s="10"/>
      <c r="H134" s="1"/>
      <c r="I134" s="2"/>
      <c r="J134" s="2"/>
      <c r="K134" s="18"/>
      <c r="L134" s="18"/>
      <c r="M134" s="18"/>
      <c r="N134" s="18"/>
      <c r="O134" s="18"/>
      <c r="P134" s="18"/>
      <c r="Q134" s="18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 x14ac:dyDescent="0.2">
      <c r="A135" s="2"/>
      <c r="B135" s="9"/>
      <c r="C135" s="2"/>
      <c r="D135" s="8"/>
      <c r="E135" s="2"/>
      <c r="F135" s="2"/>
      <c r="G135" s="10"/>
      <c r="H135" s="19"/>
      <c r="I135" s="18"/>
      <c r="J135" s="18"/>
      <c r="K135" s="2"/>
      <c r="L135" s="2"/>
      <c r="M135" s="2"/>
      <c r="N135" s="2"/>
      <c r="O135" s="2"/>
      <c r="P135" s="2"/>
      <c r="Q135" s="2"/>
      <c r="R135" s="18"/>
      <c r="S135" s="18"/>
      <c r="T135" s="2"/>
      <c r="U135" s="18"/>
      <c r="V135" s="18"/>
      <c r="W135" s="18"/>
      <c r="X135" s="18"/>
      <c r="Y135" s="18"/>
      <c r="Z135" s="18"/>
    </row>
    <row r="136" spans="1:26" ht="15.75" customHeight="1" x14ac:dyDescent="0.2">
      <c r="A136" s="2"/>
      <c r="B136" s="9"/>
      <c r="C136" s="2"/>
      <c r="D136" s="8"/>
      <c r="E136" s="2"/>
      <c r="F136" s="2"/>
      <c r="G136" s="10"/>
      <c r="H136" s="19"/>
      <c r="I136" s="18"/>
      <c r="J136" s="18"/>
      <c r="K136" s="2"/>
      <c r="L136" s="2"/>
      <c r="M136" s="2"/>
      <c r="N136" s="2"/>
      <c r="O136" s="2"/>
      <c r="P136" s="2"/>
      <c r="Q136" s="2"/>
      <c r="R136" s="2"/>
      <c r="S136" s="2"/>
      <c r="T136" s="18"/>
      <c r="U136" s="18"/>
      <c r="V136" s="18"/>
      <c r="W136" s="18"/>
      <c r="X136" s="18"/>
      <c r="Y136" s="18"/>
      <c r="Z136" s="18"/>
    </row>
    <row r="137" spans="1:26" ht="15.75" customHeight="1" x14ac:dyDescent="0.2">
      <c r="A137" s="2"/>
      <c r="B137" s="9"/>
      <c r="C137" s="2"/>
      <c r="D137" s="8"/>
      <c r="E137" s="2"/>
      <c r="F137" s="2"/>
      <c r="G137" s="10"/>
      <c r="H137" s="19"/>
      <c r="I137" s="18"/>
      <c r="J137" s="18"/>
      <c r="K137" s="2"/>
      <c r="L137" s="2"/>
      <c r="M137" s="2"/>
      <c r="N137" s="2"/>
      <c r="O137" s="2"/>
      <c r="P137" s="2"/>
      <c r="Q137" s="2"/>
      <c r="R137" s="2"/>
      <c r="S137" s="2"/>
      <c r="T137" s="18"/>
      <c r="U137" s="18"/>
      <c r="V137" s="18"/>
      <c r="W137" s="18"/>
      <c r="X137" s="18"/>
      <c r="Y137" s="18"/>
      <c r="Z137" s="18"/>
    </row>
    <row r="138" spans="1:26" ht="15.75" customHeight="1" x14ac:dyDescent="0.2">
      <c r="A138" s="2"/>
      <c r="B138" s="9"/>
      <c r="C138" s="2"/>
      <c r="D138" s="8"/>
      <c r="E138" s="2"/>
      <c r="F138" s="2"/>
      <c r="G138" s="10"/>
      <c r="H138" s="1"/>
      <c r="I138" s="2"/>
      <c r="J138" s="2"/>
      <c r="K138" s="18"/>
      <c r="L138" s="18"/>
      <c r="M138" s="18"/>
      <c r="N138" s="18"/>
      <c r="O138" s="18"/>
      <c r="P138" s="18"/>
      <c r="Q138" s="18"/>
      <c r="R138" s="2"/>
      <c r="S138" s="2"/>
      <c r="T138" s="18"/>
      <c r="U138" s="2"/>
      <c r="V138" s="2"/>
      <c r="W138" s="2"/>
      <c r="X138" s="2"/>
      <c r="Y138" s="2"/>
      <c r="Z138" s="2"/>
    </row>
    <row r="139" spans="1:26" ht="15.75" customHeight="1" x14ac:dyDescent="0.2">
      <c r="A139" s="2"/>
      <c r="B139" s="9"/>
      <c r="C139" s="2"/>
      <c r="D139" s="8"/>
      <c r="E139" s="2"/>
      <c r="F139" s="2"/>
      <c r="G139" s="10"/>
      <c r="H139" s="1"/>
      <c r="I139" s="2"/>
      <c r="J139" s="2"/>
      <c r="K139" s="18"/>
      <c r="L139" s="18"/>
      <c r="M139" s="18"/>
      <c r="N139" s="18"/>
      <c r="O139" s="18"/>
      <c r="P139" s="18"/>
      <c r="Q139" s="18"/>
      <c r="R139" s="18"/>
      <c r="S139" s="18"/>
      <c r="T139" s="2"/>
      <c r="U139" s="2"/>
      <c r="V139" s="2"/>
      <c r="W139" s="2"/>
      <c r="X139" s="2"/>
      <c r="Y139" s="2"/>
      <c r="Z139" s="2"/>
    </row>
    <row r="140" spans="1:26" ht="15.75" customHeight="1" x14ac:dyDescent="0.2">
      <c r="A140" s="2"/>
      <c r="B140" s="9"/>
      <c r="C140" s="2"/>
      <c r="D140" s="8"/>
      <c r="E140" s="2"/>
      <c r="F140" s="2"/>
      <c r="G140" s="10"/>
      <c r="H140" s="1"/>
      <c r="I140" s="2"/>
      <c r="J140" s="2"/>
      <c r="K140" s="18"/>
      <c r="L140" s="18"/>
      <c r="M140" s="18"/>
      <c r="N140" s="18"/>
      <c r="O140" s="18"/>
      <c r="P140" s="18"/>
      <c r="Q140" s="18"/>
      <c r="R140" s="18"/>
      <c r="S140" s="18"/>
      <c r="T140" s="2"/>
      <c r="U140" s="2"/>
      <c r="V140" s="2"/>
      <c r="W140" s="2"/>
      <c r="X140" s="2"/>
      <c r="Y140" s="2"/>
      <c r="Z140" s="2"/>
    </row>
    <row r="141" spans="1:26" ht="15.75" customHeight="1" x14ac:dyDescent="0.2">
      <c r="A141" s="2"/>
      <c r="B141" s="9"/>
      <c r="C141" s="2"/>
      <c r="D141" s="8"/>
      <c r="E141" s="2"/>
      <c r="F141" s="2"/>
      <c r="G141" s="10"/>
      <c r="H141" s="1"/>
      <c r="I141" s="2"/>
      <c r="J141" s="2"/>
      <c r="K141" s="2"/>
      <c r="L141" s="2"/>
      <c r="M141" s="2"/>
      <c r="N141" s="2"/>
      <c r="O141" s="2"/>
      <c r="P141" s="2"/>
      <c r="Q141" s="2"/>
      <c r="R141" s="18"/>
      <c r="S141" s="18"/>
      <c r="T141" s="2"/>
      <c r="U141" s="2"/>
      <c r="V141" s="2"/>
      <c r="W141" s="2"/>
      <c r="X141" s="2"/>
      <c r="Y141" s="2"/>
      <c r="Z141" s="2"/>
    </row>
    <row r="142" spans="1:26" ht="15.75" customHeight="1" x14ac:dyDescent="0.2">
      <c r="A142" s="2"/>
      <c r="B142" s="9"/>
      <c r="C142" s="2"/>
      <c r="D142" s="8"/>
      <c r="E142" s="2"/>
      <c r="F142" s="2"/>
      <c r="G142" s="10"/>
      <c r="H142" s="1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 x14ac:dyDescent="0.2">
      <c r="A143" s="2"/>
      <c r="B143" s="9"/>
      <c r="C143" s="2"/>
      <c r="D143" s="8"/>
      <c r="E143" s="2"/>
      <c r="F143" s="2"/>
      <c r="G143" s="10"/>
      <c r="H143" s="1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 x14ac:dyDescent="0.2">
      <c r="A144" s="2"/>
      <c r="B144" s="9"/>
      <c r="C144" s="2"/>
      <c r="D144" s="8"/>
      <c r="E144" s="2"/>
      <c r="F144" s="2"/>
      <c r="G144" s="10"/>
      <c r="H144" s="1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 x14ac:dyDescent="0.2">
      <c r="A145" s="2"/>
      <c r="B145" s="9"/>
      <c r="C145" s="2"/>
      <c r="D145" s="8"/>
      <c r="E145" s="2"/>
      <c r="F145" s="2"/>
      <c r="G145" s="10"/>
      <c r="H145" s="1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 x14ac:dyDescent="0.2">
      <c r="A146" s="2"/>
      <c r="B146" s="9"/>
      <c r="C146" s="2"/>
      <c r="D146" s="8"/>
      <c r="E146" s="2"/>
      <c r="F146" s="2"/>
      <c r="G146" s="10"/>
      <c r="H146" s="1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 x14ac:dyDescent="0.2">
      <c r="A147" s="2"/>
      <c r="B147" s="9"/>
      <c r="C147" s="2"/>
      <c r="D147" s="8"/>
      <c r="E147" s="2"/>
      <c r="F147" s="2"/>
      <c r="G147" s="10"/>
      <c r="H147" s="1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 x14ac:dyDescent="0.2">
      <c r="A148" s="2"/>
      <c r="B148" s="9"/>
      <c r="C148" s="2"/>
      <c r="D148" s="8"/>
      <c r="E148" s="2"/>
      <c r="F148" s="2"/>
      <c r="G148" s="10"/>
      <c r="H148" s="1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 x14ac:dyDescent="0.2">
      <c r="A149" s="2"/>
      <c r="B149" s="9"/>
      <c r="C149" s="2"/>
      <c r="D149" s="8"/>
      <c r="E149" s="2"/>
      <c r="F149" s="2"/>
      <c r="G149" s="10"/>
      <c r="H149" s="1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 x14ac:dyDescent="0.2">
      <c r="A150" s="2"/>
      <c r="B150" s="9"/>
      <c r="C150" s="2"/>
      <c r="D150" s="8"/>
      <c r="E150" s="2"/>
      <c r="F150" s="2"/>
      <c r="G150" s="10"/>
      <c r="H150" s="1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 x14ac:dyDescent="0.2">
      <c r="A151" s="2"/>
      <c r="B151" s="9"/>
      <c r="C151" s="2"/>
      <c r="D151" s="8"/>
      <c r="E151" s="8"/>
      <c r="F151" s="2"/>
      <c r="G151" s="10"/>
      <c r="H151" s="1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 x14ac:dyDescent="0.2">
      <c r="A152" s="2"/>
      <c r="B152" s="9"/>
      <c r="C152" s="2"/>
      <c r="D152" s="8"/>
      <c r="E152" s="8"/>
      <c r="F152" s="2"/>
      <c r="G152" s="10"/>
      <c r="H152" s="1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 x14ac:dyDescent="0.2">
      <c r="A153" s="2"/>
      <c r="B153" s="9"/>
      <c r="C153" s="2"/>
      <c r="D153" s="8"/>
      <c r="E153" s="8"/>
      <c r="F153" s="2"/>
      <c r="G153" s="10"/>
      <c r="H153" s="1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 x14ac:dyDescent="0.2">
      <c r="A154" s="2"/>
      <c r="B154" s="9"/>
      <c r="C154" s="2"/>
      <c r="D154" s="8"/>
      <c r="E154" s="8"/>
      <c r="F154" s="2"/>
      <c r="G154" s="10"/>
      <c r="H154" s="1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 x14ac:dyDescent="0.2">
      <c r="A155" s="2"/>
      <c r="B155" s="9"/>
      <c r="C155" s="2"/>
      <c r="D155" s="8"/>
      <c r="E155" s="8"/>
      <c r="F155" s="2"/>
      <c r="G155" s="10"/>
      <c r="H155" s="1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 x14ac:dyDescent="0.2">
      <c r="A156" s="2"/>
      <c r="B156" s="9"/>
      <c r="C156" s="2"/>
      <c r="D156" s="8"/>
      <c r="E156" s="8"/>
      <c r="F156" s="2"/>
      <c r="G156" s="10"/>
      <c r="H156" s="1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 x14ac:dyDescent="0.2">
      <c r="A157" s="2"/>
      <c r="B157" s="9"/>
      <c r="C157" s="2"/>
      <c r="D157" s="8"/>
      <c r="E157" s="8"/>
      <c r="F157" s="2"/>
      <c r="G157" s="10"/>
      <c r="H157" s="1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 x14ac:dyDescent="0.2">
      <c r="A158" s="2"/>
      <c r="B158" s="9"/>
      <c r="C158" s="2"/>
      <c r="D158" s="8"/>
      <c r="E158" s="8"/>
      <c r="F158" s="2"/>
      <c r="G158" s="10"/>
      <c r="H158" s="1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 x14ac:dyDescent="0.2">
      <c r="A159" s="2"/>
      <c r="B159" s="9"/>
      <c r="C159" s="2"/>
      <c r="D159" s="8"/>
      <c r="E159" s="8"/>
      <c r="F159" s="2"/>
      <c r="G159" s="10"/>
      <c r="H159" s="1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 x14ac:dyDescent="0.2">
      <c r="A160" s="2"/>
      <c r="B160" s="9"/>
      <c r="C160" s="2"/>
      <c r="D160" s="8"/>
      <c r="E160" s="8"/>
      <c r="F160" s="2"/>
      <c r="G160" s="10"/>
      <c r="H160" s="1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 x14ac:dyDescent="0.2">
      <c r="A161" s="2"/>
      <c r="B161" s="9"/>
      <c r="C161" s="2"/>
      <c r="D161" s="8"/>
      <c r="E161" s="8"/>
      <c r="F161" s="2"/>
      <c r="G161" s="10"/>
      <c r="H161" s="1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 x14ac:dyDescent="0.2">
      <c r="A162" s="2"/>
      <c r="B162" s="9"/>
      <c r="C162" s="2"/>
      <c r="D162" s="8"/>
      <c r="E162" s="8"/>
      <c r="F162" s="2"/>
      <c r="G162" s="10"/>
      <c r="H162" s="1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 x14ac:dyDescent="0.2">
      <c r="A163" s="2"/>
      <c r="B163" s="9"/>
      <c r="C163" s="2"/>
      <c r="D163" s="8"/>
      <c r="E163" s="8"/>
      <c r="F163" s="2"/>
      <c r="G163" s="10"/>
      <c r="H163" s="1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 x14ac:dyDescent="0.2">
      <c r="A164" s="2"/>
      <c r="B164" s="9"/>
      <c r="C164" s="2"/>
      <c r="D164" s="8"/>
      <c r="E164" s="8"/>
      <c r="F164" s="2"/>
      <c r="G164" s="10"/>
      <c r="H164" s="1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 x14ac:dyDescent="0.2">
      <c r="A165" s="2"/>
      <c r="B165" s="9"/>
      <c r="C165" s="2"/>
      <c r="D165" s="8"/>
      <c r="E165" s="8"/>
      <c r="F165" s="2"/>
      <c r="G165" s="10"/>
      <c r="H165" s="1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 x14ac:dyDescent="0.2">
      <c r="A166" s="2"/>
      <c r="B166" s="9"/>
      <c r="C166" s="2"/>
      <c r="D166" s="8"/>
      <c r="E166" s="8"/>
      <c r="F166" s="2"/>
      <c r="G166" s="10"/>
      <c r="H166" s="1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 x14ac:dyDescent="0.2">
      <c r="A167" s="2"/>
      <c r="B167" s="9"/>
      <c r="C167" s="2"/>
      <c r="D167" s="8"/>
      <c r="E167" s="8"/>
      <c r="F167" s="2"/>
      <c r="G167" s="10"/>
      <c r="H167" s="1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 x14ac:dyDescent="0.2">
      <c r="A168" s="2"/>
      <c r="B168" s="9"/>
      <c r="C168" s="2"/>
      <c r="D168" s="8"/>
      <c r="E168" s="8"/>
      <c r="F168" s="2"/>
      <c r="G168" s="10"/>
      <c r="H168" s="1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 x14ac:dyDescent="0.2">
      <c r="A169" s="2"/>
      <c r="B169" s="9"/>
      <c r="C169" s="2"/>
      <c r="D169" s="8"/>
      <c r="E169" s="8"/>
      <c r="F169" s="2"/>
      <c r="G169" s="10"/>
      <c r="H169" s="1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 x14ac:dyDescent="0.2">
      <c r="A170" s="2"/>
      <c r="B170" s="9"/>
      <c r="C170" s="2"/>
      <c r="D170" s="8"/>
      <c r="E170" s="8"/>
      <c r="F170" s="2"/>
      <c r="G170" s="10"/>
      <c r="H170" s="1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 x14ac:dyDescent="0.2">
      <c r="A171" s="2"/>
      <c r="B171" s="9"/>
      <c r="C171" s="2"/>
      <c r="D171" s="8"/>
      <c r="E171" s="8"/>
      <c r="F171" s="2"/>
      <c r="G171" s="10"/>
      <c r="H171" s="1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 x14ac:dyDescent="0.2">
      <c r="A172" s="2"/>
      <c r="B172" s="9"/>
      <c r="C172" s="2"/>
      <c r="D172" s="8"/>
      <c r="E172" s="8"/>
      <c r="F172" s="2"/>
      <c r="G172" s="10"/>
      <c r="H172" s="1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 x14ac:dyDescent="0.2">
      <c r="A173" s="2"/>
      <c r="B173" s="9"/>
      <c r="C173" s="2"/>
      <c r="D173" s="8"/>
      <c r="E173" s="8"/>
      <c r="F173" s="2"/>
      <c r="G173" s="10"/>
      <c r="H173" s="1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 x14ac:dyDescent="0.2">
      <c r="A174" s="2"/>
      <c r="B174" s="9"/>
      <c r="C174" s="2"/>
      <c r="D174" s="8"/>
      <c r="E174" s="8"/>
      <c r="F174" s="2"/>
      <c r="G174" s="10"/>
      <c r="H174" s="1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 x14ac:dyDescent="0.2">
      <c r="A175" s="2"/>
      <c r="B175" s="9"/>
      <c r="C175" s="2"/>
      <c r="D175" s="8"/>
      <c r="E175" s="8"/>
      <c r="F175" s="2"/>
      <c r="G175" s="10"/>
      <c r="H175" s="1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 x14ac:dyDescent="0.2">
      <c r="A176" s="2"/>
      <c r="B176" s="9"/>
      <c r="C176" s="2"/>
      <c r="D176" s="8"/>
      <c r="E176" s="8"/>
      <c r="F176" s="2"/>
      <c r="G176" s="10"/>
      <c r="H176" s="19"/>
      <c r="I176" s="18"/>
      <c r="J176" s="18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18"/>
      <c r="V176" s="18"/>
      <c r="W176" s="18"/>
      <c r="X176" s="18"/>
      <c r="Y176" s="18"/>
      <c r="Z176" s="18"/>
    </row>
    <row r="177" spans="1:26" ht="15.75" customHeight="1" x14ac:dyDescent="0.2">
      <c r="A177" s="2"/>
      <c r="B177" s="9"/>
      <c r="C177" s="2"/>
      <c r="D177" s="8"/>
      <c r="E177" s="8"/>
      <c r="F177" s="2"/>
      <c r="G177" s="10"/>
      <c r="H177" s="19"/>
      <c r="I177" s="18"/>
      <c r="J177" s="18"/>
      <c r="K177" s="2"/>
      <c r="L177" s="2"/>
      <c r="M177" s="2"/>
      <c r="N177" s="2"/>
      <c r="O177" s="2"/>
      <c r="P177" s="2"/>
      <c r="Q177" s="2"/>
      <c r="R177" s="2"/>
      <c r="S177" s="2"/>
      <c r="T177" s="18"/>
      <c r="U177" s="18"/>
      <c r="V177" s="18"/>
      <c r="W177" s="18"/>
      <c r="X177" s="18"/>
      <c r="Y177" s="18"/>
      <c r="Z177" s="18"/>
    </row>
    <row r="178" spans="1:26" ht="15.75" customHeight="1" x14ac:dyDescent="0.2">
      <c r="A178" s="2"/>
      <c r="B178" s="9"/>
      <c r="C178" s="2"/>
      <c r="D178" s="8"/>
      <c r="E178" s="8"/>
      <c r="F178" s="2"/>
      <c r="G178" s="10"/>
      <c r="H178" s="19"/>
      <c r="I178" s="18"/>
      <c r="J178" s="18"/>
      <c r="K178" s="2"/>
      <c r="L178" s="2"/>
      <c r="M178" s="2"/>
      <c r="N178" s="2"/>
      <c r="O178" s="2"/>
      <c r="P178" s="2"/>
      <c r="Q178" s="2"/>
      <c r="R178" s="2"/>
      <c r="S178" s="2"/>
      <c r="T178" s="18"/>
      <c r="U178" s="18"/>
      <c r="V178" s="18"/>
      <c r="W178" s="18"/>
      <c r="X178" s="18"/>
      <c r="Y178" s="18"/>
      <c r="Z178" s="18"/>
    </row>
    <row r="179" spans="1:26" ht="15.75" customHeight="1" x14ac:dyDescent="0.2">
      <c r="A179" s="2"/>
      <c r="B179" s="9"/>
      <c r="C179" s="2"/>
      <c r="D179" s="8"/>
      <c r="E179" s="8"/>
      <c r="F179" s="2"/>
      <c r="G179" s="10"/>
      <c r="H179" s="19"/>
      <c r="I179" s="18"/>
      <c r="J179" s="18"/>
      <c r="K179" s="18"/>
      <c r="L179" s="18"/>
      <c r="M179" s="18"/>
      <c r="N179" s="18"/>
      <c r="O179" s="18"/>
      <c r="P179" s="18"/>
      <c r="Q179" s="18"/>
      <c r="R179" s="2"/>
      <c r="S179" s="2"/>
      <c r="T179" s="18"/>
      <c r="U179" s="18"/>
      <c r="V179" s="18"/>
      <c r="W179" s="18"/>
      <c r="X179" s="18"/>
      <c r="Y179" s="18"/>
      <c r="Z179" s="18"/>
    </row>
    <row r="180" spans="1:26" ht="15.75" customHeight="1" x14ac:dyDescent="0.2">
      <c r="A180" s="2"/>
      <c r="B180" s="9"/>
      <c r="C180" s="2"/>
      <c r="D180" s="8"/>
      <c r="E180" s="8"/>
      <c r="F180" s="2"/>
      <c r="G180" s="10"/>
      <c r="H180" s="1"/>
      <c r="I180" s="2"/>
      <c r="J180" s="2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2"/>
      <c r="V180" s="2"/>
      <c r="W180" s="2"/>
      <c r="X180" s="2"/>
      <c r="Y180" s="2"/>
      <c r="Z180" s="2"/>
    </row>
    <row r="181" spans="1:26" ht="15.75" customHeight="1" x14ac:dyDescent="0.2">
      <c r="A181" s="2"/>
      <c r="B181" s="9"/>
      <c r="C181" s="2"/>
      <c r="D181" s="8"/>
      <c r="E181" s="8"/>
      <c r="F181" s="2"/>
      <c r="G181" s="10"/>
      <c r="H181" s="1"/>
      <c r="I181" s="2"/>
      <c r="J181" s="2"/>
      <c r="K181" s="18"/>
      <c r="L181" s="18"/>
      <c r="M181" s="18"/>
      <c r="N181" s="18"/>
      <c r="O181" s="18"/>
      <c r="P181" s="18"/>
      <c r="Q181" s="18"/>
      <c r="R181" s="18"/>
      <c r="S181" s="18"/>
      <c r="T181" s="2"/>
      <c r="U181" s="2"/>
      <c r="V181" s="2"/>
      <c r="W181" s="2"/>
      <c r="X181" s="2"/>
      <c r="Y181" s="2"/>
      <c r="Z181" s="2"/>
    </row>
    <row r="182" spans="1:26" ht="15.75" customHeight="1" x14ac:dyDescent="0.2">
      <c r="A182" s="2"/>
      <c r="B182" s="9"/>
      <c r="C182" s="2"/>
      <c r="D182" s="8"/>
      <c r="E182" s="8"/>
      <c r="F182" s="2"/>
      <c r="G182" s="10"/>
      <c r="H182" s="1"/>
      <c r="I182" s="2"/>
      <c r="J182" s="2"/>
      <c r="K182" s="18"/>
      <c r="L182" s="18"/>
      <c r="M182" s="18"/>
      <c r="N182" s="18"/>
      <c r="O182" s="18"/>
      <c r="P182" s="18"/>
      <c r="Q182" s="18"/>
      <c r="R182" s="18"/>
      <c r="S182" s="18"/>
      <c r="T182" s="2"/>
      <c r="U182" s="2"/>
      <c r="V182" s="2"/>
      <c r="W182" s="2"/>
      <c r="X182" s="2"/>
      <c r="Y182" s="2"/>
      <c r="Z182" s="2"/>
    </row>
    <row r="183" spans="1:26" ht="15.75" customHeight="1" x14ac:dyDescent="0.2">
      <c r="A183" s="2"/>
      <c r="B183" s="9"/>
      <c r="C183" s="2"/>
      <c r="D183" s="8"/>
      <c r="E183" s="8"/>
      <c r="F183" s="2"/>
      <c r="G183" s="10"/>
      <c r="H183" s="1"/>
      <c r="I183" s="2"/>
      <c r="J183" s="2"/>
      <c r="K183" s="2"/>
      <c r="L183" s="2"/>
      <c r="M183" s="2"/>
      <c r="N183" s="2"/>
      <c r="O183" s="2"/>
      <c r="P183" s="2"/>
      <c r="Q183" s="2"/>
      <c r="R183" s="18"/>
      <c r="S183" s="18"/>
      <c r="T183" s="2"/>
      <c r="U183" s="2"/>
      <c r="V183" s="2"/>
      <c r="W183" s="2"/>
      <c r="X183" s="2"/>
      <c r="Y183" s="2"/>
      <c r="Z183" s="2"/>
    </row>
    <row r="184" spans="1:26" ht="15.75" customHeight="1" x14ac:dyDescent="0.2">
      <c r="A184" s="2"/>
      <c r="B184" s="9"/>
      <c r="C184" s="2"/>
      <c r="D184" s="8"/>
      <c r="E184" s="8"/>
      <c r="F184" s="2"/>
      <c r="G184" s="10"/>
      <c r="H184" s="1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 x14ac:dyDescent="0.2">
      <c r="A185" s="2"/>
      <c r="B185" s="9"/>
      <c r="C185" s="2"/>
      <c r="D185" s="8"/>
      <c r="E185" s="8"/>
      <c r="F185" s="2"/>
      <c r="G185" s="10"/>
      <c r="H185" s="1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 x14ac:dyDescent="0.2">
      <c r="A186" s="2"/>
      <c r="B186" s="9"/>
      <c r="C186" s="2"/>
      <c r="D186" s="8"/>
      <c r="E186" s="8"/>
      <c r="F186" s="2"/>
      <c r="G186" s="10"/>
      <c r="H186" s="1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 x14ac:dyDescent="0.2">
      <c r="A187" s="2"/>
      <c r="B187" s="9"/>
      <c r="C187" s="2"/>
      <c r="D187" s="8"/>
      <c r="E187" s="8"/>
      <c r="F187" s="2"/>
      <c r="G187" s="10"/>
      <c r="H187" s="1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 x14ac:dyDescent="0.2">
      <c r="A188" s="2"/>
      <c r="B188" s="9"/>
      <c r="C188" s="2"/>
      <c r="D188" s="8"/>
      <c r="E188" s="8"/>
      <c r="F188" s="2"/>
      <c r="G188" s="10"/>
      <c r="H188" s="1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 x14ac:dyDescent="0.2">
      <c r="A189" s="2"/>
      <c r="B189" s="9"/>
      <c r="C189" s="2"/>
      <c r="D189" s="8"/>
      <c r="E189" s="8"/>
      <c r="F189" s="2"/>
      <c r="G189" s="10"/>
      <c r="H189" s="1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 x14ac:dyDescent="0.2">
      <c r="A190" s="2"/>
      <c r="B190" s="9"/>
      <c r="C190" s="2"/>
      <c r="D190" s="8"/>
      <c r="E190" s="8"/>
      <c r="F190" s="2"/>
      <c r="G190" s="10"/>
      <c r="H190" s="1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 x14ac:dyDescent="0.2">
      <c r="A191" s="2"/>
      <c r="B191" s="9"/>
      <c r="C191" s="2"/>
      <c r="D191" s="8"/>
      <c r="E191" s="8"/>
      <c r="F191" s="2"/>
      <c r="G191" s="10"/>
      <c r="H191" s="1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 x14ac:dyDescent="0.2">
      <c r="A192" s="2"/>
      <c r="B192" s="9"/>
      <c r="C192" s="2"/>
      <c r="D192" s="8"/>
      <c r="E192" s="8"/>
      <c r="F192" s="2"/>
      <c r="G192" s="10"/>
      <c r="H192" s="1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 x14ac:dyDescent="0.2">
      <c r="A193" s="2"/>
      <c r="B193" s="9"/>
      <c r="C193" s="2"/>
      <c r="D193" s="8"/>
      <c r="E193" s="8"/>
      <c r="F193" s="2"/>
      <c r="G193" s="24"/>
      <c r="H193" s="25"/>
      <c r="I193" s="21"/>
      <c r="J193" s="21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1"/>
      <c r="V193" s="21"/>
      <c r="W193" s="21"/>
      <c r="X193" s="21"/>
      <c r="Y193" s="21"/>
      <c r="Z193" s="21"/>
    </row>
    <row r="194" spans="1:26" ht="15.75" customHeight="1" x14ac:dyDescent="0.2">
      <c r="A194" s="2"/>
      <c r="B194" s="9"/>
      <c r="C194" s="2"/>
      <c r="D194" s="8"/>
      <c r="E194" s="8"/>
      <c r="F194" s="2"/>
      <c r="G194" s="24"/>
      <c r="H194" s="25"/>
      <c r="I194" s="21"/>
      <c r="J194" s="21"/>
      <c r="K194" s="2"/>
      <c r="L194" s="2"/>
      <c r="M194" s="2"/>
      <c r="N194" s="2"/>
      <c r="O194" s="2"/>
      <c r="P194" s="2"/>
      <c r="Q194" s="2"/>
      <c r="R194" s="2"/>
      <c r="S194" s="2"/>
      <c r="T194" s="21"/>
      <c r="U194" s="21"/>
      <c r="V194" s="21"/>
      <c r="W194" s="21"/>
      <c r="X194" s="21"/>
      <c r="Y194" s="21"/>
      <c r="Z194" s="21"/>
    </row>
    <row r="195" spans="1:26" ht="15.75" customHeight="1" x14ac:dyDescent="0.2">
      <c r="A195" s="2"/>
      <c r="B195" s="9"/>
      <c r="C195" s="2"/>
      <c r="D195" s="8"/>
      <c r="E195" s="8"/>
      <c r="F195" s="2"/>
      <c r="G195" s="10"/>
      <c r="H195" s="1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1"/>
      <c r="U195" s="2"/>
      <c r="V195" s="2"/>
      <c r="W195" s="2"/>
      <c r="X195" s="2"/>
      <c r="Y195" s="2"/>
      <c r="Z195" s="2"/>
    </row>
    <row r="196" spans="1:26" ht="15.75" customHeight="1" x14ac:dyDescent="0.2">
      <c r="A196" s="2"/>
      <c r="B196" s="9"/>
      <c r="C196" s="2"/>
      <c r="D196" s="8"/>
      <c r="E196" s="8"/>
      <c r="F196" s="2"/>
      <c r="G196" s="10"/>
      <c r="H196" s="1"/>
      <c r="I196" s="2"/>
      <c r="J196" s="2"/>
      <c r="K196" s="21"/>
      <c r="L196" s="21"/>
      <c r="M196" s="21"/>
      <c r="N196" s="21"/>
      <c r="O196" s="21"/>
      <c r="P196" s="21"/>
      <c r="Q196" s="21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 x14ac:dyDescent="0.2">
      <c r="A197" s="2"/>
      <c r="B197" s="9"/>
      <c r="C197" s="2"/>
      <c r="D197" s="8"/>
      <c r="E197" s="8"/>
      <c r="F197" s="2"/>
      <c r="G197" s="10"/>
      <c r="H197" s="1"/>
      <c r="I197" s="2"/>
      <c r="J197" s="2"/>
      <c r="K197" s="21"/>
      <c r="L197" s="21"/>
      <c r="M197" s="21"/>
      <c r="N197" s="21"/>
      <c r="O197" s="21"/>
      <c r="P197" s="21"/>
      <c r="Q197" s="21"/>
      <c r="R197" s="21"/>
      <c r="S197" s="21"/>
      <c r="T197" s="2"/>
      <c r="U197" s="2"/>
      <c r="V197" s="2"/>
      <c r="W197" s="2"/>
      <c r="X197" s="2"/>
      <c r="Y197" s="2"/>
      <c r="Z197" s="2"/>
    </row>
    <row r="198" spans="1:26" ht="15.75" customHeight="1" x14ac:dyDescent="0.2">
      <c r="A198" s="2"/>
      <c r="B198" s="9"/>
      <c r="C198" s="2"/>
      <c r="D198" s="8"/>
      <c r="E198" s="8"/>
      <c r="F198" s="2"/>
      <c r="G198" s="10"/>
      <c r="H198" s="1"/>
      <c r="I198" s="2"/>
      <c r="J198" s="2"/>
      <c r="K198" s="2"/>
      <c r="L198" s="2"/>
      <c r="M198" s="2"/>
      <c r="N198" s="2"/>
      <c r="O198" s="2"/>
      <c r="P198" s="2"/>
      <c r="Q198" s="2"/>
      <c r="R198" s="21"/>
      <c r="S198" s="21"/>
      <c r="T198" s="2"/>
      <c r="U198" s="2"/>
      <c r="V198" s="2"/>
      <c r="W198" s="2"/>
      <c r="X198" s="2"/>
      <c r="Y198" s="2"/>
      <c r="Z198" s="2"/>
    </row>
    <row r="199" spans="1:26" ht="15.75" customHeight="1" x14ac:dyDescent="0.2">
      <c r="A199" s="2"/>
      <c r="B199" s="9"/>
      <c r="C199" s="2"/>
      <c r="D199" s="8"/>
      <c r="E199" s="8"/>
      <c r="F199" s="2"/>
      <c r="G199" s="10"/>
      <c r="H199" s="1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 x14ac:dyDescent="0.2">
      <c r="A200" s="2"/>
      <c r="B200" s="9"/>
      <c r="C200" s="2"/>
      <c r="D200" s="8"/>
      <c r="E200" s="8"/>
      <c r="F200" s="2"/>
      <c r="G200" s="10"/>
      <c r="H200" s="1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 x14ac:dyDescent="0.2">
      <c r="A201" s="2"/>
      <c r="B201" s="9"/>
      <c r="C201" s="2"/>
      <c r="D201" s="8"/>
      <c r="E201" s="8"/>
      <c r="F201" s="2"/>
      <c r="G201" s="10"/>
      <c r="H201" s="1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 x14ac:dyDescent="0.2">
      <c r="A202" s="2"/>
      <c r="B202" s="9"/>
      <c r="C202" s="2"/>
      <c r="D202" s="8"/>
      <c r="E202" s="8"/>
      <c r="F202" s="2"/>
      <c r="G202" s="10"/>
      <c r="H202" s="1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 x14ac:dyDescent="0.2">
      <c r="A203" s="2"/>
      <c r="B203" s="9"/>
      <c r="C203" s="2"/>
      <c r="D203" s="8"/>
      <c r="E203" s="8"/>
      <c r="F203" s="2"/>
      <c r="G203" s="10"/>
      <c r="H203" s="1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 x14ac:dyDescent="0.2">
      <c r="A204" s="2"/>
      <c r="B204" s="9"/>
      <c r="C204" s="2"/>
      <c r="D204" s="8"/>
      <c r="E204" s="8"/>
      <c r="F204" s="2"/>
      <c r="G204" s="10"/>
      <c r="H204" s="1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 x14ac:dyDescent="0.2">
      <c r="A205" s="2"/>
      <c r="B205" s="9"/>
      <c r="C205" s="2"/>
      <c r="D205" s="8"/>
      <c r="E205" s="8"/>
      <c r="F205" s="2"/>
      <c r="G205" s="10"/>
      <c r="H205" s="1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 x14ac:dyDescent="0.2">
      <c r="A206" s="2"/>
      <c r="B206" s="9"/>
      <c r="C206" s="2"/>
      <c r="D206" s="8"/>
      <c r="E206" s="8"/>
      <c r="F206" s="2"/>
      <c r="G206" s="10"/>
      <c r="H206" s="1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 x14ac:dyDescent="0.2">
      <c r="A207" s="2"/>
      <c r="B207" s="9"/>
      <c r="C207" s="2"/>
      <c r="D207" s="8"/>
      <c r="E207" s="8"/>
      <c r="F207" s="2"/>
      <c r="G207" s="10"/>
      <c r="H207" s="1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 x14ac:dyDescent="0.2">
      <c r="A208" s="2"/>
      <c r="B208" s="9"/>
      <c r="C208" s="2"/>
      <c r="D208" s="8"/>
      <c r="E208" s="8"/>
      <c r="F208" s="2"/>
      <c r="G208" s="10"/>
      <c r="H208" s="1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 x14ac:dyDescent="0.2">
      <c r="A209" s="2"/>
      <c r="B209" s="9"/>
      <c r="C209" s="2"/>
      <c r="D209" s="8"/>
      <c r="E209" s="8"/>
      <c r="F209" s="2"/>
      <c r="G209" s="10"/>
      <c r="H209" s="1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 x14ac:dyDescent="0.2">
      <c r="A210" s="2"/>
      <c r="B210" s="9"/>
      <c r="C210" s="2"/>
      <c r="D210" s="8"/>
      <c r="E210" s="8"/>
      <c r="F210" s="2"/>
      <c r="G210" s="10"/>
      <c r="H210" s="1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 x14ac:dyDescent="0.2">
      <c r="A211" s="2"/>
      <c r="B211" s="9"/>
      <c r="C211" s="2"/>
      <c r="D211" s="8"/>
      <c r="E211" s="8"/>
      <c r="F211" s="2"/>
      <c r="G211" s="10"/>
      <c r="H211" s="1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 x14ac:dyDescent="0.2">
      <c r="A212" s="2"/>
      <c r="B212" s="9"/>
      <c r="C212" s="2"/>
      <c r="D212" s="8"/>
      <c r="E212" s="8"/>
      <c r="F212" s="2"/>
      <c r="G212" s="10"/>
      <c r="H212" s="1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 x14ac:dyDescent="0.2">
      <c r="A213" s="2"/>
      <c r="B213" s="9"/>
      <c r="C213" s="2"/>
      <c r="D213" s="8"/>
      <c r="E213" s="8"/>
      <c r="F213" s="2"/>
      <c r="G213" s="10"/>
      <c r="H213" s="1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 x14ac:dyDescent="0.2">
      <c r="A214" s="2"/>
      <c r="B214" s="9"/>
      <c r="C214" s="2"/>
      <c r="D214" s="8"/>
      <c r="E214" s="8"/>
      <c r="F214" s="2"/>
      <c r="G214" s="10"/>
      <c r="H214" s="1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 x14ac:dyDescent="0.2">
      <c r="A215" s="2"/>
      <c r="B215" s="9"/>
      <c r="C215" s="2"/>
      <c r="D215" s="8"/>
      <c r="E215" s="8"/>
      <c r="F215" s="2"/>
      <c r="G215" s="10"/>
      <c r="H215" s="1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 x14ac:dyDescent="0.2">
      <c r="A216" s="2"/>
      <c r="B216" s="9"/>
      <c r="C216" s="2"/>
      <c r="D216" s="8"/>
      <c r="E216" s="8"/>
      <c r="F216" s="2"/>
      <c r="G216" s="10"/>
      <c r="H216" s="1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 x14ac:dyDescent="0.2"/>
    <row r="218" spans="1:26" ht="15.75" customHeight="1" x14ac:dyDescent="0.2"/>
    <row r="219" spans="1:26" ht="15.75" customHeight="1" x14ac:dyDescent="0.2"/>
    <row r="220" spans="1:26" ht="15.75" customHeight="1" x14ac:dyDescent="0.2"/>
    <row r="221" spans="1:26" ht="15.75" customHeight="1" x14ac:dyDescent="0.2"/>
    <row r="222" spans="1:26" ht="15.75" customHeight="1" x14ac:dyDescent="0.2"/>
    <row r="223" spans="1:26" ht="15.75" customHeight="1" x14ac:dyDescent="0.2"/>
    <row r="224" spans="1:26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</sheetData>
  <mergeCells count="2">
    <mergeCell ref="B2:E2"/>
    <mergeCell ref="B19:E19"/>
  </mergeCells>
  <pageMargins left="0" right="0" top="0.1388888888888889" bottom="0.1388888888888889" header="0" footer="0"/>
  <pageSetup paperSize="9" pageOrder="overThenDown" orientation="portrait"/>
  <headerFooter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0"/>
  <dimension ref="A1:Z1000"/>
  <sheetViews>
    <sheetView workbookViewId="0">
      <selection activeCell="E5" sqref="E5"/>
    </sheetView>
  </sheetViews>
  <sheetFormatPr baseColWidth="10" defaultColWidth="10.140625" defaultRowHeight="15" customHeight="1" x14ac:dyDescent="0.2"/>
  <cols>
    <col min="1" max="1" width="11.7109375" customWidth="1"/>
    <col min="2" max="2" width="21.42578125" customWidth="1"/>
    <col min="3" max="4" width="10.7109375" customWidth="1"/>
    <col min="5" max="5" width="10.42578125" customWidth="1"/>
    <col min="6" max="6" width="11.85546875" customWidth="1"/>
    <col min="7" max="7" width="9.5703125" customWidth="1"/>
    <col min="8" max="9" width="10.42578125" customWidth="1"/>
    <col min="10" max="10" width="10.7109375" customWidth="1"/>
    <col min="11" max="11" width="10.42578125" customWidth="1"/>
    <col min="12" max="13" width="10.7109375" customWidth="1"/>
    <col min="14" max="14" width="10.42578125" customWidth="1"/>
    <col min="15" max="15" width="10.85546875" customWidth="1"/>
    <col min="16" max="19" width="10.7109375" customWidth="1"/>
    <col min="20" max="26" width="10.42578125" customWidth="1"/>
  </cols>
  <sheetData>
    <row r="1" spans="1:26" ht="15.75" customHeight="1" x14ac:dyDescent="0.2">
      <c r="A1" s="51">
        <v>280</v>
      </c>
      <c r="B1" s="52" t="s">
        <v>40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6" ht="15.75" customHeight="1" x14ac:dyDescent="0.2">
      <c r="A2" s="54">
        <v>8.0399999999999991</v>
      </c>
      <c r="B2" s="55" t="s">
        <v>41</v>
      </c>
      <c r="C2" s="53">
        <v>151.66999999999999</v>
      </c>
      <c r="D2" s="15">
        <f>F2/C2</f>
        <v>14.842750708775631</v>
      </c>
      <c r="E2" s="53"/>
      <c r="F2" s="56">
        <f>A3</f>
        <v>2251.1999999999998</v>
      </c>
      <c r="G2" s="53"/>
      <c r="H2" s="53"/>
      <c r="I2" s="53"/>
      <c r="J2" s="53">
        <v>3428</v>
      </c>
      <c r="K2" s="53" t="s">
        <v>42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1:26" ht="15.75" customHeight="1" x14ac:dyDescent="0.2">
      <c r="A3" s="57">
        <f>A1*A2</f>
        <v>2251.1999999999998</v>
      </c>
      <c r="B3" s="58" t="s">
        <v>43</v>
      </c>
      <c r="C3" s="53">
        <v>0</v>
      </c>
      <c r="D3" s="15">
        <f>D2*1.25</f>
        <v>18.553438385969539</v>
      </c>
      <c r="E3" s="53"/>
      <c r="F3" s="56">
        <f>D3*C3</f>
        <v>0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spans="1:26" ht="15.75" customHeight="1" x14ac:dyDescent="0.2">
      <c r="A4" s="53"/>
      <c r="B4" s="53"/>
      <c r="C4" s="53"/>
      <c r="D4" s="53"/>
      <c r="E4" s="53"/>
      <c r="F4" s="53"/>
      <c r="G4" s="53"/>
      <c r="H4" s="53" t="s">
        <v>44</v>
      </c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spans="1:26" ht="15.75" customHeight="1" x14ac:dyDescent="0.2">
      <c r="A5" s="53"/>
      <c r="B5" s="59" t="s">
        <v>45</v>
      </c>
      <c r="C5" s="53"/>
      <c r="D5" s="53"/>
      <c r="E5" s="53"/>
      <c r="F5" s="60">
        <f>F3+F2</f>
        <v>2251.1999999999998</v>
      </c>
      <c r="G5" s="53"/>
      <c r="H5" s="15">
        <f>F5*12</f>
        <v>27014.399999999998</v>
      </c>
      <c r="I5" s="53" t="s">
        <v>46</v>
      </c>
      <c r="J5" s="53"/>
      <c r="K5" s="61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spans="1:26" ht="15.75" customHeight="1" x14ac:dyDescent="0.2">
      <c r="A6" s="53"/>
      <c r="B6" s="53"/>
      <c r="C6" s="53"/>
      <c r="D6" s="53"/>
      <c r="E6" s="53"/>
      <c r="F6" s="53"/>
      <c r="G6" s="53"/>
      <c r="H6" s="15"/>
      <c r="I6" s="53"/>
      <c r="J6" s="53"/>
      <c r="K6" s="53"/>
      <c r="L6" s="53"/>
      <c r="M6" s="53"/>
      <c r="N6" s="53"/>
      <c r="O6" s="62">
        <f>3528.93/3553.51</f>
        <v>0.99308289550331919</v>
      </c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spans="1:26" ht="15.75" customHeight="1" x14ac:dyDescent="0.2">
      <c r="A7" s="59" t="s">
        <v>47</v>
      </c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>
        <f>2650-593.81+76.91+48.58</f>
        <v>2181.6799999999998</v>
      </c>
      <c r="S7" s="53"/>
      <c r="T7" s="53"/>
      <c r="U7" s="53"/>
      <c r="V7" s="53"/>
      <c r="W7" s="53"/>
      <c r="X7" s="53"/>
      <c r="Y7" s="53"/>
      <c r="Z7" s="53"/>
    </row>
    <row r="8" spans="1:26" ht="15.75" customHeight="1" x14ac:dyDescent="0.2">
      <c r="A8" s="53"/>
      <c r="B8" s="53" t="s">
        <v>48</v>
      </c>
      <c r="C8" s="53"/>
      <c r="D8" s="53"/>
      <c r="E8" s="53"/>
      <c r="F8" s="53"/>
      <c r="G8" s="53"/>
      <c r="H8" s="63">
        <v>7.0000000000000007E-2</v>
      </c>
      <c r="I8" s="61">
        <f t="shared" ref="I8:I10" si="0">H8*$F$5</f>
        <v>157.584</v>
      </c>
      <c r="J8" s="53"/>
      <c r="K8" s="53"/>
      <c r="L8" s="53"/>
      <c r="M8" s="53"/>
      <c r="N8" s="53">
        <v>3528.93</v>
      </c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spans="1:26" ht="15.75" customHeight="1" x14ac:dyDescent="0.2">
      <c r="A9" s="53"/>
      <c r="B9" s="53" t="s">
        <v>49</v>
      </c>
      <c r="C9" s="64">
        <f>F5</f>
        <v>2251.1999999999998</v>
      </c>
      <c r="D9" s="63">
        <v>2.2000000000000001E-3</v>
      </c>
      <c r="E9" s="56">
        <f t="shared" ref="E9:E10" si="1">D9*C9</f>
        <v>4.9526399999999997</v>
      </c>
      <c r="F9" s="53"/>
      <c r="G9" s="53"/>
      <c r="H9" s="63">
        <v>1.7000000000000001E-2</v>
      </c>
      <c r="I9" s="61">
        <f t="shared" si="0"/>
        <v>38.270400000000002</v>
      </c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26" ht="15.75" customHeight="1" x14ac:dyDescent="0.2">
      <c r="A10" s="53"/>
      <c r="B10" s="53" t="s">
        <v>50</v>
      </c>
      <c r="C10" s="64">
        <v>3381.63</v>
      </c>
      <c r="D10" s="63">
        <v>9.4999999999999998E-3</v>
      </c>
      <c r="E10" s="56">
        <f t="shared" si="1"/>
        <v>32.125484999999998</v>
      </c>
      <c r="F10" s="53"/>
      <c r="G10" s="53"/>
      <c r="H10" s="63">
        <v>9.4999999999999998E-3</v>
      </c>
      <c r="I10" s="61">
        <f t="shared" si="0"/>
        <v>21.386399999999998</v>
      </c>
      <c r="J10" s="53"/>
      <c r="K10" s="53"/>
      <c r="L10" s="53"/>
      <c r="M10" s="53"/>
      <c r="N10" s="53">
        <v>7.43</v>
      </c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spans="1:26" ht="15.75" customHeight="1" x14ac:dyDescent="0.2">
      <c r="A11" s="53"/>
      <c r="B11" s="53"/>
      <c r="C11" s="64"/>
      <c r="D11" s="63"/>
      <c r="E11" s="56"/>
      <c r="F11" s="53"/>
      <c r="G11" s="53"/>
      <c r="H11" s="63"/>
      <c r="I11" s="15"/>
      <c r="J11" s="53"/>
      <c r="K11" s="53"/>
      <c r="L11" s="53"/>
      <c r="M11" s="53"/>
      <c r="N11" s="53">
        <v>1.0900000000000001</v>
      </c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spans="1:26" ht="15.75" customHeight="1" x14ac:dyDescent="0.2">
      <c r="A12" s="59" t="s">
        <v>51</v>
      </c>
      <c r="B12" s="53"/>
      <c r="C12" s="64"/>
      <c r="D12" s="63"/>
      <c r="E12" s="56"/>
      <c r="F12" s="53"/>
      <c r="G12" s="53"/>
      <c r="H12" s="63">
        <v>1.0999999999999999E-2</v>
      </c>
      <c r="I12" s="61">
        <f>H12*$F$5</f>
        <v>24.763199999999998</v>
      </c>
      <c r="J12" s="53"/>
      <c r="K12" s="53"/>
      <c r="L12" s="53"/>
      <c r="M12" s="53"/>
      <c r="N12" s="53">
        <v>33.520000000000003</v>
      </c>
      <c r="O12" s="53">
        <v>33.520000000000003</v>
      </c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spans="1:26" ht="15.75" customHeight="1" x14ac:dyDescent="0.2">
      <c r="A13" s="59" t="s">
        <v>52</v>
      </c>
      <c r="B13" s="53"/>
      <c r="C13" s="64"/>
      <c r="D13" s="63"/>
      <c r="E13" s="56"/>
      <c r="F13" s="53"/>
      <c r="G13" s="53"/>
      <c r="H13" s="63"/>
      <c r="I13" s="53"/>
      <c r="J13" s="53"/>
      <c r="K13" s="53"/>
      <c r="L13" s="53"/>
      <c r="M13" s="53"/>
      <c r="N13" s="53">
        <v>233.01</v>
      </c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spans="1:26" ht="15.75" customHeight="1" x14ac:dyDescent="0.2">
      <c r="A14" s="53"/>
      <c r="B14" s="53" t="s">
        <v>53</v>
      </c>
      <c r="C14" s="64">
        <f>F5</f>
        <v>2251.1999999999998</v>
      </c>
      <c r="D14" s="63">
        <v>6.9000000000000006E-2</v>
      </c>
      <c r="E14" s="56">
        <f t="shared" ref="E14:E16" si="2">D14*C14</f>
        <v>155.33279999999999</v>
      </c>
      <c r="F14" s="53"/>
      <c r="G14" s="53"/>
      <c r="H14" s="63">
        <v>8.5500000000000007E-2</v>
      </c>
      <c r="I14" s="61">
        <f t="shared" ref="I14:I16" si="3">H14*$F$5</f>
        <v>192.4776</v>
      </c>
      <c r="J14" s="53"/>
      <c r="K14" s="53"/>
      <c r="L14" s="53"/>
      <c r="M14" s="53"/>
      <c r="N14" s="53">
        <v>14.12</v>
      </c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spans="1:26" ht="15.75" customHeight="1" x14ac:dyDescent="0.2">
      <c r="A15" s="53"/>
      <c r="B15" s="53" t="s">
        <v>54</v>
      </c>
      <c r="C15" s="64">
        <f>F5</f>
        <v>2251.1999999999998</v>
      </c>
      <c r="D15" s="63">
        <v>4.0000000000000001E-3</v>
      </c>
      <c r="E15" s="56">
        <f t="shared" si="2"/>
        <v>9.0047999999999995</v>
      </c>
      <c r="F15" s="53"/>
      <c r="G15" s="53"/>
      <c r="H15" s="63">
        <v>1.9E-2</v>
      </c>
      <c r="I15" s="61">
        <f t="shared" si="3"/>
        <v>42.772799999999997</v>
      </c>
      <c r="J15" s="53"/>
      <c r="K15" s="53"/>
      <c r="L15" s="53"/>
      <c r="M15" s="53"/>
      <c r="N15" s="53">
        <v>140.15</v>
      </c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26" ht="15.75" customHeight="1" x14ac:dyDescent="0.2">
      <c r="A16" s="53"/>
      <c r="B16" s="53" t="s">
        <v>55</v>
      </c>
      <c r="C16" s="64">
        <f>F5</f>
        <v>2251.1999999999998</v>
      </c>
      <c r="D16" s="63">
        <v>4.1500000000000002E-2</v>
      </c>
      <c r="E16" s="56">
        <f t="shared" si="2"/>
        <v>93.424799999999991</v>
      </c>
      <c r="F16" s="53"/>
      <c r="G16" s="53"/>
      <c r="H16" s="63">
        <v>6.2199999999999998E-2</v>
      </c>
      <c r="I16" s="61">
        <f t="shared" si="3"/>
        <v>140.02463999999998</v>
      </c>
      <c r="J16" s="53"/>
      <c r="K16" s="53"/>
      <c r="L16" s="53"/>
      <c r="M16" s="53"/>
      <c r="N16" s="53">
        <v>14.77</v>
      </c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5.75" customHeight="1" x14ac:dyDescent="0.2">
      <c r="A17" s="53"/>
      <c r="B17" s="53"/>
      <c r="C17" s="64"/>
      <c r="D17" s="63"/>
      <c r="E17" s="56"/>
      <c r="F17" s="53"/>
      <c r="G17" s="53"/>
      <c r="H17" s="63"/>
      <c r="I17" s="53"/>
      <c r="J17" s="53"/>
      <c r="K17" s="53"/>
      <c r="L17" s="53"/>
      <c r="M17" s="53"/>
      <c r="N17" s="53">
        <v>0.21</v>
      </c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5.75" customHeight="1" x14ac:dyDescent="0.2">
      <c r="A18" s="59" t="s">
        <v>56</v>
      </c>
      <c r="B18" s="53"/>
      <c r="C18" s="64"/>
      <c r="D18" s="63"/>
      <c r="E18" s="56"/>
      <c r="F18" s="53"/>
      <c r="G18" s="15"/>
      <c r="H18" s="63">
        <v>3.4500000000000003E-2</v>
      </c>
      <c r="I18" s="61">
        <f t="shared" ref="I18:I20" si="4">H18*$F$5</f>
        <v>77.666399999999996</v>
      </c>
      <c r="J18" s="53"/>
      <c r="K18" s="53"/>
      <c r="L18" s="53"/>
      <c r="M18" s="53"/>
      <c r="N18" s="53">
        <v>0.85</v>
      </c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.75" customHeight="1" x14ac:dyDescent="0.2">
      <c r="A19" s="59" t="s">
        <v>57</v>
      </c>
      <c r="B19" s="53"/>
      <c r="C19" s="64"/>
      <c r="D19" s="63"/>
      <c r="E19" s="56"/>
      <c r="F19" s="53"/>
      <c r="G19" s="53"/>
      <c r="H19" s="63"/>
      <c r="I19" s="61">
        <f t="shared" si="4"/>
        <v>0</v>
      </c>
      <c r="J19" s="65">
        <v>4.2000000000000003E-2</v>
      </c>
      <c r="K19" s="53"/>
      <c r="L19" s="53"/>
      <c r="M19" s="53"/>
      <c r="N19" s="66">
        <v>241.64</v>
      </c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5.75" customHeight="1" x14ac:dyDescent="0.2">
      <c r="A20" s="53"/>
      <c r="B20" s="53" t="s">
        <v>58</v>
      </c>
      <c r="C20" s="64">
        <f>F5</f>
        <v>2251.1999999999998</v>
      </c>
      <c r="D20" s="63">
        <v>0</v>
      </c>
      <c r="E20" s="56">
        <f>D20*C20</f>
        <v>0</v>
      </c>
      <c r="F20" s="53"/>
      <c r="G20" s="53"/>
      <c r="H20" s="63"/>
      <c r="I20" s="61">
        <f t="shared" si="4"/>
        <v>0</v>
      </c>
      <c r="J20" s="67">
        <v>3.6000000000000002E-4</v>
      </c>
      <c r="K20" s="53"/>
      <c r="L20" s="53"/>
      <c r="M20" s="53"/>
      <c r="N20" s="53">
        <v>103.05</v>
      </c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5.75" customHeight="1" x14ac:dyDescent="0.2">
      <c r="A21" s="53"/>
      <c r="B21" s="67">
        <v>2.4000000000000001E-4</v>
      </c>
      <c r="C21" s="64"/>
      <c r="D21" s="63"/>
      <c r="E21" s="56"/>
      <c r="F21" s="53"/>
      <c r="G21" s="53"/>
      <c r="H21" s="63"/>
      <c r="I21" s="53"/>
      <c r="J21" s="53"/>
      <c r="K21" s="53"/>
      <c r="L21" s="53"/>
      <c r="M21" s="53"/>
      <c r="N21" s="53">
        <f>SUM(N10:N20)</f>
        <v>789.83999999999992</v>
      </c>
      <c r="O21" s="53"/>
      <c r="P21" s="53">
        <v>484.93</v>
      </c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5.75" customHeight="1" x14ac:dyDescent="0.2">
      <c r="A22" s="59" t="s">
        <v>59</v>
      </c>
      <c r="B22" s="53"/>
      <c r="C22" s="64"/>
      <c r="D22" s="63"/>
      <c r="E22" s="56"/>
      <c r="F22" s="53"/>
      <c r="G22" s="53"/>
      <c r="H22" s="63">
        <v>4.0000000000000002E-4</v>
      </c>
      <c r="I22" s="61">
        <f>H22*$F$5</f>
        <v>0.90047999999999995</v>
      </c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5.75" customHeight="1" x14ac:dyDescent="0.2">
      <c r="A23" s="53"/>
      <c r="B23" s="53"/>
      <c r="C23" s="64"/>
      <c r="D23" s="63"/>
      <c r="E23" s="56"/>
      <c r="F23" s="53"/>
      <c r="G23" s="53"/>
      <c r="H23" s="53"/>
      <c r="I23" s="53"/>
      <c r="J23" s="53"/>
      <c r="K23" s="53"/>
      <c r="L23" s="53"/>
      <c r="M23" s="53"/>
      <c r="N23" s="53">
        <f>N8-N21</f>
        <v>2739.09</v>
      </c>
      <c r="O23" s="53"/>
      <c r="P23" s="53">
        <v>2445.58</v>
      </c>
      <c r="Q23" s="53">
        <f>N8-N21-P21+N19</f>
        <v>2495.8000000000002</v>
      </c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5.75" customHeight="1" x14ac:dyDescent="0.2">
      <c r="A24" s="59" t="s">
        <v>60</v>
      </c>
      <c r="B24" s="53"/>
      <c r="C24" s="64">
        <f>F5*O6</f>
        <v>2235.628214357072</v>
      </c>
      <c r="D24" s="63">
        <v>6.8000000000000005E-2</v>
      </c>
      <c r="E24" s="56">
        <f>D24*C24</f>
        <v>152.02271857628091</v>
      </c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5.75" customHeight="1" x14ac:dyDescent="0.2">
      <c r="A25" s="53"/>
      <c r="B25" s="53"/>
      <c r="C25" s="64"/>
      <c r="D25" s="63"/>
      <c r="E25" s="56"/>
      <c r="F25" s="53"/>
      <c r="G25" s="53"/>
      <c r="H25" s="53"/>
      <c r="I25" s="53"/>
      <c r="J25" s="53"/>
      <c r="K25" s="53"/>
      <c r="L25" s="53"/>
      <c r="M25" s="53"/>
      <c r="N25" s="53">
        <v>54.85</v>
      </c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5.75" customHeight="1" x14ac:dyDescent="0.2">
      <c r="A26" s="59" t="s">
        <v>61</v>
      </c>
      <c r="B26" s="53"/>
      <c r="C26" s="64">
        <f>C24</f>
        <v>2235.628214357072</v>
      </c>
      <c r="D26" s="63">
        <v>2.9000000000000001E-2</v>
      </c>
      <c r="E26" s="56">
        <f>D26*C26</f>
        <v>64.833218216355093</v>
      </c>
      <c r="F26" s="53"/>
      <c r="G26" s="53"/>
      <c r="H26" s="53"/>
      <c r="I26" s="53"/>
      <c r="J26" s="53"/>
      <c r="K26" s="53"/>
      <c r="L26" s="53"/>
      <c r="M26" s="53"/>
      <c r="N26" s="53">
        <v>42.5</v>
      </c>
      <c r="O26" s="53"/>
      <c r="P26" s="53"/>
      <c r="Q26" s="53">
        <f>Q23-P23</f>
        <v>50.220000000000255</v>
      </c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5.75" customHeight="1" x14ac:dyDescent="0.2">
      <c r="A27" s="53"/>
      <c r="B27" s="53"/>
      <c r="C27" s="64"/>
      <c r="D27" s="63"/>
      <c r="E27" s="56"/>
      <c r="F27" s="53"/>
      <c r="G27" s="53"/>
      <c r="H27" s="68" t="s">
        <v>18</v>
      </c>
      <c r="I27" s="68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5.75" customHeight="1" x14ac:dyDescent="0.2">
      <c r="A28" s="53"/>
      <c r="B28" s="59" t="s">
        <v>62</v>
      </c>
      <c r="C28" s="69" t="s">
        <v>63</v>
      </c>
      <c r="D28" s="70"/>
      <c r="E28" s="71">
        <f>SUM(E9:E27)</f>
        <v>511.69646179263594</v>
      </c>
      <c r="F28" s="72">
        <f>E28/F5</f>
        <v>0.22729942332650852</v>
      </c>
      <c r="G28" s="53"/>
      <c r="H28" s="68" t="s">
        <v>64</v>
      </c>
      <c r="I28" s="60">
        <f>SUM(I8:I27)</f>
        <v>695.84591999999998</v>
      </c>
      <c r="J28" s="53"/>
      <c r="K28" s="53"/>
      <c r="L28" s="53"/>
      <c r="M28" s="53"/>
      <c r="N28" s="59">
        <f>N23+N25+N26</f>
        <v>2836.44</v>
      </c>
      <c r="O28" s="53"/>
      <c r="P28" s="53">
        <f>N8-N21+N20+33.52-P21+N25</f>
        <v>2445.5800000000004</v>
      </c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5.75" customHeight="1" x14ac:dyDescent="0.2">
      <c r="A29" s="53"/>
      <c r="B29" s="53"/>
      <c r="C29" s="64"/>
      <c r="D29" s="63"/>
      <c r="E29" s="56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>
        <f>Q26-33.52</f>
        <v>16.700000000000252</v>
      </c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5.75" customHeight="1" x14ac:dyDescent="0.2">
      <c r="A30" s="53"/>
      <c r="B30" s="53"/>
      <c r="C30" s="64"/>
      <c r="D30" s="63"/>
      <c r="E30" s="56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5.75" customHeight="1" x14ac:dyDescent="0.2">
      <c r="A31" s="53"/>
      <c r="B31" s="53" t="s">
        <v>65</v>
      </c>
      <c r="C31" s="64">
        <f>F3</f>
        <v>0</v>
      </c>
      <c r="D31" s="63">
        <v>-0.11310000000000001</v>
      </c>
      <c r="E31" s="56">
        <f>C31*D31</f>
        <v>0</v>
      </c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5.75" customHeight="1" x14ac:dyDescent="0.2">
      <c r="A32" s="53"/>
      <c r="B32" s="53" t="s">
        <v>66</v>
      </c>
      <c r="C32" s="64" t="s">
        <v>67</v>
      </c>
      <c r="D32" s="63"/>
      <c r="E32" s="56"/>
      <c r="F32" s="53"/>
      <c r="G32" s="53"/>
      <c r="H32" s="53"/>
      <c r="I32" s="53"/>
      <c r="J32" s="53"/>
      <c r="K32" s="53"/>
      <c r="L32" s="53"/>
      <c r="M32" s="53"/>
      <c r="N32" s="53" t="s">
        <v>68</v>
      </c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26" ht="15.75" customHeight="1" x14ac:dyDescent="0.2">
      <c r="A33" s="53"/>
      <c r="B33" s="53"/>
      <c r="C33" s="64"/>
      <c r="D33" s="63"/>
      <c r="E33" s="56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26" ht="15.75" customHeight="1" x14ac:dyDescent="0.2">
      <c r="A34" s="53"/>
      <c r="B34" s="59" t="s">
        <v>69</v>
      </c>
      <c r="C34" s="64"/>
      <c r="D34" s="63"/>
      <c r="E34" s="73">
        <f>F5-E28-E31</f>
        <v>1739.5035382073638</v>
      </c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26" ht="15.75" customHeight="1" x14ac:dyDescent="0.2">
      <c r="A35" s="53"/>
      <c r="B35" s="53"/>
      <c r="C35" s="64"/>
      <c r="D35" s="63"/>
      <c r="E35" s="56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26" ht="15.75" customHeight="1" x14ac:dyDescent="0.2">
      <c r="A36" s="53"/>
      <c r="B36" s="59" t="s">
        <v>70</v>
      </c>
      <c r="C36" s="64"/>
      <c r="D36" s="63"/>
      <c r="E36" s="73">
        <f>E34</f>
        <v>1739.5035382073638</v>
      </c>
      <c r="F36" s="53"/>
      <c r="G36" s="15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ht="15.75" customHeight="1" x14ac:dyDescent="0.2">
      <c r="A37" s="53"/>
      <c r="B37" s="53" t="s">
        <v>71</v>
      </c>
      <c r="C37" s="64">
        <f>F5-E28+E26+E10-F3+25.49</f>
        <v>1861.952241423719</v>
      </c>
      <c r="D37" s="63">
        <v>0.08</v>
      </c>
      <c r="E37" s="56">
        <f>C37*D37</f>
        <v>148.95617931389754</v>
      </c>
      <c r="F37" s="53"/>
      <c r="G37" s="15"/>
      <c r="H37" s="53"/>
      <c r="I37" s="53"/>
      <c r="J37" s="53"/>
      <c r="K37" s="53"/>
      <c r="L37" s="53"/>
      <c r="M37" s="53"/>
      <c r="N37" s="53"/>
      <c r="O37" s="74">
        <v>25</v>
      </c>
      <c r="P37" s="53" t="s">
        <v>72</v>
      </c>
      <c r="Q37" s="53"/>
      <c r="R37" s="75">
        <v>40</v>
      </c>
      <c r="S37" s="53" t="s">
        <v>72</v>
      </c>
      <c r="T37" s="53"/>
      <c r="U37" s="53"/>
      <c r="V37" s="53"/>
      <c r="W37" s="53"/>
      <c r="X37" s="53"/>
      <c r="Y37" s="53"/>
      <c r="Z37" s="53"/>
    </row>
    <row r="38" spans="1:26" ht="15.75" customHeight="1" x14ac:dyDescent="0.2">
      <c r="A38" s="53"/>
      <c r="B38" s="59"/>
      <c r="C38" s="64"/>
      <c r="D38" s="56"/>
      <c r="E38" s="15">
        <f>D38*C38</f>
        <v>0</v>
      </c>
      <c r="F38" s="53"/>
      <c r="G38" s="53"/>
      <c r="H38" s="53"/>
      <c r="I38" s="53"/>
      <c r="J38" s="53"/>
      <c r="K38" s="53"/>
      <c r="L38" s="53"/>
      <c r="M38" s="76">
        <v>48</v>
      </c>
      <c r="N38" s="56" t="s">
        <v>73</v>
      </c>
      <c r="O38" s="74">
        <v>10</v>
      </c>
      <c r="P38" s="56" t="s">
        <v>74</v>
      </c>
      <c r="Q38" s="53"/>
      <c r="R38" s="75">
        <v>6</v>
      </c>
      <c r="S38" s="56" t="s">
        <v>74</v>
      </c>
      <c r="T38" s="53"/>
      <c r="U38" s="53"/>
      <c r="V38" s="53"/>
      <c r="W38" s="53"/>
      <c r="X38" s="53"/>
      <c r="Y38" s="53"/>
      <c r="Z38" s="53"/>
    </row>
    <row r="39" spans="1:26" ht="15.75" customHeight="1" x14ac:dyDescent="0.2">
      <c r="A39" s="53"/>
      <c r="B39" s="77" t="s">
        <v>75</v>
      </c>
      <c r="C39" s="78"/>
      <c r="D39" s="79"/>
      <c r="E39" s="80">
        <f>E36-E37-E38</f>
        <v>1590.5473588934663</v>
      </c>
      <c r="F39" s="53"/>
      <c r="G39" s="53"/>
      <c r="H39" s="53">
        <v>2472</v>
      </c>
      <c r="I39" s="15">
        <f>H39-E39</f>
        <v>881.45264110653375</v>
      </c>
      <c r="J39" s="53"/>
      <c r="K39" s="53"/>
      <c r="L39" s="53"/>
      <c r="M39" s="53"/>
      <c r="N39" s="81" t="s">
        <v>0</v>
      </c>
      <c r="O39" s="82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26" ht="15.75" customHeight="1" x14ac:dyDescent="0.2">
      <c r="A40" s="53"/>
      <c r="B40" s="53"/>
      <c r="C40" s="64"/>
      <c r="D40" s="62"/>
      <c r="E40" s="53"/>
      <c r="F40" s="53"/>
      <c r="G40" s="53"/>
      <c r="H40" s="53"/>
      <c r="I40" s="53"/>
      <c r="J40" s="53"/>
      <c r="K40" s="53"/>
      <c r="L40" s="53"/>
      <c r="M40" s="83"/>
      <c r="N40" s="84">
        <f>M38*O37*O38+M38*R37*R38</f>
        <v>23520</v>
      </c>
      <c r="O40" s="56">
        <f>N40/4</f>
        <v>5880</v>
      </c>
      <c r="P40" s="72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26" ht="15.75" customHeight="1" x14ac:dyDescent="0.2">
      <c r="A41" s="53"/>
      <c r="B41" s="53"/>
      <c r="C41" s="53"/>
      <c r="D41" s="62"/>
      <c r="E41" s="15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26" ht="15.75" customHeight="1" x14ac:dyDescent="0.2">
      <c r="A42" s="53"/>
      <c r="B42" s="56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>
        <f>O37*O38+R37*R38</f>
        <v>490</v>
      </c>
      <c r="O42" s="53" t="s">
        <v>76</v>
      </c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spans="1:26" ht="15.75" customHeight="1" x14ac:dyDescent="0.2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15">
        <f>N40/O43</f>
        <v>7280.1599999999989</v>
      </c>
      <c r="O43" s="64">
        <f>N42/151.67</f>
        <v>3.2306982264126067</v>
      </c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spans="1:26" ht="15.75" customHeight="1" x14ac:dyDescent="0.2">
      <c r="A44" s="53"/>
      <c r="B44" s="53"/>
      <c r="C44" s="53"/>
      <c r="D44" s="53"/>
      <c r="E44" s="80">
        <f>E39-E41</f>
        <v>1590.5473588934663</v>
      </c>
      <c r="F44" s="53"/>
      <c r="G44" s="56"/>
      <c r="H44" s="53"/>
      <c r="I44" s="15"/>
      <c r="J44" s="53"/>
      <c r="K44" s="53"/>
      <c r="L44" s="53"/>
      <c r="M44" s="53"/>
      <c r="N44" s="73">
        <f>N43*45/100</f>
        <v>3276.0719999999997</v>
      </c>
      <c r="O44" s="53" t="s">
        <v>77</v>
      </c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spans="1:26" ht="15.75" customHeight="1" x14ac:dyDescent="0.2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ht="15.75" customHeight="1" x14ac:dyDescent="0.2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spans="1:26" ht="15.75" customHeight="1" x14ac:dyDescent="0.2">
      <c r="A47" s="53"/>
      <c r="B47" s="53"/>
      <c r="C47" s="53" t="s">
        <v>78</v>
      </c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spans="1:26" ht="15.75" customHeight="1" x14ac:dyDescent="0.2">
      <c r="A48" s="53"/>
      <c r="B48" s="53"/>
      <c r="C48" s="53"/>
      <c r="D48" s="53"/>
      <c r="E48" s="85">
        <f>I28+F5</f>
        <v>2947.0459199999996</v>
      </c>
      <c r="F48" s="53"/>
      <c r="G48" s="72">
        <f>E39/(F5+I28)</f>
        <v>0.53970905173186667</v>
      </c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spans="1:26" ht="15.75" customHeight="1" x14ac:dyDescent="0.2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spans="1:26" ht="15.75" customHeight="1" x14ac:dyDescent="0.2">
      <c r="A50" s="53"/>
      <c r="B50" s="53"/>
      <c r="C50" s="53"/>
      <c r="D50" s="53"/>
      <c r="E50" s="61">
        <f>E48/(C2+C3)</f>
        <v>19.430644952858177</v>
      </c>
      <c r="F50" s="61"/>
      <c r="G50" s="53"/>
      <c r="H50" s="53"/>
      <c r="I50" s="15">
        <f>M38*151.67</f>
        <v>7280.16</v>
      </c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spans="1:26" ht="15.75" customHeight="1" x14ac:dyDescent="0.2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spans="1:26" ht="15.75" customHeight="1" x14ac:dyDescent="0.2">
      <c r="A52" s="53"/>
      <c r="B52" s="53"/>
      <c r="C52" s="53"/>
      <c r="D52" s="53"/>
      <c r="E52" s="61">
        <f>E50*1.2</f>
        <v>23.316773943429812</v>
      </c>
      <c r="F52" s="65">
        <v>0.2</v>
      </c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spans="1:26" ht="15.75" customHeight="1" x14ac:dyDescent="0.2">
      <c r="A53" s="53"/>
      <c r="B53" s="53"/>
      <c r="C53" s="53"/>
      <c r="D53" s="53"/>
      <c r="E53" s="61">
        <f>E50*1.16</f>
        <v>22.539548145315486</v>
      </c>
      <c r="F53" s="65">
        <v>0.16</v>
      </c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spans="1:26" ht="15.75" customHeight="1" x14ac:dyDescent="0.2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spans="1:26" ht="15.75" customHeight="1" x14ac:dyDescent="0.2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1:26" ht="15.75" customHeight="1" x14ac:dyDescent="0.2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26" ht="15.75" customHeight="1" x14ac:dyDescent="0.2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spans="1:26" ht="15.75" customHeight="1" x14ac:dyDescent="0.2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spans="1:26" ht="15.75" customHeight="1" x14ac:dyDescent="0.2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spans="1:26" ht="15.75" customHeight="1" x14ac:dyDescent="0.2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spans="1:26" ht="15.75" customHeight="1" x14ac:dyDescent="0.2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spans="1:26" ht="15.75" customHeight="1" x14ac:dyDescent="0.2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spans="1:26" ht="15.75" customHeight="1" x14ac:dyDescent="0.2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spans="1:26" ht="15.75" customHeight="1" x14ac:dyDescent="0.2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spans="1:26" ht="15.75" customHeight="1" x14ac:dyDescent="0.2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spans="1:26" ht="15.75" customHeight="1" x14ac:dyDescent="0.2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spans="1:26" ht="15.75" customHeight="1" x14ac:dyDescent="0.2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spans="1:26" ht="15.75" customHeight="1" x14ac:dyDescent="0.2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spans="1:26" ht="15.75" customHeight="1" x14ac:dyDescent="0.2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spans="1:26" ht="15.75" customHeight="1" x14ac:dyDescent="0.2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spans="1:26" ht="15.75" customHeight="1" x14ac:dyDescent="0.2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spans="1:26" ht="15.75" customHeight="1" x14ac:dyDescent="0.2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spans="1:26" ht="15.75" customHeight="1" x14ac:dyDescent="0.2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spans="1:26" ht="15.75" customHeight="1" x14ac:dyDescent="0.2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spans="1:26" ht="15.75" customHeight="1" x14ac:dyDescent="0.2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spans="1:26" ht="15.75" customHeight="1" x14ac:dyDescent="0.2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spans="1:26" ht="15.75" customHeight="1" x14ac:dyDescent="0.2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spans="1:26" ht="15.75" customHeight="1" x14ac:dyDescent="0.2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spans="1:26" ht="15.75" customHeight="1" x14ac:dyDescent="0.2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spans="1:26" ht="15.75" customHeight="1" x14ac:dyDescent="0.2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spans="1:26" ht="15.75" customHeight="1" x14ac:dyDescent="0.2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spans="1:26" ht="15.75" customHeight="1" x14ac:dyDescent="0.2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spans="1:26" ht="15.75" customHeight="1" x14ac:dyDescent="0.2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spans="1:26" ht="15.75" customHeight="1" x14ac:dyDescent="0.2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spans="1:26" ht="15.75" customHeight="1" x14ac:dyDescent="0.2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spans="1:26" ht="15.75" customHeight="1" x14ac:dyDescent="0.2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spans="1:26" ht="15.75" customHeight="1" x14ac:dyDescent="0.2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spans="1:26" ht="15.75" customHeight="1" x14ac:dyDescent="0.2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spans="1:26" ht="15.75" customHeight="1" x14ac:dyDescent="0.2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spans="1:26" ht="15.75" customHeight="1" x14ac:dyDescent="0.2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spans="1:26" ht="15.75" customHeight="1" x14ac:dyDescent="0.2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ht="15.75" customHeight="1" x14ac:dyDescent="0.2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spans="1:26" ht="15.75" customHeight="1" x14ac:dyDescent="0.2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spans="1:26" ht="15.75" customHeight="1" x14ac:dyDescent="0.2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spans="1:26" ht="15.75" customHeight="1" x14ac:dyDescent="0.2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spans="1:26" ht="15.75" customHeight="1" x14ac:dyDescent="0.2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6" ht="15.75" customHeight="1" x14ac:dyDescent="0.2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spans="1:26" ht="15.75" customHeight="1" x14ac:dyDescent="0.2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spans="1:26" ht="15.75" customHeight="1" x14ac:dyDescent="0.2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spans="1:26" ht="15.75" customHeight="1" x14ac:dyDescent="0.2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spans="1:26" ht="15.75" customHeight="1" x14ac:dyDescent="0.2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spans="1:26" ht="15.75" customHeight="1" x14ac:dyDescent="0.2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spans="1:26" ht="15.75" customHeight="1" x14ac:dyDescent="0.2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spans="1:26" ht="15.75" customHeight="1" x14ac:dyDescent="0.2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spans="1:26" ht="15.75" customHeight="1" x14ac:dyDescent="0.2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spans="1:26" ht="15.75" customHeight="1" x14ac:dyDescent="0.2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spans="1:26" ht="15.75" customHeight="1" x14ac:dyDescent="0.2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spans="1:26" ht="15.75" customHeight="1" x14ac:dyDescent="0.2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spans="1:26" ht="15.75" customHeight="1" x14ac:dyDescent="0.2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spans="1:26" ht="15.75" customHeight="1" x14ac:dyDescent="0.2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spans="1:26" ht="15.75" customHeight="1" x14ac:dyDescent="0.2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spans="1:26" ht="15.75" customHeight="1" x14ac:dyDescent="0.2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spans="1:26" ht="15.75" customHeight="1" x14ac:dyDescent="0.2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spans="1:26" ht="15.75" customHeight="1" x14ac:dyDescent="0.2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spans="1:26" ht="15.75" customHeight="1" x14ac:dyDescent="0.2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spans="1:26" ht="15.75" customHeight="1" x14ac:dyDescent="0.2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spans="1:26" ht="15.75" customHeight="1" x14ac:dyDescent="0.2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spans="1:26" ht="15.75" customHeight="1" x14ac:dyDescent="0.2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spans="1:26" ht="15.75" customHeight="1" x14ac:dyDescent="0.2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spans="1:26" ht="15.75" customHeight="1" x14ac:dyDescent="0.2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spans="1:26" ht="15.75" customHeight="1" x14ac:dyDescent="0.2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spans="1:26" ht="15.75" customHeight="1" x14ac:dyDescent="0.2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spans="1:26" ht="15.75" customHeight="1" x14ac:dyDescent="0.2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spans="1:26" ht="15.75" customHeight="1" x14ac:dyDescent="0.2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spans="1:26" ht="15.75" customHeight="1" x14ac:dyDescent="0.2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spans="1:26" ht="15.75" customHeight="1" x14ac:dyDescent="0.2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spans="1:26" ht="15.75" customHeight="1" x14ac:dyDescent="0.2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spans="1:26" ht="15.75" customHeight="1" x14ac:dyDescent="0.2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spans="1:26" ht="15.75" customHeight="1" x14ac:dyDescent="0.2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spans="1:26" ht="15.75" customHeight="1" x14ac:dyDescent="0.2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spans="1:26" ht="15.75" customHeight="1" x14ac:dyDescent="0.2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spans="1:26" ht="15.75" customHeight="1" x14ac:dyDescent="0.2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spans="1:26" ht="15.75" customHeight="1" x14ac:dyDescent="0.2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spans="1:26" ht="15.75" customHeight="1" x14ac:dyDescent="0.2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spans="1:26" ht="15.75" customHeight="1" x14ac:dyDescent="0.2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spans="1:26" ht="15.75" customHeight="1" x14ac:dyDescent="0.2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spans="1:26" ht="15.75" customHeight="1" x14ac:dyDescent="0.2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spans="1:26" ht="15.75" customHeight="1" x14ac:dyDescent="0.2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spans="1:26" ht="15.75" customHeight="1" x14ac:dyDescent="0.2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spans="1:26" ht="15.75" customHeight="1" x14ac:dyDescent="0.2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spans="1:26" ht="15.75" customHeight="1" x14ac:dyDescent="0.2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ht="15.75" customHeight="1" x14ac:dyDescent="0.2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spans="1:26" ht="15.75" customHeight="1" x14ac:dyDescent="0.2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spans="1:26" ht="15.75" customHeight="1" x14ac:dyDescent="0.2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spans="1:26" ht="15.75" customHeight="1" x14ac:dyDescent="0.2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spans="1:26" ht="15.75" customHeight="1" x14ac:dyDescent="0.2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spans="1:26" ht="15.75" customHeight="1" x14ac:dyDescent="0.2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spans="1:26" ht="15.75" customHeight="1" x14ac:dyDescent="0.2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spans="1:26" ht="15.75" customHeight="1" x14ac:dyDescent="0.2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spans="1:26" ht="15.75" customHeight="1" x14ac:dyDescent="0.2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spans="1:26" ht="15.75" customHeight="1" x14ac:dyDescent="0.2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spans="1:26" ht="15.75" customHeight="1" x14ac:dyDescent="0.2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spans="1:26" ht="15.75" customHeight="1" x14ac:dyDescent="0.2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spans="1:26" ht="15.75" customHeight="1" x14ac:dyDescent="0.2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spans="1:26" ht="15.75" customHeight="1" x14ac:dyDescent="0.2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spans="1:26" ht="15.75" customHeight="1" x14ac:dyDescent="0.2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spans="1:26" ht="15.75" customHeight="1" x14ac:dyDescent="0.2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spans="1:26" ht="15.75" customHeight="1" x14ac:dyDescent="0.2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spans="1:26" ht="15.75" customHeight="1" x14ac:dyDescent="0.2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spans="1:26" ht="15.75" customHeight="1" x14ac:dyDescent="0.2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spans="1:26" ht="15.75" customHeight="1" x14ac:dyDescent="0.2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spans="1:26" ht="15.75" customHeight="1" x14ac:dyDescent="0.2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spans="1:26" ht="15.75" customHeight="1" x14ac:dyDescent="0.2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spans="1:26" ht="15.75" customHeight="1" x14ac:dyDescent="0.2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spans="1:26" ht="15.75" customHeight="1" x14ac:dyDescent="0.2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spans="1:26" ht="15.75" customHeight="1" x14ac:dyDescent="0.2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spans="1:26" ht="15.75" customHeight="1" x14ac:dyDescent="0.2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spans="1:26" ht="15.75" customHeight="1" x14ac:dyDescent="0.2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spans="1:26" ht="15.75" customHeight="1" x14ac:dyDescent="0.2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spans="1:26" ht="15.75" customHeight="1" x14ac:dyDescent="0.2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spans="1:26" ht="15.75" customHeight="1" x14ac:dyDescent="0.2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spans="1:26" ht="15.75" customHeight="1" x14ac:dyDescent="0.2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spans="1:26" ht="15.75" customHeight="1" x14ac:dyDescent="0.2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spans="1:26" ht="15.75" customHeight="1" x14ac:dyDescent="0.2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spans="1:26" ht="15.75" customHeight="1" x14ac:dyDescent="0.2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spans="1:26" ht="15.75" customHeight="1" x14ac:dyDescent="0.2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spans="1:26" ht="15.75" customHeight="1" x14ac:dyDescent="0.2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spans="1:26" ht="15.75" customHeight="1" x14ac:dyDescent="0.2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spans="1:26" ht="15.75" customHeight="1" x14ac:dyDescent="0.2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spans="1:26" ht="15.75" customHeight="1" x14ac:dyDescent="0.2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spans="1:26" ht="15.75" customHeight="1" x14ac:dyDescent="0.2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spans="1:26" ht="15.75" customHeight="1" x14ac:dyDescent="0.2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spans="1:26" ht="15.75" customHeight="1" x14ac:dyDescent="0.2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spans="1:26" ht="15.75" customHeight="1" x14ac:dyDescent="0.2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spans="1:26" ht="15.75" customHeight="1" x14ac:dyDescent="0.2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spans="1:26" ht="15.75" customHeight="1" x14ac:dyDescent="0.2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spans="1:26" ht="15.75" customHeight="1" x14ac:dyDescent="0.2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spans="1:26" ht="15.75" customHeight="1" x14ac:dyDescent="0.2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spans="1:26" ht="15.75" customHeight="1" x14ac:dyDescent="0.2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spans="1:26" ht="15.75" customHeight="1" x14ac:dyDescent="0.2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spans="1:26" ht="15.75" customHeight="1" x14ac:dyDescent="0.2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spans="1:26" ht="15.75" customHeight="1" x14ac:dyDescent="0.2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spans="1:26" ht="15.75" customHeight="1" x14ac:dyDescent="0.2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spans="1:26" ht="15.75" customHeight="1" x14ac:dyDescent="0.2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spans="1:26" ht="15.75" customHeight="1" x14ac:dyDescent="0.2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spans="1:26" ht="15.75" customHeight="1" x14ac:dyDescent="0.2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spans="1:26" ht="15.75" customHeight="1" x14ac:dyDescent="0.2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spans="1:26" ht="15.75" customHeight="1" x14ac:dyDescent="0.2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spans="1:26" ht="15.75" customHeight="1" x14ac:dyDescent="0.2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spans="1:26" ht="15.75" customHeight="1" x14ac:dyDescent="0.2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spans="1:26" ht="15.75" customHeight="1" x14ac:dyDescent="0.2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spans="1:26" ht="15.75" customHeight="1" x14ac:dyDescent="0.2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spans="1:26" ht="15.75" customHeight="1" x14ac:dyDescent="0.2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spans="1:26" ht="15.75" customHeight="1" x14ac:dyDescent="0.2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spans="1:26" ht="15.75" customHeight="1" x14ac:dyDescent="0.2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spans="1:26" ht="15.75" customHeight="1" x14ac:dyDescent="0.2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spans="1:26" ht="15.75" customHeight="1" x14ac:dyDescent="0.2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spans="1:26" ht="15.75" customHeight="1" x14ac:dyDescent="0.2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spans="1:26" ht="15.75" customHeight="1" x14ac:dyDescent="0.2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spans="1:26" ht="15.75" customHeight="1" x14ac:dyDescent="0.2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spans="1:26" ht="15.75" customHeight="1" x14ac:dyDescent="0.2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spans="1:26" ht="15.75" customHeight="1" x14ac:dyDescent="0.2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spans="1:26" ht="15.75" customHeight="1" x14ac:dyDescent="0.2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spans="1:26" ht="15.75" customHeight="1" x14ac:dyDescent="0.2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spans="1:26" ht="15.75" customHeight="1" x14ac:dyDescent="0.2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spans="1:26" ht="15.75" customHeight="1" x14ac:dyDescent="0.2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spans="1:26" ht="15.75" customHeight="1" x14ac:dyDescent="0.2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spans="1:26" ht="15.75" customHeight="1" x14ac:dyDescent="0.2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spans="1:26" ht="15.75" customHeight="1" x14ac:dyDescent="0.2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spans="1:26" ht="15.75" customHeight="1" x14ac:dyDescent="0.2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spans="1:26" ht="15.75" customHeight="1" x14ac:dyDescent="0.2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spans="1:26" ht="15.75" customHeight="1" x14ac:dyDescent="0.2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spans="1:26" ht="15.75" customHeight="1" x14ac:dyDescent="0.2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spans="1:26" ht="15.75" customHeight="1" x14ac:dyDescent="0.2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spans="1:26" ht="15.75" customHeight="1" x14ac:dyDescent="0.2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spans="1:26" ht="15.75" customHeight="1" x14ac:dyDescent="0.2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spans="1:26" ht="15.75" customHeight="1" x14ac:dyDescent="0.2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spans="1:26" ht="15.75" customHeight="1" x14ac:dyDescent="0.2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spans="1:26" ht="15.75" customHeight="1" x14ac:dyDescent="0.2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spans="1:26" ht="15.75" customHeight="1" x14ac:dyDescent="0.2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spans="1:26" ht="15.75" customHeight="1" x14ac:dyDescent="0.2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spans="1:26" ht="15.75" customHeight="1" x14ac:dyDescent="0.2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spans="1:26" ht="15.75" customHeight="1" x14ac:dyDescent="0.2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spans="1:26" ht="15.75" customHeight="1" x14ac:dyDescent="0.2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spans="1:26" ht="15.75" customHeight="1" x14ac:dyDescent="0.2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spans="1:26" ht="15.75" customHeight="1" x14ac:dyDescent="0.2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spans="1:26" ht="15.75" customHeight="1" x14ac:dyDescent="0.2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spans="1:26" ht="15.75" customHeight="1" x14ac:dyDescent="0.2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spans="1:26" ht="15.75" customHeight="1" x14ac:dyDescent="0.2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spans="1:26" ht="15.75" customHeight="1" x14ac:dyDescent="0.2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spans="1:26" ht="15.75" customHeight="1" x14ac:dyDescent="0.2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spans="1:26" ht="15.75" customHeight="1" x14ac:dyDescent="0.2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spans="1:26" ht="15.75" customHeight="1" x14ac:dyDescent="0.2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spans="1:26" ht="15.75" customHeight="1" x14ac:dyDescent="0.2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spans="1:26" ht="15.75" customHeight="1" x14ac:dyDescent="0.2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spans="1:26" ht="15.75" customHeight="1" x14ac:dyDescent="0.2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spans="1:26" ht="15.75" customHeight="1" x14ac:dyDescent="0.2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spans="1:26" ht="15.75" customHeight="1" x14ac:dyDescent="0.2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spans="1:26" ht="15.75" customHeight="1" x14ac:dyDescent="0.2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spans="1:26" ht="15.75" customHeight="1" x14ac:dyDescent="0.2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spans="1:26" ht="15.75" customHeight="1" x14ac:dyDescent="0.2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spans="1:26" ht="15.75" customHeight="1" x14ac:dyDescent="0.2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spans="1:26" ht="15.75" customHeight="1" x14ac:dyDescent="0.2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spans="1:26" ht="15.75" customHeight="1" x14ac:dyDescent="0.2"/>
    <row r="255" spans="1:26" ht="15.75" customHeight="1" x14ac:dyDescent="0.2"/>
    <row r="256" spans="1:2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C7FE5-8E86-554E-B49A-E8D2C297BA5F}">
  <sheetPr codeName="Feuil11">
    <tabColor rgb="FF92D050"/>
    <pageSetUpPr fitToPage="1"/>
  </sheetPr>
  <dimension ref="A1:AE1005"/>
  <sheetViews>
    <sheetView zoomScale="80" zoomScaleNormal="80" workbookViewId="0">
      <pane ySplit="2" topLeftCell="A35" activePane="bottomLeft" state="frozen"/>
      <selection pane="bottomLeft" activeCell="C10" sqref="C10"/>
    </sheetView>
  </sheetViews>
  <sheetFormatPr baseColWidth="10" defaultColWidth="10.140625" defaultRowHeight="15" customHeight="1" outlineLevelCol="1" x14ac:dyDescent="0.2"/>
  <cols>
    <col min="1" max="1" width="10.7109375" style="181" bestFit="1" customWidth="1"/>
    <col min="2" max="2" width="22.42578125" bestFit="1" customWidth="1"/>
    <col min="3" max="3" width="15.5703125" customWidth="1"/>
    <col min="4" max="4" width="11.5703125" style="142" customWidth="1"/>
    <col min="5" max="5" width="18.140625" customWidth="1"/>
    <col min="6" max="6" width="1.28515625" style="172" customWidth="1"/>
    <col min="7" max="8" width="18.140625" customWidth="1"/>
    <col min="9" max="9" width="1.28515625" style="172" customWidth="1"/>
    <col min="10" max="10" width="21.7109375" customWidth="1" outlineLevel="1"/>
    <col min="11" max="11" width="12.7109375" customWidth="1" outlineLevel="1"/>
    <col min="12" max="12" width="15.5703125" customWidth="1" outlineLevel="1"/>
    <col min="13" max="13" width="14.42578125" customWidth="1" outlineLevel="1"/>
    <col min="14" max="14" width="11" customWidth="1" outlineLevel="1"/>
    <col min="15" max="15" width="14.85546875" customWidth="1" outlineLevel="1"/>
    <col min="16" max="16" width="16.5703125" customWidth="1"/>
    <col min="17" max="19" width="8.42578125" customWidth="1"/>
    <col min="20" max="20" width="16.42578125" customWidth="1"/>
    <col min="21" max="21" width="12.28515625" customWidth="1"/>
    <col min="22" max="31" width="8.42578125" customWidth="1"/>
  </cols>
  <sheetData>
    <row r="1" spans="1:31" ht="15.75" customHeight="1" x14ac:dyDescent="0.2">
      <c r="B1" s="29" t="s">
        <v>15</v>
      </c>
      <c r="C1" s="109">
        <v>7000</v>
      </c>
      <c r="D1" s="159"/>
      <c r="E1" s="30"/>
      <c r="F1" s="166"/>
      <c r="G1" s="30"/>
      <c r="H1" s="30"/>
      <c r="I1" s="166"/>
      <c r="J1" s="31">
        <v>0.2</v>
      </c>
      <c r="K1" s="32" t="s">
        <v>1</v>
      </c>
      <c r="L1" s="89">
        <f>C4/12</f>
        <v>2800</v>
      </c>
      <c r="M1" s="32"/>
      <c r="N1" s="1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ht="15.75" customHeight="1" x14ac:dyDescent="0.2">
      <c r="B2" s="10"/>
      <c r="C2" s="163" t="s">
        <v>0</v>
      </c>
      <c r="D2" s="164" t="s">
        <v>1</v>
      </c>
      <c r="E2" s="86" t="s">
        <v>2</v>
      </c>
      <c r="F2" s="167"/>
      <c r="G2" s="86" t="s">
        <v>422</v>
      </c>
      <c r="H2" s="86" t="s">
        <v>421</v>
      </c>
      <c r="I2" s="167"/>
      <c r="J2" s="10"/>
      <c r="K2" s="2"/>
      <c r="L2" s="6">
        <f>C1+L1</f>
        <v>9800</v>
      </c>
      <c r="M2" s="2"/>
      <c r="N2" s="12"/>
      <c r="O2" s="34"/>
      <c r="P2" s="35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31" ht="15.75" customHeight="1" x14ac:dyDescent="0.2">
      <c r="A3" s="181" t="s">
        <v>246</v>
      </c>
      <c r="B3" s="176" t="s">
        <v>16</v>
      </c>
      <c r="C3" s="114">
        <f>C1*12</f>
        <v>84000</v>
      </c>
      <c r="D3" s="160"/>
      <c r="E3" s="38">
        <f t="shared" ref="E3:E6" si="0">C3+D3</f>
        <v>84000</v>
      </c>
      <c r="F3" s="168"/>
      <c r="G3" s="38">
        <f>-(SUMIF('Pointage BQ 24-25'!$F$2:$F$492,"REM",'Pointage BQ 24-25'!$C$2:$C$492))</f>
        <v>27600</v>
      </c>
      <c r="H3" s="38">
        <f>E3-G3</f>
        <v>56400</v>
      </c>
      <c r="I3" s="168"/>
      <c r="J3" s="162">
        <f>C3+C4</f>
        <v>117600</v>
      </c>
      <c r="K3" s="6">
        <f>J3+J5</f>
        <v>122784</v>
      </c>
      <c r="L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1:31" ht="15.75" customHeight="1" x14ac:dyDescent="0.2">
      <c r="A4" s="181" t="s">
        <v>248</v>
      </c>
      <c r="B4" s="176" t="s">
        <v>248</v>
      </c>
      <c r="C4" s="114">
        <f>C3*40%</f>
        <v>33600</v>
      </c>
      <c r="D4" s="160"/>
      <c r="E4" s="38">
        <f t="shared" si="0"/>
        <v>33600</v>
      </c>
      <c r="F4" s="168"/>
      <c r="G4" s="38">
        <f>-(SUMIF('Pointage BQ 24-25'!$F$2:$F$492,"URSSAF",'Pointage BQ 24-25'!$C$2:$C$492))</f>
        <v>7869</v>
      </c>
      <c r="H4" s="38">
        <f t="shared" ref="H4:H6" si="1">E4-G4</f>
        <v>25731</v>
      </c>
      <c r="I4" s="168"/>
      <c r="K4" s="6">
        <f>K3/12</f>
        <v>10232</v>
      </c>
      <c r="L4" s="2"/>
      <c r="M4" s="108"/>
      <c r="R4" s="2"/>
      <c r="S4" s="2"/>
      <c r="T4" s="2"/>
      <c r="U4" s="6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1:31" ht="15.75" customHeight="1" thickBot="1" x14ac:dyDescent="0.25">
      <c r="A5" s="181" t="s">
        <v>251</v>
      </c>
      <c r="B5" s="176" t="s">
        <v>19</v>
      </c>
      <c r="C5" s="114">
        <f>66*12*2</f>
        <v>1584</v>
      </c>
      <c r="D5" s="160"/>
      <c r="E5" s="38">
        <f t="shared" si="0"/>
        <v>1584</v>
      </c>
      <c r="F5" s="168"/>
      <c r="G5" s="38">
        <f>-(SUMIF('Pointage BQ 24-25'!$F$2:$F$492,"PREV",'Pointage BQ 24-25'!$C$2:$C$492))</f>
        <v>833.5999999999998</v>
      </c>
      <c r="H5" s="38">
        <f t="shared" si="1"/>
        <v>750.4000000000002</v>
      </c>
      <c r="I5" s="168"/>
      <c r="J5" s="162">
        <f>C5+C6</f>
        <v>5184</v>
      </c>
      <c r="K5" s="2"/>
      <c r="L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31" ht="15.75" customHeight="1" x14ac:dyDescent="0.2">
      <c r="A6" s="181" t="s">
        <v>402</v>
      </c>
      <c r="B6" s="176" t="s">
        <v>96</v>
      </c>
      <c r="C6" s="114">
        <f>150*12*2</f>
        <v>3600</v>
      </c>
      <c r="D6" s="160"/>
      <c r="E6" s="38">
        <f t="shared" si="0"/>
        <v>3600</v>
      </c>
      <c r="F6" s="168"/>
      <c r="G6" s="38">
        <f>-(SUMIF('Pointage BQ 24-25'!$F$2:$F$492,"PER",'Pointage BQ 24-25'!$C$2:$C$492))</f>
        <v>0</v>
      </c>
      <c r="H6" s="38">
        <f t="shared" si="1"/>
        <v>3600</v>
      </c>
      <c r="I6" s="168"/>
      <c r="K6" s="2"/>
      <c r="L6" s="115" t="s">
        <v>17</v>
      </c>
      <c r="M6" s="116">
        <f>M7/8</f>
        <v>254.57664373088687</v>
      </c>
      <c r="O6" s="142">
        <v>100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</row>
    <row r="7" spans="1:31" ht="15.75" customHeight="1" x14ac:dyDescent="0.2">
      <c r="B7" s="10" t="s">
        <v>443</v>
      </c>
      <c r="C7" s="36">
        <f>120*12</f>
        <v>1440</v>
      </c>
      <c r="D7" s="160"/>
      <c r="E7" s="38"/>
      <c r="F7" s="168"/>
      <c r="G7" s="38"/>
      <c r="H7" s="38"/>
      <c r="I7" s="168"/>
      <c r="J7" s="33"/>
      <c r="K7" s="2"/>
      <c r="L7" s="117" t="s">
        <v>112</v>
      </c>
      <c r="M7" s="118">
        <f>C42/M8</f>
        <v>2036.613149847095</v>
      </c>
      <c r="O7" s="142">
        <f>O6*8</f>
        <v>800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</row>
    <row r="8" spans="1:31" ht="15.75" customHeight="1" x14ac:dyDescent="0.2">
      <c r="B8" s="10"/>
      <c r="C8" s="2"/>
      <c r="D8" s="160"/>
      <c r="E8" s="38"/>
      <c r="F8" s="168"/>
      <c r="G8" s="38"/>
      <c r="H8" s="38"/>
      <c r="I8" s="168"/>
      <c r="K8" s="2"/>
      <c r="L8" s="117" t="s">
        <v>20</v>
      </c>
      <c r="M8" s="119">
        <f>M10*218</f>
        <v>130.79999999999998</v>
      </c>
      <c r="O8" s="143">
        <f>M8</f>
        <v>130.79999999999998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1:31" ht="15.75" customHeight="1" x14ac:dyDescent="0.2">
      <c r="A9" s="181" t="s">
        <v>255</v>
      </c>
      <c r="B9" s="174" t="s">
        <v>21</v>
      </c>
      <c r="C9" s="39">
        <f>(200000*6.6815/100)*1.5</f>
        <v>20044.5</v>
      </c>
      <c r="D9" s="160"/>
      <c r="E9" s="38">
        <f t="shared" ref="E9:E20" si="2">C9+D9</f>
        <v>20044.5</v>
      </c>
      <c r="F9" s="168"/>
      <c r="G9" s="38">
        <f>-(SUMIF('Pointage BQ 24-25'!$F$2:$F$492,"SMABTP",'Pointage BQ 24-25'!$C$2:$C$492))</f>
        <v>6862.58</v>
      </c>
      <c r="H9" s="38">
        <f t="shared" ref="H9:H24" si="3">E9-G9</f>
        <v>13181.92</v>
      </c>
      <c r="I9" s="168"/>
      <c r="J9" s="38"/>
      <c r="K9" s="2"/>
      <c r="L9" s="117"/>
      <c r="M9" s="120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</row>
    <row r="10" spans="1:31" ht="15.75" customHeight="1" thickBot="1" x14ac:dyDescent="0.25">
      <c r="A10" s="181" t="s">
        <v>410</v>
      </c>
      <c r="B10" s="174" t="s">
        <v>22</v>
      </c>
      <c r="C10" s="39">
        <f>2*750</f>
        <v>1500</v>
      </c>
      <c r="D10" s="160"/>
      <c r="E10" s="38">
        <f t="shared" si="2"/>
        <v>1500</v>
      </c>
      <c r="F10" s="168"/>
      <c r="G10" s="38">
        <f>-(SUMIF('Pointage BQ 24-25'!$F$2:$F$492,"OA",'Pointage BQ 24-25'!$C$2:$C$492))</f>
        <v>1188</v>
      </c>
      <c r="H10" s="38">
        <f t="shared" si="3"/>
        <v>312</v>
      </c>
      <c r="I10" s="168"/>
      <c r="J10" s="10"/>
      <c r="K10" s="2"/>
      <c r="L10" s="121" t="s">
        <v>111</v>
      </c>
      <c r="M10" s="122">
        <v>0.6</v>
      </c>
      <c r="O10" s="142">
        <f>O7*O8</f>
        <v>104639.99999999999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1:31" ht="15.75" customHeight="1" x14ac:dyDescent="0.35">
      <c r="A11" s="181" t="s">
        <v>23</v>
      </c>
      <c r="B11" s="174" t="s">
        <v>23</v>
      </c>
      <c r="C11" s="41">
        <f>2*410</f>
        <v>820</v>
      </c>
      <c r="D11" s="160"/>
      <c r="E11" s="38">
        <f t="shared" si="2"/>
        <v>820</v>
      </c>
      <c r="F11" s="168"/>
      <c r="G11" s="38">
        <f>-(SUMIF('Pointage BQ 24-25'!$F$2:$F$492,"CFE",'Pointage BQ 24-25'!$C$2:$C$492))</f>
        <v>483</v>
      </c>
      <c r="H11" s="38">
        <f t="shared" si="3"/>
        <v>337</v>
      </c>
      <c r="I11" s="168"/>
      <c r="J11" s="10"/>
      <c r="K11" s="2"/>
      <c r="L11" s="40"/>
      <c r="M11" s="2"/>
      <c r="N11" s="12"/>
      <c r="O11" s="2"/>
      <c r="P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</row>
    <row r="12" spans="1:31" ht="15.75" customHeight="1" x14ac:dyDescent="0.35">
      <c r="A12" s="181" t="s">
        <v>259</v>
      </c>
      <c r="B12" s="174" t="s">
        <v>24</v>
      </c>
      <c r="C12" s="39">
        <v>350</v>
      </c>
      <c r="D12" s="160"/>
      <c r="E12" s="38">
        <f t="shared" si="2"/>
        <v>350</v>
      </c>
      <c r="F12" s="168"/>
      <c r="G12" s="38">
        <f>-(SUMIF('Pointage BQ 24-25'!$F$2:$F$492,"PJ",'Pointage BQ 24-25'!$C$2:$C$492))</f>
        <v>291.24</v>
      </c>
      <c r="H12" s="38">
        <f t="shared" si="3"/>
        <v>58.759999999999991</v>
      </c>
      <c r="I12" s="168"/>
      <c r="J12" s="10"/>
      <c r="K12" s="2"/>
      <c r="L12" s="40"/>
      <c r="M12" s="2"/>
      <c r="N12" s="12"/>
      <c r="O12" s="2"/>
      <c r="P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</row>
    <row r="13" spans="1:31" ht="15.75" customHeight="1" x14ac:dyDescent="0.35">
      <c r="A13" s="181" t="s">
        <v>417</v>
      </c>
      <c r="B13" s="174" t="s">
        <v>418</v>
      </c>
      <c r="C13" s="41">
        <v>700</v>
      </c>
      <c r="D13" s="160"/>
      <c r="E13" s="38">
        <f t="shared" si="2"/>
        <v>700</v>
      </c>
      <c r="F13" s="168"/>
      <c r="G13" s="38">
        <f>-(SUMIF('Pointage BQ 24-25'!$F$2:$F$492,"REESO",'Pointage BQ 24-25'!$C$2:$C$492))</f>
        <v>0</v>
      </c>
      <c r="H13" s="38">
        <f t="shared" si="3"/>
        <v>700</v>
      </c>
      <c r="I13" s="168"/>
      <c r="J13" s="10"/>
      <c r="K13" s="2"/>
      <c r="L13" s="40"/>
      <c r="M13" s="2"/>
      <c r="N13" s="12"/>
      <c r="O13" s="2"/>
      <c r="P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</row>
    <row r="14" spans="1:31" ht="15.75" customHeight="1" x14ac:dyDescent="0.2">
      <c r="A14" s="181" t="s">
        <v>403</v>
      </c>
      <c r="B14" s="174" t="s">
        <v>415</v>
      </c>
      <c r="C14" s="41">
        <f>360 +326</f>
        <v>686</v>
      </c>
      <c r="D14" s="160">
        <f t="shared" ref="D14:D20" si="4">C14*$J$1</f>
        <v>137.20000000000002</v>
      </c>
      <c r="E14" s="38">
        <f t="shared" si="2"/>
        <v>823.2</v>
      </c>
      <c r="F14" s="168"/>
      <c r="G14" s="38">
        <f>-(SUMIF('Pointage BQ 24-25'!$F$2:$F$492,"FOURN",'Pointage BQ 24-25'!$C$2:$C$492))</f>
        <v>835.18000000000006</v>
      </c>
      <c r="H14" s="38">
        <f t="shared" si="3"/>
        <v>-11.980000000000018</v>
      </c>
      <c r="I14" s="168"/>
      <c r="J14" s="10"/>
      <c r="K14" s="2"/>
      <c r="O14" s="2"/>
      <c r="P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</row>
    <row r="15" spans="1:31" ht="15.75" customHeight="1" x14ac:dyDescent="0.2">
      <c r="A15" s="181" t="s">
        <v>396</v>
      </c>
      <c r="B15" s="174" t="s">
        <v>416</v>
      </c>
      <c r="C15" s="41">
        <v>300</v>
      </c>
      <c r="D15" s="160">
        <f t="shared" si="4"/>
        <v>60</v>
      </c>
      <c r="E15" s="38">
        <f t="shared" si="2"/>
        <v>360</v>
      </c>
      <c r="F15" s="168"/>
      <c r="G15" s="38">
        <f>-(SUMIF('Pointage BQ 24-25'!$F$2:$F$492,"DIVERS",'Pointage BQ 24-25'!$C$2:$C$492))</f>
        <v>340.5</v>
      </c>
      <c r="H15" s="38">
        <f t="shared" si="3"/>
        <v>19.5</v>
      </c>
      <c r="I15" s="168"/>
      <c r="J15" s="10"/>
      <c r="K15" s="2"/>
      <c r="O15" s="2"/>
      <c r="P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</row>
    <row r="16" spans="1:31" ht="15.75" customHeight="1" x14ac:dyDescent="0.2">
      <c r="A16" s="181" t="s">
        <v>411</v>
      </c>
      <c r="B16" s="174" t="s">
        <v>424</v>
      </c>
      <c r="C16" s="41">
        <f>4000/3</f>
        <v>1333.3333333333333</v>
      </c>
      <c r="D16" s="160">
        <f t="shared" si="4"/>
        <v>266.66666666666669</v>
      </c>
      <c r="E16" s="38">
        <f t="shared" si="2"/>
        <v>1600</v>
      </c>
      <c r="F16" s="168"/>
      <c r="G16" s="38">
        <f>-(SUMIF('Pointage BQ 24-25'!$F$2:$F$492,"INFO MATOS",'Pointage BQ 24-25'!$C$2:$C$492))/3</f>
        <v>3023.0566666666673</v>
      </c>
      <c r="H16" s="38">
        <f>E16-G16</f>
        <v>-1423.0566666666673</v>
      </c>
      <c r="I16" s="168"/>
      <c r="J16" s="10"/>
      <c r="K16" s="158">
        <v>24442.71</v>
      </c>
      <c r="L16" s="87" t="s">
        <v>84</v>
      </c>
      <c r="N16" s="157"/>
      <c r="O16" s="37"/>
      <c r="P16" s="2"/>
      <c r="R16" s="99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</row>
    <row r="17" spans="1:31" ht="15.75" customHeight="1" x14ac:dyDescent="0.2">
      <c r="A17" s="181" t="s">
        <v>412</v>
      </c>
      <c r="B17" s="174" t="s">
        <v>407</v>
      </c>
      <c r="C17" s="41">
        <v>500</v>
      </c>
      <c r="D17" s="160">
        <f t="shared" si="4"/>
        <v>100</v>
      </c>
      <c r="E17" s="38">
        <f>C17+D17</f>
        <v>600</v>
      </c>
      <c r="F17" s="168"/>
      <c r="G17" s="38">
        <f>-(SUMIF('Pointage BQ 24-25'!$F$2:$F$492,"LOGICIEL",'Pointage BQ 24-25'!$C$2:$C$492))</f>
        <v>1160.51</v>
      </c>
      <c r="H17" s="38">
        <f t="shared" si="3"/>
        <v>-560.51</v>
      </c>
      <c r="I17" s="168"/>
      <c r="J17" s="17" t="s">
        <v>160</v>
      </c>
      <c r="K17" s="2"/>
      <c r="N17" s="157"/>
      <c r="O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</row>
    <row r="18" spans="1:31" ht="15.75" customHeight="1" x14ac:dyDescent="0.2">
      <c r="A18" s="181" t="s">
        <v>265</v>
      </c>
      <c r="B18" s="174" t="s">
        <v>25</v>
      </c>
      <c r="C18" s="41">
        <v>1200</v>
      </c>
      <c r="D18" s="160">
        <f t="shared" si="4"/>
        <v>240</v>
      </c>
      <c r="E18" s="38">
        <f t="shared" si="2"/>
        <v>1440</v>
      </c>
      <c r="F18" s="168"/>
      <c r="G18" s="38">
        <f>-(SUMIF('Pointage BQ 24-25'!$F$2:$F$492,"RESTO",'Pointage BQ 24-25'!$C$2:$C$492))</f>
        <v>1173.4199999999998</v>
      </c>
      <c r="H18" s="38">
        <f t="shared" si="3"/>
        <v>266.58000000000015</v>
      </c>
      <c r="I18" s="168"/>
      <c r="J18" s="10"/>
      <c r="K18" s="158">
        <v>2036.89</v>
      </c>
      <c r="L18" s="108"/>
      <c r="N18" s="157"/>
      <c r="O18" s="2"/>
      <c r="P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</row>
    <row r="19" spans="1:31" ht="15.75" customHeight="1" x14ac:dyDescent="0.2">
      <c r="A19" s="181" t="s">
        <v>404</v>
      </c>
      <c r="B19" s="174" t="s">
        <v>26</v>
      </c>
      <c r="C19" s="41">
        <v>50</v>
      </c>
      <c r="D19" s="160">
        <f t="shared" si="4"/>
        <v>10</v>
      </c>
      <c r="E19" s="38">
        <f t="shared" si="2"/>
        <v>60</v>
      </c>
      <c r="F19" s="168"/>
      <c r="G19" s="38">
        <f>-(SUMIF('Pointage BQ 24-25'!$F$2:$F$492,"POSTE",'Pointage BQ 24-25'!$C$2:$C$492))</f>
        <v>27.26</v>
      </c>
      <c r="H19" s="38">
        <f t="shared" si="3"/>
        <v>32.739999999999995</v>
      </c>
      <c r="I19" s="168"/>
      <c r="J19" s="10"/>
      <c r="K19" s="2"/>
      <c r="N19" s="157"/>
      <c r="O19" s="2"/>
      <c r="P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</row>
    <row r="20" spans="1:31" ht="15.75" customHeight="1" x14ac:dyDescent="0.2">
      <c r="A20" s="181" t="s">
        <v>413</v>
      </c>
      <c r="B20" s="174" t="s">
        <v>408</v>
      </c>
      <c r="C20" s="88">
        <v>523</v>
      </c>
      <c r="D20" s="160">
        <f t="shared" si="4"/>
        <v>104.60000000000001</v>
      </c>
      <c r="E20" s="38">
        <f t="shared" si="2"/>
        <v>627.6</v>
      </c>
      <c r="F20" s="168"/>
      <c r="G20" s="38">
        <f>-(SUMIF('Pointage BQ 24-25'!$F$2:$F$492,"FBQ",'Pointage BQ 24-25'!$C$2:$C$492))</f>
        <v>649.48</v>
      </c>
      <c r="H20" s="38">
        <f t="shared" si="3"/>
        <v>-21.879999999999995</v>
      </c>
      <c r="I20" s="168"/>
      <c r="J20" s="10"/>
      <c r="K20" s="2"/>
      <c r="N20" s="157"/>
      <c r="O20" s="2"/>
      <c r="P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</row>
    <row r="21" spans="1:31" ht="15.75" customHeight="1" x14ac:dyDescent="0.2">
      <c r="A21" s="181" t="s">
        <v>405</v>
      </c>
      <c r="B21" s="174" t="s">
        <v>409</v>
      </c>
      <c r="C21" s="39">
        <v>600</v>
      </c>
      <c r="D21" s="160">
        <f>C21*J1</f>
        <v>120</v>
      </c>
      <c r="E21" s="38">
        <f>D21+C21</f>
        <v>720</v>
      </c>
      <c r="F21" s="168"/>
      <c r="G21" s="38">
        <f>-(SUMIF('Pointage BQ 24-25'!$F$2:$F$492,"SITE",'Pointage BQ 24-25'!$C$2:$C$492))</f>
        <v>588.65</v>
      </c>
      <c r="H21" s="38">
        <f t="shared" si="3"/>
        <v>131.35000000000002</v>
      </c>
      <c r="I21" s="168"/>
      <c r="J21" s="10"/>
      <c r="K21" s="2"/>
      <c r="L21" s="110"/>
      <c r="M21" s="111"/>
      <c r="N21" s="157"/>
      <c r="O21" s="2"/>
      <c r="P21" s="2"/>
      <c r="R21" s="2"/>
      <c r="S21" s="2"/>
      <c r="T21" s="6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</row>
    <row r="22" spans="1:31" ht="15.75" customHeight="1" x14ac:dyDescent="0.2">
      <c r="A22" s="181" t="s">
        <v>273</v>
      </c>
      <c r="B22" s="174" t="s">
        <v>29</v>
      </c>
      <c r="C22" s="39">
        <v>900</v>
      </c>
      <c r="D22" s="160">
        <f t="shared" ref="D22:D23" si="5">C22*$J$1</f>
        <v>180</v>
      </c>
      <c r="E22" s="38">
        <f>C22+D22</f>
        <v>1080</v>
      </c>
      <c r="F22" s="168"/>
      <c r="G22" s="38">
        <f>-(SUMIF('Pointage BQ 24-25'!$F$2:$F$492,"TEL",'Pointage BQ 24-25'!$C$2:$C$492))</f>
        <v>319.47999999999996</v>
      </c>
      <c r="H22" s="38">
        <f t="shared" si="3"/>
        <v>760.52</v>
      </c>
      <c r="I22" s="168"/>
      <c r="J22" s="10"/>
      <c r="K22" s="2"/>
      <c r="L22" s="110"/>
      <c r="M22" s="111"/>
      <c r="N22" s="157"/>
      <c r="O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</row>
    <row r="23" spans="1:31" ht="15.75" customHeight="1" x14ac:dyDescent="0.2">
      <c r="A23" s="181" t="s">
        <v>257</v>
      </c>
      <c r="B23" s="174" t="s">
        <v>30</v>
      </c>
      <c r="C23" s="39">
        <v>3500</v>
      </c>
      <c r="D23" s="160">
        <f t="shared" si="5"/>
        <v>700</v>
      </c>
      <c r="E23" s="38">
        <f>D23+C23</f>
        <v>4200</v>
      </c>
      <c r="F23" s="168"/>
      <c r="G23" s="38">
        <f>-(SUMIF('Pointage BQ 24-25'!$F$2:$F$492,"COMPTA",'Pointage BQ 24-25'!$C$2:$C$492))</f>
        <v>2759.67</v>
      </c>
      <c r="H23" s="38">
        <f t="shared" si="3"/>
        <v>1440.33</v>
      </c>
      <c r="I23" s="168"/>
      <c r="J23" s="10"/>
      <c r="K23" s="2"/>
      <c r="L23" s="112"/>
      <c r="M23" s="113"/>
      <c r="N23" s="157"/>
      <c r="O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</row>
    <row r="24" spans="1:31" ht="15.75" customHeight="1" x14ac:dyDescent="0.2">
      <c r="A24" s="181" t="s">
        <v>35</v>
      </c>
      <c r="B24" s="174" t="s">
        <v>35</v>
      </c>
      <c r="C24" s="39">
        <v>5000</v>
      </c>
      <c r="E24" s="38">
        <f t="shared" ref="E24:E31" si="6">C24+D24</f>
        <v>5000</v>
      </c>
      <c r="F24" s="168"/>
      <c r="G24" s="38">
        <f>-(SUMIF('Pointage BQ 24-25'!$F$2:$F$492,"IS",'Pointage BQ 24-25'!$C$2:$C$492))</f>
        <v>1831</v>
      </c>
      <c r="H24" s="38">
        <f t="shared" si="3"/>
        <v>3169</v>
      </c>
      <c r="I24" s="168"/>
      <c r="J24" s="10"/>
      <c r="K24" s="2"/>
      <c r="L24" s="10"/>
      <c r="M24" s="2"/>
      <c r="N24" s="157"/>
      <c r="O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</row>
    <row r="25" spans="1:31" ht="15.75" customHeight="1" x14ac:dyDescent="0.2">
      <c r="D25" s="160"/>
      <c r="E25" s="38"/>
      <c r="F25" s="168"/>
      <c r="G25" s="38"/>
      <c r="H25" s="38"/>
      <c r="I25" s="168"/>
      <c r="J25" s="10"/>
      <c r="K25" s="2"/>
      <c r="L25" s="10"/>
      <c r="M25" s="2"/>
      <c r="N25" s="157"/>
      <c r="O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</row>
    <row r="26" spans="1:31" ht="15.75" customHeight="1" x14ac:dyDescent="0.2">
      <c r="A26" s="181" t="s">
        <v>274</v>
      </c>
      <c r="B26" s="178" t="s">
        <v>33</v>
      </c>
      <c r="C26" s="41">
        <v>15000</v>
      </c>
      <c r="D26" s="160">
        <f t="shared" ref="D26" si="7">C26*$J$1</f>
        <v>3000</v>
      </c>
      <c r="E26" s="38">
        <f t="shared" si="6"/>
        <v>18000</v>
      </c>
      <c r="F26" s="168"/>
      <c r="G26" s="38">
        <f>-(SUMIF('Pointage BQ 24-25'!$F$2:$F$492,"SST",'Pointage BQ 24-25'!$C$2:$C$492))</f>
        <v>16685</v>
      </c>
      <c r="H26" s="38">
        <f t="shared" ref="H26:H31" si="8">E26-G26</f>
        <v>1315</v>
      </c>
      <c r="I26" s="168"/>
      <c r="J26" s="10"/>
      <c r="K26" s="2"/>
      <c r="L26" s="42"/>
      <c r="M26" s="2"/>
      <c r="N26" s="157"/>
      <c r="O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</row>
    <row r="27" spans="1:31" ht="15.75" customHeight="1" x14ac:dyDescent="0.2">
      <c r="A27" s="181" t="s">
        <v>34</v>
      </c>
      <c r="B27" s="178" t="s">
        <v>34</v>
      </c>
      <c r="C27" s="41">
        <v>4000</v>
      </c>
      <c r="D27" s="160"/>
      <c r="E27" s="38">
        <f t="shared" si="6"/>
        <v>4000</v>
      </c>
      <c r="F27" s="168"/>
      <c r="G27" s="38">
        <f>-(SUMIF('Pointage BQ 24-25'!$F$2:$F$492,"CESU",'Pointage BQ 24-25'!$C$2:$C$492))</f>
        <v>2555.8000000000002</v>
      </c>
      <c r="H27" s="38">
        <f t="shared" si="8"/>
        <v>1444.1999999999998</v>
      </c>
      <c r="I27" s="168"/>
      <c r="J27" s="10"/>
      <c r="K27" s="2"/>
      <c r="L27" s="42"/>
      <c r="M27" s="2"/>
      <c r="N27" s="157"/>
      <c r="O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</row>
    <row r="28" spans="1:31" ht="15.75" customHeight="1" x14ac:dyDescent="0.2">
      <c r="A28" s="181" t="s">
        <v>31</v>
      </c>
      <c r="B28" s="178" t="s">
        <v>31</v>
      </c>
      <c r="C28" s="41">
        <v>8000</v>
      </c>
      <c r="D28" s="160"/>
      <c r="E28" s="38">
        <f t="shared" si="6"/>
        <v>8000</v>
      </c>
      <c r="F28" s="168"/>
      <c r="G28" s="38">
        <f>-(SUMIF('Pointage BQ 24-25'!$F$2:$F$492,"IK",'Pointage BQ 24-25'!$C$2:$C$492))</f>
        <v>0</v>
      </c>
      <c r="H28" s="38">
        <f t="shared" si="8"/>
        <v>8000</v>
      </c>
      <c r="I28" s="168"/>
      <c r="J28" s="17" t="s">
        <v>161</v>
      </c>
      <c r="K28" s="2"/>
      <c r="N28" s="157"/>
      <c r="O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 ht="15.75" customHeight="1" x14ac:dyDescent="0.2">
      <c r="A29" s="181" t="s">
        <v>242</v>
      </c>
      <c r="B29" s="178" t="s">
        <v>158</v>
      </c>
      <c r="C29" s="41">
        <f>1065*2*12</f>
        <v>25560</v>
      </c>
      <c r="D29" s="160"/>
      <c r="E29" s="38">
        <f t="shared" si="6"/>
        <v>25560</v>
      </c>
      <c r="F29" s="168"/>
      <c r="G29" s="38">
        <f>-(SUMIF('Pointage BQ 24-25'!$F$2:$F$492,"ADMIN",'Pointage BQ 24-25'!$C$2:$C$492))</f>
        <v>13039.43</v>
      </c>
      <c r="H29" s="38">
        <f t="shared" si="8"/>
        <v>12520.57</v>
      </c>
      <c r="I29" s="168"/>
      <c r="J29" s="17" t="s">
        <v>162</v>
      </c>
      <c r="K29" s="2"/>
      <c r="N29" s="157"/>
      <c r="O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</row>
    <row r="30" spans="1:31" ht="15.75" customHeight="1" x14ac:dyDescent="0.2">
      <c r="A30" s="181" t="s">
        <v>414</v>
      </c>
      <c r="B30" s="178" t="s">
        <v>99</v>
      </c>
      <c r="C30" s="41">
        <f>600*12</f>
        <v>7200</v>
      </c>
      <c r="D30" s="160"/>
      <c r="E30" s="38">
        <f t="shared" si="6"/>
        <v>7200</v>
      </c>
      <c r="F30" s="168"/>
      <c r="G30" s="38">
        <f>-(SUMIF('Pointage BQ 24-25'!$F$2:$F$492,"LOCAL",'Pointage BQ 24-25'!$C$2:$C$492))</f>
        <v>0</v>
      </c>
      <c r="H30" s="38">
        <f t="shared" si="8"/>
        <v>7200</v>
      </c>
      <c r="I30" s="168"/>
      <c r="J30" s="10"/>
      <c r="K30" s="2"/>
      <c r="N30" s="157"/>
      <c r="O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1" ht="15.75" customHeight="1" x14ac:dyDescent="0.2">
      <c r="A31" s="181" t="s">
        <v>419</v>
      </c>
      <c r="B31" s="178" t="s">
        <v>420</v>
      </c>
      <c r="C31" s="41">
        <v>0</v>
      </c>
      <c r="D31" s="160">
        <f t="shared" ref="D31" si="9">C31*$J$1</f>
        <v>0</v>
      </c>
      <c r="E31" s="38">
        <f t="shared" si="6"/>
        <v>0</v>
      </c>
      <c r="F31" s="168"/>
      <c r="G31" s="38">
        <f>-(SUMIF('Pointage BQ 24-25'!$F$2:$F$492,"RECOUV",'Pointage BQ 24-25'!$C$2:$C$492))</f>
        <v>2940.46</v>
      </c>
      <c r="H31" s="38">
        <f t="shared" si="8"/>
        <v>-2940.46</v>
      </c>
      <c r="I31" s="168"/>
      <c r="J31" s="10"/>
      <c r="K31" s="2"/>
      <c r="N31" s="157"/>
      <c r="O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</row>
    <row r="32" spans="1:31" ht="15.75" customHeight="1" x14ac:dyDescent="0.2">
      <c r="B32" s="178"/>
      <c r="C32" s="41"/>
      <c r="D32" s="160"/>
      <c r="E32" s="38"/>
      <c r="F32" s="168"/>
      <c r="G32" s="38"/>
      <c r="H32" s="38"/>
      <c r="I32" s="168"/>
      <c r="J32" s="10"/>
      <c r="K32" s="2"/>
      <c r="N32" s="157"/>
      <c r="O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</row>
    <row r="33" spans="1:31" ht="15.75" customHeight="1" x14ac:dyDescent="0.2">
      <c r="B33" s="178"/>
      <c r="C33" s="41"/>
      <c r="D33" s="160"/>
      <c r="E33" s="38"/>
      <c r="F33" s="168"/>
      <c r="G33" s="38"/>
      <c r="H33" s="38"/>
      <c r="I33" s="168"/>
      <c r="J33" s="10"/>
      <c r="K33" s="2"/>
      <c r="N33" s="157"/>
      <c r="O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</row>
    <row r="34" spans="1:31" ht="15.75" customHeight="1" x14ac:dyDescent="0.2">
      <c r="B34" s="178"/>
      <c r="C34" s="41"/>
      <c r="D34" s="160"/>
      <c r="E34" s="38"/>
      <c r="F34" s="168"/>
      <c r="G34" s="38"/>
      <c r="H34" s="38"/>
      <c r="I34" s="168"/>
      <c r="J34" s="10"/>
      <c r="K34" s="2"/>
      <c r="N34" s="157"/>
      <c r="O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</row>
    <row r="35" spans="1:31" ht="15.75" customHeight="1" thickBot="1" x14ac:dyDescent="0.25">
      <c r="B35" s="10"/>
      <c r="C35" s="43"/>
      <c r="D35" s="160"/>
      <c r="E35" s="38"/>
      <c r="F35" s="168"/>
      <c r="G35" s="38"/>
      <c r="H35" s="38"/>
      <c r="I35" s="168"/>
      <c r="J35" s="10"/>
      <c r="N35" s="157"/>
      <c r="O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</row>
    <row r="36" spans="1:31" ht="19.5" customHeight="1" thickBot="1" x14ac:dyDescent="0.3">
      <c r="A36" s="100">
        <f>C36/12</f>
        <v>3167.2361111111109</v>
      </c>
      <c r="B36" s="173" t="s">
        <v>398</v>
      </c>
      <c r="C36" s="186">
        <f>SUM(C9:C24)</f>
        <v>38006.833333333328</v>
      </c>
      <c r="E36" s="6"/>
      <c r="F36" s="169"/>
      <c r="G36" s="6"/>
      <c r="H36" s="6"/>
      <c r="I36" s="169"/>
      <c r="J36" s="2"/>
      <c r="L36" s="42"/>
      <c r="M36" s="2"/>
      <c r="N36" s="157"/>
      <c r="O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</row>
    <row r="37" spans="1:31" ht="19.5" customHeight="1" thickBot="1" x14ac:dyDescent="0.3">
      <c r="A37" s="100">
        <f>C37/12</f>
        <v>10352</v>
      </c>
      <c r="B37" s="175" t="s">
        <v>399</v>
      </c>
      <c r="C37" s="187">
        <f>SUM(C3:C7)</f>
        <v>124224</v>
      </c>
      <c r="E37" s="6"/>
      <c r="F37" s="169"/>
      <c r="G37" s="6"/>
      <c r="H37" s="6"/>
      <c r="I37" s="169"/>
      <c r="J37" s="2"/>
      <c r="L37" s="42"/>
      <c r="M37" s="2"/>
      <c r="N37" s="157"/>
      <c r="O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</row>
    <row r="38" spans="1:31" ht="19.5" customHeight="1" thickBot="1" x14ac:dyDescent="0.25">
      <c r="A38" s="161">
        <f>C38/12</f>
        <v>13519.236111111109</v>
      </c>
      <c r="B38" s="184" t="s">
        <v>400</v>
      </c>
      <c r="C38" s="185">
        <f>C36+C37</f>
        <v>162230.83333333331</v>
      </c>
      <c r="E38" s="37"/>
      <c r="F38" s="170"/>
      <c r="G38" s="37"/>
      <c r="H38" s="37"/>
      <c r="I38" s="170"/>
      <c r="J38" s="2"/>
      <c r="L38" s="2"/>
      <c r="M38" s="2"/>
      <c r="N38" s="157"/>
      <c r="O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</row>
    <row r="39" spans="1:31" ht="19.5" customHeight="1" thickBot="1" x14ac:dyDescent="0.3">
      <c r="B39" s="177" t="s">
        <v>401</v>
      </c>
      <c r="C39" s="179">
        <f>SUM(C26:C31)</f>
        <v>59760</v>
      </c>
      <c r="D39" s="161"/>
      <c r="E39" s="37"/>
      <c r="F39" s="170"/>
      <c r="G39" s="37"/>
      <c r="H39" s="37"/>
      <c r="I39" s="170"/>
      <c r="J39" s="2"/>
      <c r="L39" s="2"/>
      <c r="M39" s="2"/>
      <c r="N39" s="157"/>
      <c r="O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1:31" ht="19.5" customHeight="1" thickBot="1" x14ac:dyDescent="0.3">
      <c r="B40" s="180" t="s">
        <v>425</v>
      </c>
      <c r="C40" s="44">
        <f>C38+C39</f>
        <v>221990.83333333331</v>
      </c>
      <c r="D40" s="100"/>
      <c r="E40" s="6"/>
      <c r="F40" s="169"/>
      <c r="G40" s="6"/>
      <c r="H40" s="6"/>
      <c r="I40" s="169"/>
      <c r="J40" s="2"/>
      <c r="L40" s="2"/>
      <c r="M40" s="2"/>
      <c r="N40" s="157"/>
      <c r="O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  <row r="41" spans="1:31" ht="19.5" customHeight="1" thickBot="1" x14ac:dyDescent="0.25">
      <c r="B41" s="100" t="s">
        <v>167</v>
      </c>
      <c r="C41" s="65">
        <v>0.2</v>
      </c>
      <c r="E41" s="2"/>
      <c r="F41" s="171"/>
      <c r="G41" s="2"/>
      <c r="H41" s="2"/>
      <c r="I41" s="171"/>
      <c r="J41" s="2"/>
      <c r="L41" s="2"/>
      <c r="M41" s="2"/>
      <c r="N41" s="157"/>
      <c r="O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</row>
    <row r="42" spans="1:31" ht="19.5" customHeight="1" thickBot="1" x14ac:dyDescent="0.3">
      <c r="B42" s="183" t="s">
        <v>423</v>
      </c>
      <c r="C42" s="182">
        <f>C40+C40*C41</f>
        <v>266389</v>
      </c>
      <c r="D42" s="100"/>
      <c r="E42" s="2"/>
      <c r="F42" s="171"/>
      <c r="G42" s="2"/>
      <c r="H42" s="2"/>
      <c r="I42" s="171"/>
      <c r="J42" s="2"/>
      <c r="L42" s="2"/>
      <c r="M42" s="2"/>
      <c r="N42" s="157"/>
      <c r="O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</row>
    <row r="43" spans="1:31" ht="19.5" customHeight="1" x14ac:dyDescent="0.25">
      <c r="B43" s="3"/>
      <c r="C43" s="4"/>
      <c r="D43" s="100"/>
      <c r="J43" s="37"/>
      <c r="L43" s="2"/>
      <c r="M43" s="2"/>
      <c r="N43" s="157"/>
      <c r="O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</row>
    <row r="44" spans="1:31" ht="19.5" customHeight="1" thickBot="1" x14ac:dyDescent="0.3">
      <c r="B44" s="3"/>
      <c r="C44" s="4"/>
      <c r="D44" s="100"/>
      <c r="J44" s="2"/>
      <c r="L44" s="2"/>
      <c r="M44" s="2"/>
      <c r="N44" s="157"/>
      <c r="O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</row>
    <row r="45" spans="1:31" ht="19.5" customHeight="1" thickBot="1" x14ac:dyDescent="0.3">
      <c r="B45" s="45" t="s">
        <v>215</v>
      </c>
      <c r="C45" s="46">
        <f>C42-C40</f>
        <v>44398.166666666686</v>
      </c>
      <c r="D45" s="100"/>
      <c r="E45" s="6"/>
      <c r="F45" s="169"/>
      <c r="G45" s="6"/>
      <c r="H45" s="6"/>
      <c r="I45" s="169"/>
      <c r="J45" s="2"/>
      <c r="L45" s="2"/>
      <c r="M45" s="2"/>
      <c r="N45" s="157"/>
      <c r="O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</row>
    <row r="46" spans="1:31" ht="19.5" customHeight="1" x14ac:dyDescent="0.2">
      <c r="B46" s="2"/>
      <c r="C46" s="15"/>
      <c r="D46" s="100"/>
      <c r="E46" s="2"/>
      <c r="F46" s="171"/>
      <c r="G46" s="2"/>
      <c r="H46" s="2"/>
      <c r="I46" s="171"/>
      <c r="J46" s="2"/>
      <c r="L46" s="2"/>
      <c r="M46" s="2"/>
      <c r="N46" s="157"/>
      <c r="O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</row>
    <row r="47" spans="1:31" ht="19.5" customHeight="1" thickBot="1" x14ac:dyDescent="0.25">
      <c r="B47" s="538" t="s">
        <v>36</v>
      </c>
      <c r="C47" s="539"/>
      <c r="D47" s="100"/>
      <c r="E47" s="2"/>
      <c r="F47" s="171"/>
      <c r="G47" s="2"/>
      <c r="H47" s="2"/>
      <c r="I47" s="171"/>
      <c r="J47" s="2"/>
      <c r="L47" s="2"/>
      <c r="M47" s="2"/>
      <c r="N47" s="12"/>
      <c r="O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</row>
    <row r="48" spans="1:31" ht="19.5" customHeight="1" thickBot="1" x14ac:dyDescent="0.3">
      <c r="B48" s="47" t="s">
        <v>37</v>
      </c>
      <c r="C48" s="48">
        <f>'facturation 24-25'!C5</f>
        <v>93621.41</v>
      </c>
      <c r="D48" s="161"/>
      <c r="E48" s="6"/>
      <c r="F48" s="169"/>
      <c r="G48" s="6"/>
      <c r="H48" s="6"/>
      <c r="I48" s="169"/>
      <c r="J48" s="2"/>
      <c r="L48" s="2"/>
      <c r="M48" s="2"/>
      <c r="N48" s="12"/>
      <c r="O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</row>
    <row r="49" spans="2:31" ht="19.5" customHeight="1" thickBot="1" x14ac:dyDescent="0.3">
      <c r="B49" s="49" t="s">
        <v>38</v>
      </c>
      <c r="C49" s="48" t="e">
        <f>'facturation 24-25'!#REF!+'facturation 24-25'!#REF!*'facturation 24-25'!#REF!+'facturation 24-25'!#REF!*'facturation 24-25'!#REF!+Prospect!F16</f>
        <v>#REF!</v>
      </c>
      <c r="D49" s="100" t="s">
        <v>168</v>
      </c>
      <c r="J49" s="2"/>
      <c r="L49" s="2"/>
      <c r="M49" s="2"/>
      <c r="N49" s="12"/>
      <c r="O49" s="2"/>
      <c r="P49" s="157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</row>
    <row r="50" spans="2:31" ht="19.5" customHeight="1" thickBot="1" x14ac:dyDescent="0.3">
      <c r="B50" s="49" t="s">
        <v>39</v>
      </c>
      <c r="C50" s="50" t="e">
        <f>C48+C49</f>
        <v>#REF!</v>
      </c>
      <c r="D50" s="100"/>
      <c r="E50" s="2"/>
      <c r="F50" s="171"/>
      <c r="G50" s="2"/>
      <c r="H50" s="2"/>
      <c r="I50" s="171"/>
      <c r="J50" s="2"/>
      <c r="L50" s="2"/>
      <c r="M50" s="2"/>
      <c r="N50" s="1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</row>
    <row r="51" spans="2:31" ht="15.75" customHeight="1" x14ac:dyDescent="0.2">
      <c r="B51" s="2"/>
      <c r="C51" s="15"/>
      <c r="D51" s="100"/>
      <c r="E51" s="2"/>
      <c r="F51" s="171"/>
      <c r="G51" s="2"/>
      <c r="H51" s="2"/>
      <c r="I51" s="171"/>
      <c r="J51" s="2"/>
      <c r="L51" s="2"/>
      <c r="M51" s="2"/>
      <c r="N51" s="1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</row>
    <row r="52" spans="2:31" ht="15.75" customHeight="1" x14ac:dyDescent="0.2">
      <c r="B52" s="2"/>
      <c r="C52" s="15"/>
      <c r="D52" s="100"/>
      <c r="E52" s="2"/>
      <c r="F52" s="171"/>
      <c r="G52" s="2"/>
      <c r="H52" s="2"/>
      <c r="I52" s="171"/>
      <c r="J52" s="2"/>
      <c r="L52" s="2"/>
      <c r="M52" s="2"/>
      <c r="N52" s="1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</row>
    <row r="53" spans="2:31" ht="15.75" customHeight="1" x14ac:dyDescent="0.2">
      <c r="B53" s="2"/>
      <c r="C53" s="15"/>
      <c r="D53" s="100"/>
      <c r="E53" s="2"/>
      <c r="F53" s="171"/>
      <c r="G53" s="2"/>
      <c r="H53" s="2"/>
      <c r="I53" s="171"/>
      <c r="J53" s="2"/>
      <c r="L53" s="2"/>
      <c r="M53" s="2"/>
      <c r="N53" s="1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</row>
    <row r="54" spans="2:31" ht="15.75" customHeight="1" x14ac:dyDescent="0.2">
      <c r="B54" s="2"/>
      <c r="C54" s="15"/>
      <c r="D54" s="100"/>
      <c r="E54" s="2"/>
      <c r="F54" s="171"/>
      <c r="G54" s="2"/>
      <c r="H54" s="2"/>
      <c r="I54" s="171"/>
      <c r="J54" s="2"/>
      <c r="L54" s="2"/>
      <c r="M54" s="2"/>
      <c r="N54" s="1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</row>
    <row r="55" spans="2:31" ht="15.75" customHeight="1" x14ac:dyDescent="0.2">
      <c r="B55" s="2"/>
      <c r="C55" s="15"/>
      <c r="D55" s="100"/>
      <c r="E55" s="2"/>
      <c r="F55" s="171"/>
      <c r="G55" s="2"/>
      <c r="H55" s="2"/>
      <c r="I55" s="171"/>
      <c r="J55" s="2"/>
      <c r="L55" s="2"/>
      <c r="M55" s="2"/>
      <c r="N55" s="1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</row>
    <row r="56" spans="2:31" ht="15.75" customHeight="1" x14ac:dyDescent="0.2">
      <c r="B56" s="2"/>
      <c r="C56" s="15"/>
      <c r="D56" s="100"/>
      <c r="E56" s="2"/>
      <c r="F56" s="171"/>
      <c r="G56" s="2"/>
      <c r="H56" s="2"/>
      <c r="I56" s="171"/>
      <c r="J56" s="2"/>
      <c r="L56" s="2"/>
      <c r="M56" s="2"/>
      <c r="N56" s="1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</row>
    <row r="57" spans="2:31" ht="15.75" customHeight="1" x14ac:dyDescent="0.2">
      <c r="B57" s="2"/>
      <c r="C57" s="15"/>
      <c r="D57" s="100"/>
      <c r="E57" s="2"/>
      <c r="F57" s="171"/>
      <c r="G57" s="2"/>
      <c r="H57" s="2"/>
      <c r="I57" s="171"/>
      <c r="J57" s="2"/>
      <c r="L57" s="2"/>
      <c r="M57" s="2"/>
      <c r="N57" s="1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</row>
    <row r="58" spans="2:31" ht="15.75" customHeight="1" x14ac:dyDescent="0.2">
      <c r="B58" s="2"/>
      <c r="C58" s="15"/>
      <c r="D58" s="100"/>
      <c r="E58" s="2"/>
      <c r="F58" s="171"/>
      <c r="G58" s="2"/>
      <c r="H58" s="2"/>
      <c r="I58" s="171"/>
      <c r="J58" s="2"/>
      <c r="L58" s="2"/>
      <c r="M58" s="2"/>
      <c r="N58" s="1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</row>
    <row r="59" spans="2:31" ht="15.75" customHeight="1" x14ac:dyDescent="0.2">
      <c r="B59" s="2"/>
      <c r="C59" s="15"/>
      <c r="D59" s="100"/>
      <c r="E59" s="2"/>
      <c r="F59" s="171"/>
      <c r="G59" s="2"/>
      <c r="H59" s="2"/>
      <c r="I59" s="171"/>
      <c r="J59" s="2"/>
      <c r="L59" s="2"/>
      <c r="M59" s="2"/>
      <c r="N59" s="1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</row>
    <row r="60" spans="2:31" ht="15.75" customHeight="1" x14ac:dyDescent="0.2">
      <c r="B60" s="2"/>
      <c r="C60" s="15"/>
      <c r="D60" s="100"/>
      <c r="E60" s="2"/>
      <c r="F60" s="171"/>
      <c r="G60" s="2"/>
      <c r="H60" s="2"/>
      <c r="I60" s="171"/>
      <c r="J60" s="2"/>
      <c r="K60" s="2"/>
      <c r="L60" s="2"/>
      <c r="M60" s="2"/>
      <c r="N60" s="1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</row>
    <row r="61" spans="2:31" ht="15.75" customHeight="1" x14ac:dyDescent="0.2">
      <c r="B61" s="2"/>
      <c r="C61" s="15"/>
      <c r="D61" s="100"/>
      <c r="E61" s="2"/>
      <c r="F61" s="171"/>
      <c r="G61" s="2"/>
      <c r="H61" s="2"/>
      <c r="I61" s="171"/>
      <c r="J61" s="2"/>
      <c r="K61" s="2"/>
      <c r="L61" s="2"/>
      <c r="M61" s="2"/>
      <c r="N61" s="1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</row>
    <row r="62" spans="2:31" ht="15.75" customHeight="1" x14ac:dyDescent="0.2">
      <c r="B62" s="2"/>
      <c r="C62" s="15"/>
      <c r="D62" s="100"/>
      <c r="E62" s="2"/>
      <c r="F62" s="171"/>
      <c r="G62" s="2"/>
      <c r="H62" s="2"/>
      <c r="I62" s="171"/>
      <c r="J62" s="2"/>
      <c r="K62" s="2"/>
      <c r="L62" s="2"/>
      <c r="M62" s="2"/>
      <c r="N62" s="1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</row>
    <row r="63" spans="2:31" ht="15.75" customHeight="1" x14ac:dyDescent="0.2">
      <c r="B63" s="2"/>
      <c r="C63" s="15"/>
      <c r="D63" s="100"/>
      <c r="E63" s="2"/>
      <c r="F63" s="171"/>
      <c r="G63" s="2"/>
      <c r="H63" s="2"/>
      <c r="I63" s="171"/>
      <c r="J63" s="2"/>
      <c r="K63" s="2"/>
      <c r="L63" s="2"/>
      <c r="M63" s="2"/>
      <c r="N63" s="1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2:31" ht="15.75" customHeight="1" x14ac:dyDescent="0.2">
      <c r="B64" s="2"/>
      <c r="C64" s="15"/>
      <c r="D64" s="100"/>
      <c r="E64" s="2"/>
      <c r="F64" s="171"/>
      <c r="G64" s="2"/>
      <c r="H64" s="2"/>
      <c r="I64" s="171"/>
      <c r="J64" s="2"/>
      <c r="K64" s="2"/>
      <c r="L64" s="2"/>
      <c r="M64" s="2"/>
      <c r="N64" s="1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2:31" ht="15.75" customHeight="1" x14ac:dyDescent="0.2">
      <c r="B65" s="2"/>
      <c r="C65" s="15"/>
      <c r="D65" s="100"/>
      <c r="E65" s="2"/>
      <c r="F65" s="171"/>
      <c r="G65" s="2"/>
      <c r="H65" s="2"/>
      <c r="I65" s="171"/>
      <c r="J65" s="2"/>
      <c r="K65" s="2"/>
      <c r="L65" s="2"/>
      <c r="M65" s="2"/>
      <c r="N65" s="1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2:31" ht="15.75" customHeight="1" x14ac:dyDescent="0.2">
      <c r="B66" s="2"/>
      <c r="C66" s="15"/>
      <c r="D66" s="100"/>
      <c r="E66" s="2"/>
      <c r="F66" s="171"/>
      <c r="G66" s="2"/>
      <c r="H66" s="2"/>
      <c r="I66" s="171"/>
      <c r="J66" s="2"/>
      <c r="K66" s="2"/>
      <c r="L66" s="2"/>
      <c r="M66" s="2"/>
      <c r="N66" s="1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67" spans="2:31" ht="15.75" customHeight="1" x14ac:dyDescent="0.2">
      <c r="B67" s="2"/>
      <c r="C67" s="15"/>
      <c r="D67" s="100"/>
      <c r="E67" s="2"/>
      <c r="F67" s="171"/>
      <c r="G67" s="2"/>
      <c r="H67" s="2"/>
      <c r="I67" s="171"/>
      <c r="J67" s="2"/>
      <c r="K67" s="2"/>
      <c r="L67" s="2"/>
      <c r="M67" s="2"/>
      <c r="N67" s="1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</row>
    <row r="68" spans="2:31" ht="15.75" customHeight="1" x14ac:dyDescent="0.2">
      <c r="B68" s="2"/>
      <c r="C68" s="15"/>
      <c r="D68" s="100"/>
      <c r="E68" s="2"/>
      <c r="F68" s="171"/>
      <c r="G68" s="2"/>
      <c r="H68" s="2"/>
      <c r="I68" s="171"/>
      <c r="J68" s="2"/>
      <c r="K68" s="2"/>
      <c r="L68" s="2"/>
      <c r="M68" s="2"/>
      <c r="N68" s="1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</row>
    <row r="69" spans="2:31" ht="15.75" customHeight="1" x14ac:dyDescent="0.2">
      <c r="B69" s="2"/>
      <c r="C69" s="15"/>
      <c r="D69" s="100"/>
      <c r="E69" s="2"/>
      <c r="F69" s="171"/>
      <c r="G69" s="2"/>
      <c r="H69" s="2"/>
      <c r="I69" s="171"/>
      <c r="J69" s="2"/>
      <c r="K69" s="2"/>
      <c r="L69" s="2"/>
      <c r="M69" s="2"/>
      <c r="N69" s="1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</row>
    <row r="70" spans="2:31" ht="15.75" customHeight="1" x14ac:dyDescent="0.2">
      <c r="B70" s="2"/>
      <c r="C70" s="15"/>
      <c r="D70" s="100"/>
      <c r="E70" s="2"/>
      <c r="F70" s="171"/>
      <c r="G70" s="2"/>
      <c r="H70" s="2"/>
      <c r="I70" s="171"/>
      <c r="J70" s="2"/>
      <c r="K70" s="2"/>
      <c r="L70" s="2"/>
      <c r="M70" s="2"/>
      <c r="N70" s="1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</row>
    <row r="71" spans="2:31" ht="15.75" customHeight="1" x14ac:dyDescent="0.2">
      <c r="B71" s="2"/>
      <c r="C71" s="15"/>
      <c r="D71" s="100"/>
      <c r="E71" s="2"/>
      <c r="F71" s="171"/>
      <c r="G71" s="2"/>
      <c r="H71" s="2"/>
      <c r="I71" s="171"/>
      <c r="J71" s="2"/>
      <c r="K71" s="2"/>
      <c r="L71" s="2"/>
      <c r="M71" s="2"/>
      <c r="N71" s="1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</row>
    <row r="72" spans="2:31" ht="15.75" customHeight="1" x14ac:dyDescent="0.2">
      <c r="B72" s="2"/>
      <c r="C72" s="15"/>
      <c r="D72" s="100"/>
      <c r="E72" s="2"/>
      <c r="F72" s="171"/>
      <c r="G72" s="2"/>
      <c r="H72" s="2"/>
      <c r="I72" s="171"/>
      <c r="J72" s="2"/>
      <c r="K72" s="2"/>
      <c r="L72" s="2"/>
      <c r="M72" s="2"/>
      <c r="N72" s="1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</row>
    <row r="73" spans="2:31" ht="15.75" customHeight="1" x14ac:dyDescent="0.2">
      <c r="B73" s="2"/>
      <c r="C73" s="15"/>
      <c r="D73" s="100"/>
      <c r="E73" s="2"/>
      <c r="F73" s="171"/>
      <c r="G73" s="2"/>
      <c r="H73" s="2"/>
      <c r="I73" s="171"/>
      <c r="J73" s="2"/>
      <c r="K73" s="2"/>
      <c r="L73" s="2"/>
      <c r="M73" s="2"/>
      <c r="N73" s="1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</row>
    <row r="74" spans="2:31" ht="15.75" customHeight="1" x14ac:dyDescent="0.2">
      <c r="B74" s="2"/>
      <c r="C74" s="15"/>
      <c r="D74" s="100"/>
      <c r="E74" s="2"/>
      <c r="F74" s="171"/>
      <c r="G74" s="2"/>
      <c r="H74" s="2"/>
      <c r="I74" s="171"/>
      <c r="J74" s="2"/>
      <c r="K74" s="2"/>
      <c r="L74" s="2"/>
      <c r="M74" s="2"/>
      <c r="N74" s="1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</row>
    <row r="75" spans="2:31" ht="15.75" customHeight="1" x14ac:dyDescent="0.2">
      <c r="B75" s="2"/>
      <c r="C75" s="15"/>
      <c r="D75" s="100"/>
      <c r="E75" s="2"/>
      <c r="F75" s="171"/>
      <c r="G75" s="2"/>
      <c r="H75" s="2"/>
      <c r="I75" s="171"/>
      <c r="J75" s="2"/>
      <c r="K75" s="2"/>
      <c r="L75" s="2"/>
      <c r="M75" s="2"/>
      <c r="N75" s="1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</row>
    <row r="76" spans="2:31" ht="15.75" customHeight="1" x14ac:dyDescent="0.2">
      <c r="B76" s="2"/>
      <c r="C76" s="15"/>
      <c r="D76" s="100"/>
      <c r="E76" s="2"/>
      <c r="F76" s="171"/>
      <c r="G76" s="2"/>
      <c r="H76" s="2"/>
      <c r="I76" s="171"/>
      <c r="J76" s="2"/>
      <c r="K76" s="2"/>
      <c r="L76" s="2"/>
      <c r="M76" s="2"/>
      <c r="N76" s="1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</row>
    <row r="77" spans="2:31" ht="15.75" customHeight="1" x14ac:dyDescent="0.2">
      <c r="B77" s="2"/>
      <c r="C77" s="15"/>
      <c r="D77" s="100"/>
      <c r="E77" s="2"/>
      <c r="F77" s="171"/>
      <c r="G77" s="2"/>
      <c r="H77" s="2"/>
      <c r="I77" s="171"/>
      <c r="J77" s="2"/>
      <c r="K77" s="2"/>
      <c r="L77" s="2"/>
      <c r="M77" s="2"/>
      <c r="N77" s="1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</row>
    <row r="78" spans="2:31" ht="15.75" customHeight="1" x14ac:dyDescent="0.2">
      <c r="B78" s="2"/>
      <c r="C78" s="15"/>
      <c r="D78" s="100"/>
      <c r="E78" s="2"/>
      <c r="F78" s="171"/>
      <c r="G78" s="2"/>
      <c r="H78" s="2"/>
      <c r="I78" s="171"/>
      <c r="J78" s="2"/>
      <c r="K78" s="2"/>
      <c r="L78" s="2"/>
      <c r="M78" s="2"/>
      <c r="N78" s="1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</row>
    <row r="79" spans="2:31" ht="15.75" customHeight="1" x14ac:dyDescent="0.2">
      <c r="B79" s="2"/>
      <c r="C79" s="15"/>
      <c r="D79" s="100"/>
      <c r="E79" s="2"/>
      <c r="F79" s="171"/>
      <c r="G79" s="2"/>
      <c r="H79" s="2"/>
      <c r="I79" s="171"/>
      <c r="J79" s="2"/>
      <c r="K79" s="2"/>
      <c r="L79" s="2"/>
      <c r="M79" s="2"/>
      <c r="N79" s="1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</row>
    <row r="80" spans="2:31" ht="15.75" customHeight="1" x14ac:dyDescent="0.2">
      <c r="B80" s="2"/>
      <c r="C80" s="15"/>
      <c r="D80" s="100"/>
      <c r="E80" s="2"/>
      <c r="F80" s="171"/>
      <c r="G80" s="2"/>
      <c r="H80" s="2"/>
      <c r="I80" s="171"/>
      <c r="J80" s="2"/>
      <c r="K80" s="2"/>
      <c r="L80" s="2"/>
      <c r="M80" s="2"/>
      <c r="N80" s="1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</row>
    <row r="81" spans="2:31" ht="15.75" customHeight="1" x14ac:dyDescent="0.2">
      <c r="B81" s="2"/>
      <c r="C81" s="15"/>
      <c r="D81" s="100"/>
      <c r="E81" s="2"/>
      <c r="F81" s="171"/>
      <c r="G81" s="2"/>
      <c r="H81" s="2"/>
      <c r="I81" s="171"/>
      <c r="J81" s="2"/>
      <c r="K81" s="2"/>
      <c r="L81" s="2"/>
      <c r="M81" s="2"/>
      <c r="N81" s="1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</row>
    <row r="82" spans="2:31" ht="15.75" customHeight="1" x14ac:dyDescent="0.2">
      <c r="B82" s="2"/>
      <c r="C82" s="15"/>
      <c r="D82" s="100"/>
      <c r="E82" s="2"/>
      <c r="F82" s="171"/>
      <c r="G82" s="2"/>
      <c r="H82" s="2"/>
      <c r="I82" s="171"/>
      <c r="J82" s="2"/>
      <c r="K82" s="2"/>
      <c r="L82" s="2"/>
      <c r="M82" s="2"/>
      <c r="N82" s="1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</row>
    <row r="83" spans="2:31" ht="15.75" customHeight="1" x14ac:dyDescent="0.2">
      <c r="B83" s="2"/>
      <c r="C83" s="15"/>
      <c r="D83" s="100"/>
      <c r="E83" s="2"/>
      <c r="F83" s="171"/>
      <c r="G83" s="2"/>
      <c r="H83" s="2"/>
      <c r="I83" s="171"/>
      <c r="J83" s="2"/>
      <c r="K83" s="2"/>
      <c r="L83" s="2"/>
      <c r="M83" s="2"/>
      <c r="N83" s="1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</row>
    <row r="84" spans="2:31" ht="15.75" customHeight="1" x14ac:dyDescent="0.2">
      <c r="B84" s="2"/>
      <c r="C84" s="15"/>
      <c r="D84" s="100"/>
      <c r="E84" s="2"/>
      <c r="F84" s="171"/>
      <c r="G84" s="2"/>
      <c r="H84" s="2"/>
      <c r="I84" s="171"/>
      <c r="J84" s="2"/>
      <c r="K84" s="2"/>
      <c r="L84" s="2"/>
      <c r="M84" s="2"/>
      <c r="N84" s="1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</row>
    <row r="85" spans="2:31" ht="15.75" customHeight="1" x14ac:dyDescent="0.2">
      <c r="B85" s="2"/>
      <c r="C85" s="15"/>
      <c r="D85" s="100"/>
      <c r="E85" s="2"/>
      <c r="F85" s="171"/>
      <c r="G85" s="2"/>
      <c r="H85" s="2"/>
      <c r="I85" s="171"/>
      <c r="J85" s="2"/>
      <c r="K85" s="2"/>
      <c r="L85" s="2"/>
      <c r="M85" s="2"/>
      <c r="N85" s="1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</row>
    <row r="86" spans="2:31" ht="15.75" customHeight="1" x14ac:dyDescent="0.2">
      <c r="B86" s="2"/>
      <c r="C86" s="15"/>
      <c r="D86" s="100"/>
      <c r="E86" s="2"/>
      <c r="F86" s="171"/>
      <c r="G86" s="2"/>
      <c r="H86" s="2"/>
      <c r="I86" s="171"/>
      <c r="J86" s="2"/>
      <c r="K86" s="2"/>
      <c r="L86" s="2"/>
      <c r="M86" s="2"/>
      <c r="N86" s="1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</row>
    <row r="87" spans="2:31" ht="15.75" customHeight="1" x14ac:dyDescent="0.2">
      <c r="B87" s="2"/>
      <c r="C87" s="15"/>
      <c r="D87" s="100"/>
      <c r="E87" s="2"/>
      <c r="F87" s="171"/>
      <c r="G87" s="2"/>
      <c r="H87" s="2"/>
      <c r="I87" s="171"/>
      <c r="J87" s="2"/>
      <c r="K87" s="2"/>
      <c r="L87" s="2"/>
      <c r="M87" s="2"/>
      <c r="N87" s="1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</row>
    <row r="88" spans="2:31" ht="15.75" customHeight="1" x14ac:dyDescent="0.2">
      <c r="B88" s="2"/>
      <c r="C88" s="15"/>
      <c r="D88" s="100"/>
      <c r="E88" s="2"/>
      <c r="F88" s="171"/>
      <c r="G88" s="2"/>
      <c r="H88" s="2"/>
      <c r="I88" s="171"/>
      <c r="J88" s="2"/>
      <c r="K88" s="2"/>
      <c r="L88" s="2"/>
      <c r="M88" s="2"/>
      <c r="N88" s="1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</row>
    <row r="89" spans="2:31" ht="15.75" customHeight="1" x14ac:dyDescent="0.2">
      <c r="B89" s="2"/>
      <c r="C89" s="15"/>
      <c r="D89" s="100"/>
      <c r="E89" s="2"/>
      <c r="F89" s="171"/>
      <c r="G89" s="2"/>
      <c r="H89" s="2"/>
      <c r="I89" s="171"/>
      <c r="J89" s="2"/>
      <c r="K89" s="2"/>
      <c r="L89" s="2"/>
      <c r="M89" s="2"/>
      <c r="N89" s="1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</row>
    <row r="90" spans="2:31" ht="15.75" customHeight="1" x14ac:dyDescent="0.2">
      <c r="B90" s="2"/>
      <c r="C90" s="15"/>
      <c r="D90" s="100"/>
      <c r="E90" s="2"/>
      <c r="F90" s="171"/>
      <c r="G90" s="2"/>
      <c r="H90" s="2"/>
      <c r="I90" s="171"/>
      <c r="J90" s="2"/>
      <c r="K90" s="2"/>
      <c r="L90" s="2"/>
      <c r="M90" s="2"/>
      <c r="N90" s="1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</row>
    <row r="91" spans="2:31" ht="15.75" customHeight="1" x14ac:dyDescent="0.2">
      <c r="B91" s="2"/>
      <c r="C91" s="15"/>
      <c r="D91" s="100"/>
      <c r="E91" s="2"/>
      <c r="F91" s="171"/>
      <c r="G91" s="2"/>
      <c r="H91" s="2"/>
      <c r="I91" s="171"/>
      <c r="J91" s="2"/>
      <c r="K91" s="2"/>
      <c r="L91" s="2"/>
      <c r="M91" s="2"/>
      <c r="N91" s="1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</row>
    <row r="92" spans="2:31" ht="15.75" customHeight="1" x14ac:dyDescent="0.2">
      <c r="B92" s="2"/>
      <c r="C92" s="15"/>
      <c r="D92" s="100"/>
      <c r="E92" s="2"/>
      <c r="F92" s="171"/>
      <c r="G92" s="2"/>
      <c r="H92" s="2"/>
      <c r="I92" s="171"/>
      <c r="J92" s="2"/>
      <c r="K92" s="2"/>
      <c r="L92" s="2"/>
      <c r="M92" s="2"/>
      <c r="N92" s="1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</row>
    <row r="93" spans="2:31" ht="15.75" customHeight="1" x14ac:dyDescent="0.2">
      <c r="B93" s="2"/>
      <c r="C93" s="15"/>
      <c r="D93" s="100"/>
      <c r="E93" s="2"/>
      <c r="F93" s="171"/>
      <c r="G93" s="2"/>
      <c r="H93" s="2"/>
      <c r="I93" s="171"/>
      <c r="J93" s="2"/>
      <c r="K93" s="2"/>
      <c r="L93" s="2"/>
      <c r="M93" s="2"/>
      <c r="N93" s="1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</row>
    <row r="94" spans="2:31" ht="15.75" customHeight="1" x14ac:dyDescent="0.2">
      <c r="B94" s="2"/>
      <c r="C94" s="15"/>
      <c r="D94" s="100"/>
      <c r="E94" s="2"/>
      <c r="F94" s="171"/>
      <c r="G94" s="2"/>
      <c r="H94" s="2"/>
      <c r="I94" s="171"/>
      <c r="J94" s="2"/>
      <c r="K94" s="2"/>
      <c r="L94" s="2"/>
      <c r="M94" s="2"/>
      <c r="N94" s="1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</row>
    <row r="95" spans="2:31" ht="15.75" customHeight="1" x14ac:dyDescent="0.2">
      <c r="B95" s="2"/>
      <c r="C95" s="15"/>
      <c r="D95" s="100"/>
      <c r="E95" s="2"/>
      <c r="F95" s="171"/>
      <c r="G95" s="2"/>
      <c r="H95" s="2"/>
      <c r="I95" s="171"/>
      <c r="J95" s="2"/>
      <c r="K95" s="2"/>
      <c r="L95" s="2"/>
      <c r="M95" s="2"/>
      <c r="N95" s="1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</row>
    <row r="96" spans="2:31" ht="15.75" customHeight="1" x14ac:dyDescent="0.2">
      <c r="B96" s="2"/>
      <c r="C96" s="15"/>
      <c r="D96" s="100"/>
      <c r="E96" s="2"/>
      <c r="F96" s="171"/>
      <c r="G96" s="2"/>
      <c r="H96" s="2"/>
      <c r="I96" s="171"/>
      <c r="J96" s="2"/>
      <c r="K96" s="2"/>
      <c r="L96" s="2"/>
      <c r="M96" s="2"/>
      <c r="N96" s="1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</row>
    <row r="97" spans="2:31" ht="15.75" customHeight="1" x14ac:dyDescent="0.2">
      <c r="B97" s="2"/>
      <c r="C97" s="15"/>
      <c r="D97" s="100"/>
      <c r="E97" s="2"/>
      <c r="F97" s="171"/>
      <c r="G97" s="2"/>
      <c r="H97" s="2"/>
      <c r="I97" s="171"/>
      <c r="J97" s="2"/>
      <c r="K97" s="2"/>
      <c r="L97" s="2"/>
      <c r="M97" s="2"/>
      <c r="N97" s="1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</row>
    <row r="98" spans="2:31" ht="15.75" customHeight="1" x14ac:dyDescent="0.2">
      <c r="B98" s="2"/>
      <c r="C98" s="15"/>
      <c r="D98" s="100"/>
      <c r="E98" s="2"/>
      <c r="F98" s="171"/>
      <c r="G98" s="2"/>
      <c r="H98" s="2"/>
      <c r="I98" s="171"/>
      <c r="J98" s="2"/>
      <c r="K98" s="2"/>
      <c r="L98" s="2"/>
      <c r="M98" s="2"/>
      <c r="N98" s="1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</row>
    <row r="99" spans="2:31" ht="15.75" customHeight="1" x14ac:dyDescent="0.2">
      <c r="B99" s="2"/>
      <c r="C99" s="15"/>
      <c r="D99" s="100"/>
      <c r="E99" s="2"/>
      <c r="F99" s="171"/>
      <c r="G99" s="2"/>
      <c r="H99" s="2"/>
      <c r="I99" s="171"/>
      <c r="J99" s="2"/>
      <c r="K99" s="2"/>
      <c r="L99" s="2"/>
      <c r="M99" s="2"/>
      <c r="N99" s="1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</row>
    <row r="100" spans="2:31" ht="15.75" customHeight="1" x14ac:dyDescent="0.2">
      <c r="B100" s="2"/>
      <c r="C100" s="15"/>
      <c r="D100" s="100"/>
      <c r="E100" s="2"/>
      <c r="F100" s="171"/>
      <c r="G100" s="2"/>
      <c r="H100" s="2"/>
      <c r="I100" s="171"/>
      <c r="J100" s="2"/>
      <c r="K100" s="2"/>
      <c r="L100" s="2"/>
      <c r="M100" s="2"/>
      <c r="N100" s="1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</row>
    <row r="101" spans="2:31" ht="15.75" customHeight="1" x14ac:dyDescent="0.2">
      <c r="B101" s="2"/>
      <c r="C101" s="15"/>
      <c r="D101" s="100"/>
      <c r="E101" s="2"/>
      <c r="F101" s="171"/>
      <c r="G101" s="2"/>
      <c r="H101" s="2"/>
      <c r="I101" s="171"/>
      <c r="J101" s="2"/>
      <c r="K101" s="2"/>
      <c r="L101" s="2"/>
      <c r="M101" s="2"/>
      <c r="N101" s="1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</row>
    <row r="102" spans="2:31" ht="15.75" customHeight="1" x14ac:dyDescent="0.2">
      <c r="B102" s="2"/>
      <c r="C102" s="15"/>
      <c r="D102" s="100"/>
      <c r="E102" s="2"/>
      <c r="F102" s="171"/>
      <c r="G102" s="2"/>
      <c r="H102" s="2"/>
      <c r="I102" s="171"/>
      <c r="J102" s="2"/>
      <c r="K102" s="2"/>
      <c r="L102" s="2"/>
      <c r="M102" s="2"/>
      <c r="N102" s="1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</row>
    <row r="103" spans="2:31" ht="15.75" customHeight="1" x14ac:dyDescent="0.2">
      <c r="B103" s="2"/>
      <c r="C103" s="15"/>
      <c r="D103" s="100"/>
      <c r="E103" s="2"/>
      <c r="F103" s="171"/>
      <c r="G103" s="2"/>
      <c r="H103" s="2"/>
      <c r="I103" s="171"/>
      <c r="J103" s="2"/>
      <c r="K103" s="2"/>
      <c r="L103" s="2"/>
      <c r="M103" s="2"/>
      <c r="N103" s="1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</row>
    <row r="104" spans="2:31" ht="15.75" customHeight="1" x14ac:dyDescent="0.2">
      <c r="B104" s="2"/>
      <c r="C104" s="15"/>
      <c r="D104" s="100"/>
      <c r="E104" s="2"/>
      <c r="F104" s="171"/>
      <c r="G104" s="2"/>
      <c r="H104" s="2"/>
      <c r="I104" s="171"/>
      <c r="J104" s="2"/>
      <c r="K104" s="2"/>
      <c r="L104" s="2"/>
      <c r="M104" s="2"/>
      <c r="N104" s="1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</row>
    <row r="105" spans="2:31" ht="15.75" customHeight="1" x14ac:dyDescent="0.2">
      <c r="B105" s="2"/>
      <c r="C105" s="15"/>
      <c r="D105" s="100"/>
      <c r="E105" s="2"/>
      <c r="F105" s="171"/>
      <c r="G105" s="2"/>
      <c r="H105" s="2"/>
      <c r="I105" s="171"/>
      <c r="J105" s="2"/>
      <c r="K105" s="2"/>
      <c r="L105" s="2"/>
      <c r="M105" s="2"/>
      <c r="N105" s="1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</row>
    <row r="106" spans="2:31" ht="15.75" customHeight="1" x14ac:dyDescent="0.2">
      <c r="B106" s="2"/>
      <c r="C106" s="15"/>
      <c r="D106" s="100"/>
      <c r="E106" s="2"/>
      <c r="F106" s="171"/>
      <c r="G106" s="2"/>
      <c r="H106" s="2"/>
      <c r="I106" s="171"/>
      <c r="J106" s="2"/>
      <c r="K106" s="2"/>
      <c r="L106" s="2"/>
      <c r="M106" s="2"/>
      <c r="N106" s="1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</row>
    <row r="107" spans="2:31" ht="15.75" customHeight="1" x14ac:dyDescent="0.2">
      <c r="B107" s="2"/>
      <c r="C107" s="15"/>
      <c r="D107" s="100"/>
      <c r="E107" s="2"/>
      <c r="F107" s="171"/>
      <c r="G107" s="2"/>
      <c r="H107" s="2"/>
      <c r="I107" s="171"/>
      <c r="J107" s="2"/>
      <c r="K107" s="2"/>
      <c r="L107" s="2"/>
      <c r="M107" s="2"/>
      <c r="N107" s="1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</row>
    <row r="108" spans="2:31" ht="15.75" customHeight="1" x14ac:dyDescent="0.2">
      <c r="B108" s="2"/>
      <c r="C108" s="15"/>
      <c r="D108" s="100"/>
      <c r="E108" s="2"/>
      <c r="F108" s="171"/>
      <c r="G108" s="2"/>
      <c r="H108" s="2"/>
      <c r="I108" s="171"/>
      <c r="J108" s="2"/>
      <c r="K108" s="2"/>
      <c r="L108" s="2"/>
      <c r="M108" s="2"/>
      <c r="N108" s="1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</row>
    <row r="109" spans="2:31" ht="15.75" customHeight="1" x14ac:dyDescent="0.2">
      <c r="B109" s="2"/>
      <c r="C109" s="15"/>
      <c r="D109" s="100"/>
      <c r="E109" s="2"/>
      <c r="F109" s="171"/>
      <c r="G109" s="2"/>
      <c r="H109" s="2"/>
      <c r="I109" s="171"/>
      <c r="J109" s="2"/>
      <c r="K109" s="2"/>
      <c r="L109" s="2"/>
      <c r="M109" s="2"/>
      <c r="N109" s="1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</row>
    <row r="110" spans="2:31" ht="15.75" customHeight="1" x14ac:dyDescent="0.2">
      <c r="B110" s="2"/>
      <c r="C110" s="15"/>
      <c r="D110" s="100"/>
      <c r="E110" s="2"/>
      <c r="F110" s="171"/>
      <c r="G110" s="2"/>
      <c r="H110" s="2"/>
      <c r="I110" s="171"/>
      <c r="J110" s="2"/>
      <c r="K110" s="2"/>
      <c r="L110" s="2"/>
      <c r="M110" s="2"/>
      <c r="N110" s="1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</row>
    <row r="111" spans="2:31" ht="15.75" customHeight="1" x14ac:dyDescent="0.2">
      <c r="B111" s="2"/>
      <c r="C111" s="15"/>
      <c r="D111" s="100"/>
      <c r="E111" s="2"/>
      <c r="F111" s="171"/>
      <c r="G111" s="2"/>
      <c r="H111" s="2"/>
      <c r="I111" s="171"/>
      <c r="J111" s="2"/>
      <c r="K111" s="2"/>
      <c r="L111" s="2"/>
      <c r="M111" s="2"/>
      <c r="N111" s="1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</row>
    <row r="112" spans="2:31" ht="15.75" customHeight="1" x14ac:dyDescent="0.2">
      <c r="B112" s="2"/>
      <c r="C112" s="15"/>
      <c r="D112" s="100"/>
      <c r="E112" s="2"/>
      <c r="F112" s="171"/>
      <c r="G112" s="2"/>
      <c r="H112" s="2"/>
      <c r="I112" s="171"/>
      <c r="J112" s="2"/>
      <c r="K112" s="2"/>
      <c r="L112" s="2"/>
      <c r="M112" s="2"/>
      <c r="N112" s="1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</row>
    <row r="113" spans="2:31" ht="15.75" customHeight="1" x14ac:dyDescent="0.2">
      <c r="B113" s="2"/>
      <c r="C113" s="15"/>
      <c r="D113" s="100"/>
      <c r="E113" s="2"/>
      <c r="F113" s="171"/>
      <c r="G113" s="2"/>
      <c r="H113" s="2"/>
      <c r="I113" s="171"/>
      <c r="J113" s="2"/>
      <c r="K113" s="2"/>
      <c r="L113" s="2"/>
      <c r="M113" s="2"/>
      <c r="N113" s="1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</row>
    <row r="114" spans="2:31" ht="15.75" customHeight="1" x14ac:dyDescent="0.2">
      <c r="B114" s="2"/>
      <c r="C114" s="15"/>
      <c r="D114" s="100"/>
      <c r="E114" s="2"/>
      <c r="F114" s="171"/>
      <c r="G114" s="2"/>
      <c r="H114" s="2"/>
      <c r="I114" s="171"/>
      <c r="J114" s="2"/>
      <c r="K114" s="2"/>
      <c r="L114" s="2"/>
      <c r="M114" s="2"/>
      <c r="N114" s="1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</row>
    <row r="115" spans="2:31" ht="15.75" customHeight="1" x14ac:dyDescent="0.2">
      <c r="B115" s="2"/>
      <c r="C115" s="15"/>
      <c r="D115" s="100"/>
      <c r="E115" s="2"/>
      <c r="F115" s="171"/>
      <c r="G115" s="2"/>
      <c r="H115" s="2"/>
      <c r="I115" s="171"/>
      <c r="J115" s="2"/>
      <c r="K115" s="2"/>
      <c r="L115" s="2"/>
      <c r="M115" s="2"/>
      <c r="N115" s="1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</row>
    <row r="116" spans="2:31" ht="15.75" customHeight="1" x14ac:dyDescent="0.2">
      <c r="B116" s="2"/>
      <c r="C116" s="15"/>
      <c r="D116" s="100"/>
      <c r="E116" s="2"/>
      <c r="F116" s="171"/>
      <c r="G116" s="2"/>
      <c r="H116" s="2"/>
      <c r="I116" s="171"/>
      <c r="J116" s="2"/>
      <c r="K116" s="2"/>
      <c r="L116" s="2"/>
      <c r="M116" s="2"/>
      <c r="N116" s="1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</row>
    <row r="117" spans="2:31" ht="15.75" customHeight="1" x14ac:dyDescent="0.2">
      <c r="B117" s="2"/>
      <c r="C117" s="15"/>
      <c r="D117" s="100"/>
      <c r="E117" s="2"/>
      <c r="F117" s="171"/>
      <c r="G117" s="2"/>
      <c r="H117" s="2"/>
      <c r="I117" s="171"/>
      <c r="J117" s="2"/>
      <c r="K117" s="2"/>
      <c r="L117" s="2"/>
      <c r="M117" s="2"/>
      <c r="N117" s="1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</row>
    <row r="118" spans="2:31" ht="15.75" customHeight="1" x14ac:dyDescent="0.2">
      <c r="B118" s="2"/>
      <c r="C118" s="15"/>
      <c r="D118" s="100"/>
      <c r="E118" s="2"/>
      <c r="F118" s="171"/>
      <c r="G118" s="2"/>
      <c r="H118" s="2"/>
      <c r="I118" s="171"/>
      <c r="J118" s="2"/>
      <c r="K118" s="2"/>
      <c r="L118" s="2"/>
      <c r="M118" s="2"/>
      <c r="N118" s="1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</row>
    <row r="119" spans="2:31" ht="15.75" customHeight="1" x14ac:dyDescent="0.2">
      <c r="B119" s="2"/>
      <c r="C119" s="15"/>
      <c r="D119" s="100"/>
      <c r="E119" s="2"/>
      <c r="F119" s="171"/>
      <c r="G119" s="2"/>
      <c r="H119" s="2"/>
      <c r="I119" s="171"/>
      <c r="J119" s="2"/>
      <c r="K119" s="2"/>
      <c r="L119" s="2"/>
      <c r="M119" s="2"/>
      <c r="N119" s="1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</row>
    <row r="120" spans="2:31" ht="15.75" customHeight="1" x14ac:dyDescent="0.2">
      <c r="B120" s="2"/>
      <c r="C120" s="15"/>
      <c r="D120" s="100"/>
      <c r="E120" s="2"/>
      <c r="F120" s="171"/>
      <c r="G120" s="2"/>
      <c r="H120" s="2"/>
      <c r="I120" s="171"/>
      <c r="J120" s="2"/>
      <c r="K120" s="2"/>
      <c r="L120" s="2"/>
      <c r="M120" s="2"/>
      <c r="N120" s="1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</row>
    <row r="121" spans="2:31" ht="15.75" customHeight="1" x14ac:dyDescent="0.2">
      <c r="B121" s="2"/>
      <c r="C121" s="15"/>
      <c r="D121" s="100"/>
      <c r="E121" s="2"/>
      <c r="F121" s="171"/>
      <c r="G121" s="2"/>
      <c r="H121" s="2"/>
      <c r="I121" s="171"/>
      <c r="J121" s="2"/>
      <c r="K121" s="2"/>
      <c r="L121" s="2"/>
      <c r="M121" s="2"/>
      <c r="N121" s="1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</row>
    <row r="122" spans="2:31" ht="15.75" customHeight="1" x14ac:dyDescent="0.2">
      <c r="B122" s="2"/>
      <c r="C122" s="15"/>
      <c r="D122" s="100"/>
      <c r="E122" s="2"/>
      <c r="F122" s="171"/>
      <c r="G122" s="2"/>
      <c r="H122" s="2"/>
      <c r="I122" s="171"/>
      <c r="J122" s="2"/>
      <c r="K122" s="2"/>
      <c r="L122" s="2"/>
      <c r="M122" s="2"/>
      <c r="N122" s="1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</row>
    <row r="123" spans="2:31" ht="15.75" customHeight="1" x14ac:dyDescent="0.2">
      <c r="B123" s="2"/>
      <c r="C123" s="15"/>
      <c r="D123" s="100"/>
      <c r="E123" s="2"/>
      <c r="F123" s="171"/>
      <c r="G123" s="2"/>
      <c r="H123" s="2"/>
      <c r="I123" s="171"/>
      <c r="J123" s="2"/>
      <c r="K123" s="2"/>
      <c r="L123" s="2"/>
      <c r="M123" s="2"/>
      <c r="N123" s="1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</row>
    <row r="124" spans="2:31" ht="15.75" customHeight="1" x14ac:dyDescent="0.2">
      <c r="B124" s="2"/>
      <c r="C124" s="15"/>
      <c r="D124" s="100"/>
      <c r="E124" s="2"/>
      <c r="F124" s="171"/>
      <c r="G124" s="2"/>
      <c r="H124" s="2"/>
      <c r="I124" s="171"/>
      <c r="J124" s="2"/>
      <c r="K124" s="2"/>
      <c r="L124" s="2"/>
      <c r="M124" s="2"/>
      <c r="N124" s="1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</row>
    <row r="125" spans="2:31" ht="15.75" customHeight="1" x14ac:dyDescent="0.2">
      <c r="B125" s="2"/>
      <c r="C125" s="15"/>
      <c r="D125" s="100"/>
      <c r="E125" s="2"/>
      <c r="F125" s="171"/>
      <c r="G125" s="2"/>
      <c r="H125" s="2"/>
      <c r="I125" s="171"/>
      <c r="J125" s="2"/>
      <c r="K125" s="2"/>
      <c r="L125" s="2"/>
      <c r="M125" s="2"/>
      <c r="N125" s="1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</row>
    <row r="126" spans="2:31" ht="15.75" customHeight="1" x14ac:dyDescent="0.2">
      <c r="B126" s="2"/>
      <c r="C126" s="15"/>
      <c r="D126" s="100"/>
      <c r="E126" s="2"/>
      <c r="F126" s="171"/>
      <c r="G126" s="2"/>
      <c r="H126" s="2"/>
      <c r="I126" s="171"/>
      <c r="J126" s="2"/>
      <c r="K126" s="2"/>
      <c r="L126" s="2"/>
      <c r="M126" s="2"/>
      <c r="N126" s="1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</row>
    <row r="127" spans="2:31" ht="15.75" customHeight="1" x14ac:dyDescent="0.2">
      <c r="B127" s="2"/>
      <c r="C127" s="15"/>
      <c r="D127" s="100"/>
      <c r="E127" s="2"/>
      <c r="F127" s="171"/>
      <c r="G127" s="2"/>
      <c r="H127" s="2"/>
      <c r="I127" s="171"/>
      <c r="J127" s="2"/>
      <c r="K127" s="2"/>
      <c r="L127" s="2"/>
      <c r="M127" s="2"/>
      <c r="N127" s="1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</row>
    <row r="128" spans="2:31" ht="15.75" customHeight="1" x14ac:dyDescent="0.2">
      <c r="B128" s="2"/>
      <c r="C128" s="15"/>
      <c r="D128" s="100"/>
      <c r="E128" s="2"/>
      <c r="F128" s="171"/>
      <c r="G128" s="2"/>
      <c r="H128" s="2"/>
      <c r="I128" s="171"/>
      <c r="J128" s="2"/>
      <c r="K128" s="2"/>
      <c r="L128" s="2"/>
      <c r="M128" s="2"/>
      <c r="N128" s="1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</row>
    <row r="129" spans="2:31" ht="15.75" customHeight="1" x14ac:dyDescent="0.2">
      <c r="B129" s="2"/>
      <c r="C129" s="15"/>
      <c r="D129" s="100"/>
      <c r="E129" s="2"/>
      <c r="F129" s="171"/>
      <c r="G129" s="2"/>
      <c r="H129" s="2"/>
      <c r="I129" s="171"/>
      <c r="J129" s="2"/>
      <c r="K129" s="2"/>
      <c r="L129" s="2"/>
      <c r="M129" s="2"/>
      <c r="N129" s="1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</row>
    <row r="130" spans="2:31" ht="15.75" customHeight="1" x14ac:dyDescent="0.2">
      <c r="B130" s="2"/>
      <c r="C130" s="15"/>
      <c r="D130" s="100"/>
      <c r="E130" s="2"/>
      <c r="F130" s="171"/>
      <c r="G130" s="2"/>
      <c r="H130" s="2"/>
      <c r="I130" s="171"/>
      <c r="J130" s="2"/>
      <c r="K130" s="2"/>
      <c r="L130" s="2"/>
      <c r="M130" s="2"/>
      <c r="N130" s="1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</row>
    <row r="131" spans="2:31" ht="15.75" customHeight="1" x14ac:dyDescent="0.2">
      <c r="B131" s="2"/>
      <c r="C131" s="15"/>
      <c r="D131" s="100"/>
      <c r="E131" s="2"/>
      <c r="F131" s="171"/>
      <c r="G131" s="2"/>
      <c r="H131" s="2"/>
      <c r="I131" s="171"/>
      <c r="J131" s="2"/>
      <c r="K131" s="2"/>
      <c r="L131" s="2"/>
      <c r="M131" s="2"/>
      <c r="N131" s="1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</row>
    <row r="132" spans="2:31" ht="15.75" customHeight="1" x14ac:dyDescent="0.2">
      <c r="B132" s="2"/>
      <c r="C132" s="15"/>
      <c r="D132" s="100"/>
      <c r="E132" s="2"/>
      <c r="F132" s="171"/>
      <c r="G132" s="2"/>
      <c r="H132" s="2"/>
      <c r="I132" s="171"/>
      <c r="J132" s="2"/>
      <c r="K132" s="2"/>
      <c r="L132" s="2"/>
      <c r="M132" s="2"/>
      <c r="N132" s="1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</row>
    <row r="133" spans="2:31" ht="15.75" customHeight="1" x14ac:dyDescent="0.2">
      <c r="B133" s="2"/>
      <c r="C133" s="15"/>
      <c r="D133" s="100"/>
      <c r="E133" s="2"/>
      <c r="F133" s="171"/>
      <c r="G133" s="2"/>
      <c r="H133" s="2"/>
      <c r="I133" s="171"/>
      <c r="J133" s="2"/>
      <c r="K133" s="2"/>
      <c r="L133" s="2"/>
      <c r="M133" s="2"/>
      <c r="N133" s="1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</row>
    <row r="134" spans="2:31" ht="15.75" customHeight="1" x14ac:dyDescent="0.2">
      <c r="B134" s="2"/>
      <c r="C134" s="15"/>
      <c r="D134" s="100"/>
      <c r="E134" s="2"/>
      <c r="F134" s="171"/>
      <c r="G134" s="2"/>
      <c r="H134" s="2"/>
      <c r="I134" s="171"/>
      <c r="J134" s="2"/>
      <c r="K134" s="2"/>
      <c r="L134" s="2"/>
      <c r="M134" s="2"/>
      <c r="N134" s="1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</row>
    <row r="135" spans="2:31" ht="15.75" customHeight="1" x14ac:dyDescent="0.2">
      <c r="B135" s="2"/>
      <c r="C135" s="15"/>
      <c r="D135" s="100"/>
      <c r="E135" s="2"/>
      <c r="F135" s="171"/>
      <c r="G135" s="2"/>
      <c r="H135" s="2"/>
      <c r="I135" s="171"/>
      <c r="J135" s="2"/>
      <c r="K135" s="2"/>
      <c r="L135" s="2"/>
      <c r="M135" s="2"/>
      <c r="N135" s="1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</row>
    <row r="136" spans="2:31" ht="15.75" customHeight="1" x14ac:dyDescent="0.2">
      <c r="B136" s="2"/>
      <c r="C136" s="15"/>
      <c r="D136" s="100"/>
      <c r="E136" s="2"/>
      <c r="F136" s="171"/>
      <c r="G136" s="2"/>
      <c r="H136" s="2"/>
      <c r="I136" s="171"/>
      <c r="J136" s="2"/>
      <c r="K136" s="2"/>
      <c r="L136" s="2"/>
      <c r="M136" s="2"/>
      <c r="N136" s="1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</row>
    <row r="137" spans="2:31" ht="15.75" customHeight="1" x14ac:dyDescent="0.2">
      <c r="B137" s="2"/>
      <c r="C137" s="15"/>
      <c r="D137" s="100"/>
      <c r="E137" s="2"/>
      <c r="F137" s="171"/>
      <c r="G137" s="2"/>
      <c r="H137" s="2"/>
      <c r="I137" s="171"/>
      <c r="J137" s="2"/>
      <c r="K137" s="2"/>
      <c r="L137" s="2"/>
      <c r="M137" s="2"/>
      <c r="N137" s="1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</row>
    <row r="138" spans="2:31" ht="15.75" customHeight="1" x14ac:dyDescent="0.2">
      <c r="B138" s="2"/>
      <c r="C138" s="15"/>
      <c r="D138" s="100"/>
      <c r="E138" s="2"/>
      <c r="F138" s="171"/>
      <c r="G138" s="2"/>
      <c r="H138" s="2"/>
      <c r="I138" s="171"/>
      <c r="J138" s="2"/>
      <c r="K138" s="2"/>
      <c r="L138" s="2"/>
      <c r="M138" s="2"/>
      <c r="N138" s="1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</row>
    <row r="139" spans="2:31" ht="15.75" customHeight="1" x14ac:dyDescent="0.2">
      <c r="B139" s="2"/>
      <c r="C139" s="15"/>
      <c r="D139" s="100"/>
      <c r="E139" s="2"/>
      <c r="F139" s="171"/>
      <c r="G139" s="2"/>
      <c r="H139" s="2"/>
      <c r="I139" s="171"/>
      <c r="J139" s="2"/>
      <c r="K139" s="2"/>
      <c r="L139" s="2"/>
      <c r="M139" s="2"/>
      <c r="N139" s="1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</row>
    <row r="140" spans="2:31" ht="15.75" customHeight="1" x14ac:dyDescent="0.2">
      <c r="B140" s="2"/>
      <c r="C140" s="15"/>
      <c r="D140" s="100"/>
      <c r="E140" s="2"/>
      <c r="F140" s="171"/>
      <c r="G140" s="2"/>
      <c r="H140" s="2"/>
      <c r="I140" s="171"/>
      <c r="J140" s="2"/>
      <c r="K140" s="2"/>
      <c r="L140" s="2"/>
      <c r="M140" s="2"/>
      <c r="N140" s="1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</row>
    <row r="141" spans="2:31" ht="15.75" customHeight="1" x14ac:dyDescent="0.2">
      <c r="B141" s="2"/>
      <c r="C141" s="15"/>
      <c r="D141" s="100"/>
      <c r="E141" s="2"/>
      <c r="F141" s="171"/>
      <c r="G141" s="2"/>
      <c r="H141" s="2"/>
      <c r="I141" s="171"/>
      <c r="J141" s="2"/>
      <c r="K141" s="2"/>
      <c r="L141" s="2"/>
      <c r="M141" s="2"/>
      <c r="N141" s="1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</row>
    <row r="142" spans="2:31" ht="15.75" customHeight="1" x14ac:dyDescent="0.2">
      <c r="B142" s="2"/>
      <c r="C142" s="15"/>
      <c r="D142" s="100"/>
      <c r="E142" s="2"/>
      <c r="F142" s="171"/>
      <c r="G142" s="2"/>
      <c r="H142" s="2"/>
      <c r="I142" s="171"/>
      <c r="J142" s="2"/>
      <c r="K142" s="2"/>
      <c r="L142" s="2"/>
      <c r="M142" s="2"/>
      <c r="N142" s="1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</row>
    <row r="143" spans="2:31" ht="15.75" customHeight="1" x14ac:dyDescent="0.2">
      <c r="B143" s="2"/>
      <c r="C143" s="15"/>
      <c r="D143" s="100"/>
      <c r="E143" s="2"/>
      <c r="F143" s="171"/>
      <c r="G143" s="2"/>
      <c r="H143" s="2"/>
      <c r="I143" s="171"/>
      <c r="J143" s="2"/>
      <c r="K143" s="2"/>
      <c r="L143" s="2"/>
      <c r="M143" s="2"/>
      <c r="N143" s="1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</row>
    <row r="144" spans="2:31" ht="15.75" customHeight="1" x14ac:dyDescent="0.2">
      <c r="B144" s="2"/>
      <c r="C144" s="15"/>
      <c r="D144" s="100"/>
      <c r="E144" s="2"/>
      <c r="F144" s="171"/>
      <c r="G144" s="2"/>
      <c r="H144" s="2"/>
      <c r="I144" s="171"/>
      <c r="J144" s="2"/>
      <c r="K144" s="2"/>
      <c r="L144" s="2"/>
      <c r="M144" s="2"/>
      <c r="N144" s="1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</row>
    <row r="145" spans="2:31" ht="15.75" customHeight="1" x14ac:dyDescent="0.2">
      <c r="B145" s="2"/>
      <c r="C145" s="15"/>
      <c r="D145" s="100"/>
      <c r="E145" s="2"/>
      <c r="F145" s="171"/>
      <c r="G145" s="2"/>
      <c r="H145" s="2"/>
      <c r="I145" s="171"/>
      <c r="J145" s="2"/>
      <c r="K145" s="2"/>
      <c r="L145" s="2"/>
      <c r="M145" s="2"/>
      <c r="N145" s="1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</row>
    <row r="146" spans="2:31" ht="15.75" customHeight="1" x14ac:dyDescent="0.2">
      <c r="B146" s="2"/>
      <c r="C146" s="15"/>
      <c r="D146" s="100"/>
      <c r="E146" s="2"/>
      <c r="F146" s="171"/>
      <c r="G146" s="2"/>
      <c r="H146" s="2"/>
      <c r="I146" s="171"/>
      <c r="J146" s="2"/>
      <c r="K146" s="2"/>
      <c r="L146" s="2"/>
      <c r="M146" s="2"/>
      <c r="N146" s="1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</row>
    <row r="147" spans="2:31" ht="15.75" customHeight="1" x14ac:dyDescent="0.2">
      <c r="B147" s="2"/>
      <c r="C147" s="15"/>
      <c r="D147" s="100"/>
      <c r="E147" s="2"/>
      <c r="F147" s="171"/>
      <c r="G147" s="2"/>
      <c r="H147" s="2"/>
      <c r="I147" s="171"/>
      <c r="J147" s="2"/>
      <c r="K147" s="2"/>
      <c r="L147" s="2"/>
      <c r="M147" s="2"/>
      <c r="N147" s="1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</row>
    <row r="148" spans="2:31" ht="15.75" customHeight="1" x14ac:dyDescent="0.2">
      <c r="B148" s="2"/>
      <c r="C148" s="15"/>
      <c r="D148" s="100"/>
      <c r="E148" s="2"/>
      <c r="F148" s="171"/>
      <c r="G148" s="2"/>
      <c r="H148" s="2"/>
      <c r="I148" s="171"/>
      <c r="J148" s="2"/>
      <c r="K148" s="2"/>
      <c r="L148" s="2"/>
      <c r="M148" s="2"/>
      <c r="N148" s="1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</row>
    <row r="149" spans="2:31" ht="15.75" customHeight="1" x14ac:dyDescent="0.2">
      <c r="B149" s="2"/>
      <c r="C149" s="15"/>
      <c r="D149" s="100"/>
      <c r="E149" s="2"/>
      <c r="F149" s="171"/>
      <c r="G149" s="2"/>
      <c r="H149" s="2"/>
      <c r="I149" s="171"/>
      <c r="J149" s="2"/>
      <c r="K149" s="2"/>
      <c r="L149" s="2"/>
      <c r="M149" s="2"/>
      <c r="N149" s="1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</row>
    <row r="150" spans="2:31" ht="15.75" customHeight="1" x14ac:dyDescent="0.2">
      <c r="B150" s="2"/>
      <c r="C150" s="15"/>
      <c r="D150" s="100"/>
      <c r="E150" s="2"/>
      <c r="F150" s="171"/>
      <c r="G150" s="2"/>
      <c r="H150" s="2"/>
      <c r="I150" s="171"/>
      <c r="J150" s="2"/>
      <c r="K150" s="2"/>
      <c r="L150" s="2"/>
      <c r="M150" s="2"/>
      <c r="N150" s="1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</row>
    <row r="151" spans="2:31" ht="15.75" customHeight="1" x14ac:dyDescent="0.2">
      <c r="B151" s="2"/>
      <c r="C151" s="15"/>
      <c r="D151" s="100"/>
      <c r="E151" s="2"/>
      <c r="F151" s="171"/>
      <c r="G151" s="2"/>
      <c r="H151" s="2"/>
      <c r="I151" s="171"/>
      <c r="J151" s="2"/>
      <c r="K151" s="2"/>
      <c r="L151" s="2"/>
      <c r="M151" s="2"/>
      <c r="N151" s="1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</row>
    <row r="152" spans="2:31" ht="15.75" customHeight="1" x14ac:dyDescent="0.2">
      <c r="B152" s="2"/>
      <c r="C152" s="15"/>
      <c r="D152" s="100"/>
      <c r="E152" s="2"/>
      <c r="F152" s="171"/>
      <c r="G152" s="2"/>
      <c r="H152" s="2"/>
      <c r="I152" s="171"/>
      <c r="J152" s="2"/>
      <c r="K152" s="2"/>
      <c r="L152" s="2"/>
      <c r="M152" s="2"/>
      <c r="N152" s="1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</row>
    <row r="153" spans="2:31" ht="15.75" customHeight="1" x14ac:dyDescent="0.2">
      <c r="B153" s="2"/>
      <c r="C153" s="15"/>
      <c r="D153" s="100"/>
      <c r="E153" s="2"/>
      <c r="F153" s="171"/>
      <c r="G153" s="2"/>
      <c r="H153" s="2"/>
      <c r="I153" s="171"/>
      <c r="J153" s="2"/>
      <c r="K153" s="2"/>
      <c r="L153" s="2"/>
      <c r="M153" s="2"/>
      <c r="N153" s="1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</row>
    <row r="154" spans="2:31" ht="15.75" customHeight="1" x14ac:dyDescent="0.2">
      <c r="B154" s="2"/>
      <c r="C154" s="15"/>
      <c r="D154" s="100"/>
      <c r="E154" s="2"/>
      <c r="F154" s="171"/>
      <c r="G154" s="2"/>
      <c r="H154" s="2"/>
      <c r="I154" s="171"/>
      <c r="J154" s="2"/>
      <c r="K154" s="2"/>
      <c r="L154" s="2"/>
      <c r="M154" s="2"/>
      <c r="N154" s="1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</row>
    <row r="155" spans="2:31" ht="15.75" customHeight="1" x14ac:dyDescent="0.2">
      <c r="B155" s="2"/>
      <c r="C155" s="15"/>
      <c r="D155" s="100"/>
      <c r="E155" s="2"/>
      <c r="F155" s="171"/>
      <c r="G155" s="2"/>
      <c r="H155" s="2"/>
      <c r="I155" s="171"/>
      <c r="J155" s="2"/>
      <c r="K155" s="2"/>
      <c r="L155" s="2"/>
      <c r="M155" s="2"/>
      <c r="N155" s="1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</row>
    <row r="156" spans="2:31" ht="15.75" customHeight="1" x14ac:dyDescent="0.2">
      <c r="B156" s="2"/>
      <c r="C156" s="15"/>
      <c r="D156" s="100"/>
      <c r="E156" s="2"/>
      <c r="F156" s="171"/>
      <c r="G156" s="2"/>
      <c r="H156" s="2"/>
      <c r="I156" s="171"/>
      <c r="J156" s="2"/>
      <c r="K156" s="2"/>
      <c r="L156" s="2"/>
      <c r="M156" s="2"/>
      <c r="N156" s="1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</row>
    <row r="157" spans="2:31" ht="15.75" customHeight="1" x14ac:dyDescent="0.2">
      <c r="B157" s="2"/>
      <c r="C157" s="15"/>
      <c r="D157" s="100"/>
      <c r="E157" s="2"/>
      <c r="F157" s="171"/>
      <c r="G157" s="2"/>
      <c r="H157" s="2"/>
      <c r="I157" s="171"/>
      <c r="J157" s="2"/>
      <c r="K157" s="2"/>
      <c r="L157" s="2"/>
      <c r="M157" s="2"/>
      <c r="N157" s="1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</row>
    <row r="158" spans="2:31" ht="15.75" customHeight="1" x14ac:dyDescent="0.2">
      <c r="B158" s="2"/>
      <c r="C158" s="15"/>
      <c r="D158" s="100"/>
      <c r="E158" s="2"/>
      <c r="F158" s="171"/>
      <c r="G158" s="2"/>
      <c r="H158" s="2"/>
      <c r="I158" s="171"/>
      <c r="J158" s="2"/>
      <c r="K158" s="2"/>
      <c r="L158" s="2"/>
      <c r="M158" s="2"/>
      <c r="N158" s="1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</row>
    <row r="159" spans="2:31" ht="15.75" customHeight="1" x14ac:dyDescent="0.2">
      <c r="B159" s="2"/>
      <c r="C159" s="15"/>
      <c r="D159" s="100"/>
      <c r="E159" s="2"/>
      <c r="F159" s="171"/>
      <c r="G159" s="2"/>
      <c r="H159" s="2"/>
      <c r="I159" s="171"/>
      <c r="J159" s="2"/>
      <c r="K159" s="2"/>
      <c r="L159" s="2"/>
      <c r="M159" s="2"/>
      <c r="N159" s="1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</row>
    <row r="160" spans="2:31" ht="15.75" customHeight="1" x14ac:dyDescent="0.2">
      <c r="B160" s="2"/>
      <c r="C160" s="15"/>
      <c r="D160" s="100"/>
      <c r="E160" s="2"/>
      <c r="F160" s="171"/>
      <c r="G160" s="2"/>
      <c r="H160" s="2"/>
      <c r="I160" s="171"/>
      <c r="J160" s="2"/>
      <c r="K160" s="2"/>
      <c r="L160" s="2"/>
      <c r="M160" s="2"/>
      <c r="N160" s="1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</row>
    <row r="161" spans="2:31" ht="15.75" customHeight="1" x14ac:dyDescent="0.2">
      <c r="B161" s="2"/>
      <c r="C161" s="15"/>
      <c r="D161" s="100"/>
      <c r="E161" s="2"/>
      <c r="F161" s="171"/>
      <c r="G161" s="2"/>
      <c r="H161" s="2"/>
      <c r="I161" s="171"/>
      <c r="J161" s="2"/>
      <c r="K161" s="2"/>
      <c r="L161" s="2"/>
      <c r="M161" s="2"/>
      <c r="N161" s="1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</row>
    <row r="162" spans="2:31" ht="15.75" customHeight="1" x14ac:dyDescent="0.2">
      <c r="B162" s="2"/>
      <c r="C162" s="15"/>
      <c r="D162" s="100"/>
      <c r="E162" s="2"/>
      <c r="F162" s="171"/>
      <c r="G162" s="2"/>
      <c r="H162" s="2"/>
      <c r="I162" s="171"/>
      <c r="J162" s="2"/>
      <c r="K162" s="2"/>
      <c r="L162" s="2"/>
      <c r="M162" s="2"/>
      <c r="N162" s="1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</row>
    <row r="163" spans="2:31" ht="15.75" customHeight="1" x14ac:dyDescent="0.2">
      <c r="B163" s="2"/>
      <c r="C163" s="15"/>
      <c r="D163" s="100"/>
      <c r="E163" s="2"/>
      <c r="F163" s="171"/>
      <c r="G163" s="2"/>
      <c r="H163" s="2"/>
      <c r="I163" s="171"/>
      <c r="J163" s="2"/>
      <c r="K163" s="2"/>
      <c r="L163" s="2"/>
      <c r="M163" s="2"/>
      <c r="N163" s="1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</row>
    <row r="164" spans="2:31" ht="15.75" customHeight="1" x14ac:dyDescent="0.2">
      <c r="B164" s="2"/>
      <c r="C164" s="15"/>
      <c r="D164" s="100"/>
      <c r="E164" s="2"/>
      <c r="F164" s="171"/>
      <c r="G164" s="2"/>
      <c r="H164" s="2"/>
      <c r="I164" s="171"/>
      <c r="J164" s="2"/>
      <c r="K164" s="2"/>
      <c r="L164" s="2"/>
      <c r="M164" s="2"/>
      <c r="N164" s="1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</row>
    <row r="165" spans="2:31" ht="15.75" customHeight="1" x14ac:dyDescent="0.2">
      <c r="B165" s="2"/>
      <c r="C165" s="15"/>
      <c r="D165" s="100"/>
      <c r="E165" s="2"/>
      <c r="F165" s="171"/>
      <c r="G165" s="2"/>
      <c r="H165" s="2"/>
      <c r="I165" s="171"/>
      <c r="J165" s="2"/>
      <c r="K165" s="2"/>
      <c r="L165" s="2"/>
      <c r="M165" s="2"/>
      <c r="N165" s="1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</row>
    <row r="166" spans="2:31" ht="15.75" customHeight="1" x14ac:dyDescent="0.2">
      <c r="B166" s="2"/>
      <c r="C166" s="15"/>
      <c r="D166" s="100"/>
      <c r="E166" s="2"/>
      <c r="F166" s="171"/>
      <c r="G166" s="2"/>
      <c r="H166" s="2"/>
      <c r="I166" s="171"/>
      <c r="J166" s="2"/>
      <c r="K166" s="2"/>
      <c r="L166" s="2"/>
      <c r="M166" s="2"/>
      <c r="N166" s="1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</row>
    <row r="167" spans="2:31" ht="15.75" customHeight="1" x14ac:dyDescent="0.2">
      <c r="B167" s="2"/>
      <c r="C167" s="15"/>
      <c r="D167" s="100"/>
      <c r="E167" s="2"/>
      <c r="F167" s="171"/>
      <c r="G167" s="2"/>
      <c r="H167" s="2"/>
      <c r="I167" s="171"/>
      <c r="J167" s="2"/>
      <c r="K167" s="2"/>
      <c r="L167" s="2"/>
      <c r="M167" s="2"/>
      <c r="N167" s="1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</row>
    <row r="168" spans="2:31" ht="15.75" customHeight="1" x14ac:dyDescent="0.2">
      <c r="B168" s="2"/>
      <c r="C168" s="15"/>
      <c r="D168" s="100"/>
      <c r="E168" s="2"/>
      <c r="F168" s="171"/>
      <c r="G168" s="2"/>
      <c r="H168" s="2"/>
      <c r="I168" s="171"/>
      <c r="J168" s="2"/>
      <c r="K168" s="2"/>
      <c r="L168" s="2"/>
      <c r="M168" s="2"/>
      <c r="N168" s="1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</row>
    <row r="169" spans="2:31" ht="15.75" customHeight="1" x14ac:dyDescent="0.2">
      <c r="B169" s="2"/>
      <c r="C169" s="15"/>
      <c r="D169" s="100"/>
      <c r="E169" s="2"/>
      <c r="F169" s="171"/>
      <c r="G169" s="2"/>
      <c r="H169" s="2"/>
      <c r="I169" s="171"/>
      <c r="J169" s="2"/>
      <c r="K169" s="2"/>
      <c r="L169" s="2"/>
      <c r="M169" s="2"/>
      <c r="N169" s="1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</row>
    <row r="170" spans="2:31" ht="15.75" customHeight="1" x14ac:dyDescent="0.2">
      <c r="B170" s="2"/>
      <c r="C170" s="15"/>
      <c r="D170" s="100"/>
      <c r="E170" s="2"/>
      <c r="F170" s="171"/>
      <c r="G170" s="2"/>
      <c r="H170" s="2"/>
      <c r="I170" s="171"/>
      <c r="J170" s="2"/>
      <c r="K170" s="2"/>
      <c r="L170" s="2"/>
      <c r="M170" s="2"/>
      <c r="N170" s="1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</row>
    <row r="171" spans="2:31" ht="15.75" customHeight="1" x14ac:dyDescent="0.2">
      <c r="B171" s="2"/>
      <c r="C171" s="15"/>
      <c r="D171" s="100"/>
      <c r="E171" s="2"/>
      <c r="F171" s="171"/>
      <c r="G171" s="2"/>
      <c r="H171" s="2"/>
      <c r="I171" s="171"/>
      <c r="J171" s="2"/>
      <c r="K171" s="2"/>
      <c r="L171" s="2"/>
      <c r="M171" s="2"/>
      <c r="N171" s="1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</row>
    <row r="172" spans="2:31" ht="15.75" customHeight="1" x14ac:dyDescent="0.2">
      <c r="B172" s="2"/>
      <c r="C172" s="15"/>
      <c r="D172" s="100"/>
      <c r="E172" s="2"/>
      <c r="F172" s="171"/>
      <c r="G172" s="2"/>
      <c r="H172" s="2"/>
      <c r="I172" s="171"/>
      <c r="J172" s="2"/>
      <c r="K172" s="2"/>
      <c r="L172" s="2"/>
      <c r="M172" s="2"/>
      <c r="N172" s="1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</row>
    <row r="173" spans="2:31" ht="15.75" customHeight="1" x14ac:dyDescent="0.2">
      <c r="B173" s="2"/>
      <c r="C173" s="15"/>
      <c r="D173" s="100"/>
      <c r="E173" s="2"/>
      <c r="F173" s="171"/>
      <c r="G173" s="2"/>
      <c r="H173" s="2"/>
      <c r="I173" s="171"/>
      <c r="J173" s="2"/>
      <c r="K173" s="2"/>
      <c r="L173" s="2"/>
      <c r="M173" s="2"/>
      <c r="N173" s="1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</row>
    <row r="174" spans="2:31" ht="15.75" customHeight="1" x14ac:dyDescent="0.2">
      <c r="B174" s="2"/>
      <c r="C174" s="15"/>
      <c r="D174" s="100"/>
      <c r="E174" s="2"/>
      <c r="F174" s="171"/>
      <c r="G174" s="2"/>
      <c r="H174" s="2"/>
      <c r="I174" s="171"/>
      <c r="J174" s="2"/>
      <c r="K174" s="2"/>
      <c r="L174" s="2"/>
      <c r="M174" s="2"/>
      <c r="N174" s="1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</row>
    <row r="175" spans="2:31" ht="15.75" customHeight="1" x14ac:dyDescent="0.2">
      <c r="B175" s="2"/>
      <c r="C175" s="15"/>
      <c r="D175" s="100"/>
      <c r="E175" s="2"/>
      <c r="F175" s="171"/>
      <c r="G175" s="2"/>
      <c r="H175" s="2"/>
      <c r="I175" s="171"/>
      <c r="J175" s="2"/>
      <c r="K175" s="2"/>
      <c r="L175" s="2"/>
      <c r="M175" s="2"/>
      <c r="N175" s="1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</row>
    <row r="176" spans="2:31" ht="15.75" customHeight="1" x14ac:dyDescent="0.2">
      <c r="B176" s="2"/>
      <c r="C176" s="15"/>
      <c r="D176" s="100"/>
      <c r="E176" s="2"/>
      <c r="F176" s="171"/>
      <c r="G176" s="2"/>
      <c r="H176" s="2"/>
      <c r="I176" s="171"/>
      <c r="J176" s="2"/>
      <c r="K176" s="2"/>
      <c r="L176" s="2"/>
      <c r="M176" s="2"/>
      <c r="N176" s="1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</row>
    <row r="177" spans="2:31" ht="15.75" customHeight="1" x14ac:dyDescent="0.2">
      <c r="B177" s="2"/>
      <c r="C177" s="15"/>
      <c r="D177" s="100"/>
      <c r="E177" s="2"/>
      <c r="F177" s="171"/>
      <c r="G177" s="2"/>
      <c r="H177" s="2"/>
      <c r="I177" s="171"/>
      <c r="J177" s="2"/>
      <c r="K177" s="2"/>
      <c r="L177" s="2"/>
      <c r="M177" s="2"/>
      <c r="N177" s="1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</row>
    <row r="178" spans="2:31" ht="15.75" customHeight="1" x14ac:dyDescent="0.2">
      <c r="B178" s="2"/>
      <c r="C178" s="15"/>
      <c r="D178" s="100"/>
      <c r="E178" s="2"/>
      <c r="F178" s="171"/>
      <c r="G178" s="2"/>
      <c r="H178" s="2"/>
      <c r="I178" s="171"/>
      <c r="J178" s="2"/>
      <c r="K178" s="2"/>
      <c r="L178" s="2"/>
      <c r="M178" s="2"/>
      <c r="N178" s="1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</row>
    <row r="179" spans="2:31" ht="15.75" customHeight="1" x14ac:dyDescent="0.2">
      <c r="B179" s="2"/>
      <c r="C179" s="15"/>
      <c r="D179" s="100"/>
      <c r="E179" s="2"/>
      <c r="F179" s="171"/>
      <c r="G179" s="2"/>
      <c r="H179" s="2"/>
      <c r="I179" s="171"/>
      <c r="J179" s="2"/>
      <c r="K179" s="2"/>
      <c r="L179" s="2"/>
      <c r="M179" s="2"/>
      <c r="N179" s="1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</row>
    <row r="180" spans="2:31" ht="15.75" customHeight="1" x14ac:dyDescent="0.2">
      <c r="B180" s="2"/>
      <c r="C180" s="15"/>
      <c r="D180" s="100"/>
      <c r="E180" s="2"/>
      <c r="F180" s="171"/>
      <c r="G180" s="2"/>
      <c r="H180" s="2"/>
      <c r="I180" s="171"/>
      <c r="J180" s="2"/>
      <c r="K180" s="2"/>
      <c r="L180" s="2"/>
      <c r="M180" s="2"/>
      <c r="N180" s="1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</row>
    <row r="181" spans="2:31" ht="15.75" customHeight="1" x14ac:dyDescent="0.2">
      <c r="B181" s="2"/>
      <c r="C181" s="15"/>
      <c r="D181" s="100"/>
      <c r="E181" s="2"/>
      <c r="F181" s="171"/>
      <c r="G181" s="2"/>
      <c r="H181" s="2"/>
      <c r="I181" s="171"/>
      <c r="J181" s="2"/>
      <c r="K181" s="2"/>
      <c r="L181" s="2"/>
      <c r="M181" s="2"/>
      <c r="N181" s="1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</row>
    <row r="182" spans="2:31" ht="15.75" customHeight="1" x14ac:dyDescent="0.2">
      <c r="B182" s="2"/>
      <c r="C182" s="15"/>
      <c r="D182" s="100"/>
      <c r="E182" s="2"/>
      <c r="F182" s="171"/>
      <c r="G182" s="2"/>
      <c r="H182" s="2"/>
      <c r="I182" s="171"/>
      <c r="J182" s="2"/>
      <c r="K182" s="2"/>
      <c r="L182" s="2"/>
      <c r="M182" s="2"/>
      <c r="N182" s="1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</row>
    <row r="183" spans="2:31" ht="15.75" customHeight="1" x14ac:dyDescent="0.2">
      <c r="B183" s="2"/>
      <c r="C183" s="15"/>
      <c r="D183" s="100"/>
      <c r="E183" s="2"/>
      <c r="F183" s="171"/>
      <c r="G183" s="2"/>
      <c r="H183" s="2"/>
      <c r="I183" s="171"/>
      <c r="J183" s="2"/>
      <c r="K183" s="2"/>
      <c r="L183" s="2"/>
      <c r="M183" s="2"/>
      <c r="N183" s="1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</row>
    <row r="184" spans="2:31" ht="15.75" customHeight="1" x14ac:dyDescent="0.2">
      <c r="B184" s="2"/>
      <c r="C184" s="15"/>
      <c r="D184" s="100"/>
      <c r="E184" s="2"/>
      <c r="F184" s="171"/>
      <c r="G184" s="2"/>
      <c r="H184" s="2"/>
      <c r="I184" s="171"/>
      <c r="J184" s="2"/>
      <c r="K184" s="2"/>
      <c r="L184" s="2"/>
      <c r="M184" s="2"/>
      <c r="N184" s="1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</row>
    <row r="185" spans="2:31" ht="15.75" customHeight="1" x14ac:dyDescent="0.2">
      <c r="B185" s="2"/>
      <c r="C185" s="15"/>
      <c r="D185" s="100"/>
      <c r="E185" s="2"/>
      <c r="F185" s="171"/>
      <c r="G185" s="2"/>
      <c r="H185" s="2"/>
      <c r="I185" s="171"/>
      <c r="J185" s="2"/>
      <c r="K185" s="2"/>
      <c r="L185" s="2"/>
      <c r="M185" s="2"/>
      <c r="N185" s="1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</row>
    <row r="186" spans="2:31" ht="15.75" customHeight="1" x14ac:dyDescent="0.2">
      <c r="B186" s="2"/>
      <c r="C186" s="15"/>
      <c r="D186" s="100"/>
      <c r="E186" s="2"/>
      <c r="F186" s="171"/>
      <c r="G186" s="2"/>
      <c r="H186" s="2"/>
      <c r="I186" s="171"/>
      <c r="J186" s="2"/>
      <c r="K186" s="2"/>
      <c r="L186" s="2"/>
      <c r="M186" s="2"/>
      <c r="N186" s="1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</row>
    <row r="187" spans="2:31" ht="15.75" customHeight="1" x14ac:dyDescent="0.2">
      <c r="B187" s="2"/>
      <c r="C187" s="15"/>
      <c r="D187" s="100"/>
      <c r="E187" s="2"/>
      <c r="F187" s="171"/>
      <c r="G187" s="2"/>
      <c r="H187" s="2"/>
      <c r="I187" s="171"/>
      <c r="J187" s="2"/>
      <c r="K187" s="2"/>
      <c r="L187" s="2"/>
      <c r="M187" s="2"/>
      <c r="N187" s="1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</row>
    <row r="188" spans="2:31" ht="15.75" customHeight="1" x14ac:dyDescent="0.2">
      <c r="B188" s="2"/>
      <c r="C188" s="15"/>
      <c r="D188" s="100"/>
      <c r="E188" s="2"/>
      <c r="F188" s="171"/>
      <c r="G188" s="2"/>
      <c r="H188" s="2"/>
      <c r="I188" s="171"/>
      <c r="J188" s="2"/>
      <c r="K188" s="2"/>
      <c r="L188" s="2"/>
      <c r="M188" s="2"/>
      <c r="N188" s="1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</row>
    <row r="189" spans="2:31" ht="15.75" customHeight="1" x14ac:dyDescent="0.2">
      <c r="B189" s="2"/>
      <c r="C189" s="15"/>
      <c r="D189" s="100"/>
      <c r="E189" s="2"/>
      <c r="F189" s="171"/>
      <c r="G189" s="2"/>
      <c r="H189" s="2"/>
      <c r="I189" s="171"/>
      <c r="J189" s="2"/>
      <c r="K189" s="2"/>
      <c r="L189" s="2"/>
      <c r="M189" s="2"/>
      <c r="N189" s="1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</row>
    <row r="190" spans="2:31" ht="15.75" customHeight="1" x14ac:dyDescent="0.2">
      <c r="B190" s="2"/>
      <c r="C190" s="15"/>
      <c r="D190" s="100"/>
      <c r="E190" s="2"/>
      <c r="F190" s="171"/>
      <c r="G190" s="2"/>
      <c r="H190" s="2"/>
      <c r="I190" s="171"/>
      <c r="J190" s="2"/>
      <c r="K190" s="2"/>
      <c r="L190" s="2"/>
      <c r="M190" s="2"/>
      <c r="N190" s="1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</row>
    <row r="191" spans="2:31" ht="15.75" customHeight="1" x14ac:dyDescent="0.2">
      <c r="B191" s="2"/>
      <c r="C191" s="15"/>
      <c r="D191" s="100"/>
      <c r="E191" s="2"/>
      <c r="F191" s="171"/>
      <c r="G191" s="2"/>
      <c r="H191" s="2"/>
      <c r="I191" s="171"/>
      <c r="J191" s="2"/>
      <c r="K191" s="2"/>
      <c r="L191" s="2"/>
      <c r="M191" s="2"/>
      <c r="N191" s="1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</row>
    <row r="192" spans="2:31" ht="15.75" customHeight="1" x14ac:dyDescent="0.2">
      <c r="B192" s="2"/>
      <c r="C192" s="15"/>
      <c r="D192" s="100"/>
      <c r="E192" s="2"/>
      <c r="F192" s="171"/>
      <c r="G192" s="2"/>
      <c r="H192" s="2"/>
      <c r="I192" s="171"/>
      <c r="J192" s="2"/>
      <c r="K192" s="2"/>
      <c r="L192" s="2"/>
      <c r="M192" s="2"/>
      <c r="N192" s="1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</row>
    <row r="193" spans="2:31" ht="15.75" customHeight="1" x14ac:dyDescent="0.2">
      <c r="B193" s="2"/>
      <c r="C193" s="15"/>
      <c r="D193" s="100"/>
      <c r="E193" s="2"/>
      <c r="F193" s="171"/>
      <c r="G193" s="2"/>
      <c r="H193" s="2"/>
      <c r="I193" s="171"/>
      <c r="J193" s="2"/>
      <c r="K193" s="2"/>
      <c r="L193" s="2"/>
      <c r="M193" s="2"/>
      <c r="N193" s="1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</row>
    <row r="194" spans="2:31" ht="15.75" customHeight="1" x14ac:dyDescent="0.2">
      <c r="B194" s="2"/>
      <c r="C194" s="15"/>
      <c r="D194" s="100"/>
      <c r="E194" s="2"/>
      <c r="F194" s="171"/>
      <c r="G194" s="2"/>
      <c r="H194" s="2"/>
      <c r="I194" s="171"/>
      <c r="J194" s="2"/>
      <c r="K194" s="2"/>
      <c r="L194" s="2"/>
      <c r="M194" s="2"/>
      <c r="N194" s="1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</row>
    <row r="195" spans="2:31" ht="15.75" customHeight="1" x14ac:dyDescent="0.2">
      <c r="B195" s="2"/>
      <c r="C195" s="15"/>
      <c r="D195" s="100"/>
      <c r="E195" s="2"/>
      <c r="F195" s="171"/>
      <c r="G195" s="2"/>
      <c r="H195" s="2"/>
      <c r="I195" s="171"/>
      <c r="J195" s="2"/>
      <c r="K195" s="2"/>
      <c r="L195" s="2"/>
      <c r="M195" s="2"/>
      <c r="N195" s="1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</row>
    <row r="196" spans="2:31" ht="15.75" customHeight="1" x14ac:dyDescent="0.2">
      <c r="B196" s="2"/>
      <c r="C196" s="15"/>
      <c r="D196" s="100"/>
      <c r="E196" s="2"/>
      <c r="F196" s="171"/>
      <c r="G196" s="2"/>
      <c r="H196" s="2"/>
      <c r="I196" s="171"/>
      <c r="J196" s="2"/>
      <c r="K196" s="2"/>
      <c r="L196" s="2"/>
      <c r="M196" s="2"/>
      <c r="N196" s="1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</row>
    <row r="197" spans="2:31" ht="15.75" customHeight="1" x14ac:dyDescent="0.2">
      <c r="B197" s="2"/>
      <c r="C197" s="15"/>
      <c r="D197" s="100"/>
      <c r="E197" s="2"/>
      <c r="F197" s="171"/>
      <c r="G197" s="2"/>
      <c r="H197" s="2"/>
      <c r="I197" s="171"/>
      <c r="J197" s="2"/>
      <c r="K197" s="2"/>
      <c r="L197" s="2"/>
      <c r="M197" s="2"/>
      <c r="N197" s="1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</row>
    <row r="198" spans="2:31" ht="15.75" customHeight="1" x14ac:dyDescent="0.2">
      <c r="B198" s="2"/>
      <c r="C198" s="15"/>
      <c r="D198" s="100"/>
      <c r="E198" s="2"/>
      <c r="F198" s="171"/>
      <c r="G198" s="2"/>
      <c r="H198" s="2"/>
      <c r="I198" s="171"/>
      <c r="J198" s="2"/>
      <c r="K198" s="2"/>
      <c r="L198" s="2"/>
      <c r="M198" s="2"/>
      <c r="N198" s="1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</row>
    <row r="199" spans="2:31" ht="15.75" customHeight="1" x14ac:dyDescent="0.2">
      <c r="B199" s="2"/>
      <c r="C199" s="15"/>
      <c r="D199" s="100"/>
      <c r="E199" s="2"/>
      <c r="F199" s="171"/>
      <c r="G199" s="2"/>
      <c r="H199" s="2"/>
      <c r="I199" s="171"/>
      <c r="J199" s="2"/>
      <c r="K199" s="2"/>
      <c r="L199" s="2"/>
      <c r="M199" s="2"/>
      <c r="N199" s="1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</row>
    <row r="200" spans="2:31" ht="15.75" customHeight="1" x14ac:dyDescent="0.2">
      <c r="B200" s="2"/>
      <c r="C200" s="15"/>
      <c r="D200" s="100"/>
      <c r="E200" s="2"/>
      <c r="F200" s="171"/>
      <c r="G200" s="2"/>
      <c r="H200" s="2"/>
      <c r="I200" s="171"/>
      <c r="J200" s="2"/>
      <c r="K200" s="2"/>
      <c r="L200" s="2"/>
      <c r="M200" s="2"/>
      <c r="N200" s="1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</row>
    <row r="201" spans="2:31" ht="15.75" customHeight="1" x14ac:dyDescent="0.2">
      <c r="B201" s="2"/>
      <c r="C201" s="15"/>
      <c r="D201" s="100"/>
      <c r="E201" s="2"/>
      <c r="F201" s="171"/>
      <c r="G201" s="2"/>
      <c r="H201" s="2"/>
      <c r="I201" s="171"/>
      <c r="J201" s="2"/>
      <c r="K201" s="2"/>
      <c r="L201" s="2"/>
      <c r="M201" s="2"/>
      <c r="N201" s="1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</row>
    <row r="202" spans="2:31" ht="15.75" customHeight="1" x14ac:dyDescent="0.2">
      <c r="B202" s="2"/>
      <c r="C202" s="15"/>
      <c r="D202" s="100"/>
      <c r="E202" s="2"/>
      <c r="F202" s="171"/>
      <c r="G202" s="2"/>
      <c r="H202" s="2"/>
      <c r="I202" s="171"/>
      <c r="J202" s="2"/>
      <c r="K202" s="2"/>
      <c r="L202" s="2"/>
      <c r="M202" s="2"/>
      <c r="N202" s="1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</row>
    <row r="203" spans="2:31" ht="15.75" customHeight="1" x14ac:dyDescent="0.2">
      <c r="B203" s="2"/>
      <c r="C203" s="15"/>
      <c r="D203" s="100"/>
      <c r="E203" s="2"/>
      <c r="F203" s="171"/>
      <c r="G203" s="2"/>
      <c r="H203" s="2"/>
      <c r="I203" s="171"/>
      <c r="J203" s="2"/>
      <c r="K203" s="2"/>
      <c r="L203" s="2"/>
      <c r="M203" s="2"/>
      <c r="N203" s="1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</row>
    <row r="204" spans="2:31" ht="15.75" customHeight="1" x14ac:dyDescent="0.2">
      <c r="B204" s="2"/>
      <c r="C204" s="15"/>
      <c r="D204" s="100"/>
      <c r="E204" s="2"/>
      <c r="F204" s="171"/>
      <c r="G204" s="2"/>
      <c r="H204" s="2"/>
      <c r="I204" s="171"/>
      <c r="J204" s="2"/>
      <c r="K204" s="2"/>
      <c r="L204" s="2"/>
      <c r="M204" s="2"/>
      <c r="N204" s="1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</row>
    <row r="205" spans="2:31" ht="15.75" customHeight="1" x14ac:dyDescent="0.2">
      <c r="B205" s="2"/>
      <c r="C205" s="15"/>
      <c r="D205" s="100"/>
      <c r="E205" s="2"/>
      <c r="F205" s="171"/>
      <c r="G205" s="2"/>
      <c r="H205" s="2"/>
      <c r="I205" s="171"/>
      <c r="J205" s="2"/>
      <c r="K205" s="2"/>
      <c r="L205" s="2"/>
      <c r="M205" s="2"/>
      <c r="N205" s="1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</row>
    <row r="206" spans="2:31" ht="15.75" customHeight="1" x14ac:dyDescent="0.2">
      <c r="B206" s="2"/>
      <c r="C206" s="15"/>
      <c r="D206" s="100"/>
      <c r="E206" s="2"/>
      <c r="F206" s="171"/>
      <c r="G206" s="2"/>
      <c r="H206" s="2"/>
      <c r="I206" s="171"/>
      <c r="J206" s="2"/>
      <c r="K206" s="2"/>
      <c r="L206" s="2"/>
      <c r="M206" s="2"/>
      <c r="N206" s="1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</row>
    <row r="207" spans="2:31" ht="15.75" customHeight="1" x14ac:dyDescent="0.2">
      <c r="B207" s="2"/>
      <c r="C207" s="15"/>
      <c r="D207" s="100"/>
      <c r="E207" s="2"/>
      <c r="F207" s="171"/>
      <c r="G207" s="2"/>
      <c r="H207" s="2"/>
      <c r="I207" s="171"/>
      <c r="J207" s="2"/>
      <c r="K207" s="2"/>
      <c r="L207" s="2"/>
      <c r="M207" s="2"/>
      <c r="N207" s="1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</row>
    <row r="208" spans="2:31" ht="15.75" customHeight="1" x14ac:dyDescent="0.2">
      <c r="B208" s="2"/>
      <c r="C208" s="15"/>
      <c r="D208" s="100"/>
      <c r="E208" s="2"/>
      <c r="F208" s="171"/>
      <c r="G208" s="2"/>
      <c r="H208" s="2"/>
      <c r="I208" s="171"/>
      <c r="J208" s="2"/>
      <c r="K208" s="2"/>
      <c r="L208" s="2"/>
      <c r="M208" s="2"/>
      <c r="N208" s="1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</row>
    <row r="209" spans="2:31" ht="15.75" customHeight="1" x14ac:dyDescent="0.2">
      <c r="B209" s="2"/>
      <c r="C209" s="15"/>
      <c r="D209" s="100"/>
      <c r="E209" s="2"/>
      <c r="F209" s="171"/>
      <c r="G209" s="2"/>
      <c r="H209" s="2"/>
      <c r="I209" s="171"/>
      <c r="J209" s="2"/>
      <c r="K209" s="2"/>
      <c r="L209" s="2"/>
      <c r="M209" s="2"/>
      <c r="N209" s="1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</row>
    <row r="210" spans="2:31" ht="15.75" customHeight="1" x14ac:dyDescent="0.2">
      <c r="B210" s="2"/>
      <c r="C210" s="15"/>
      <c r="D210" s="100"/>
      <c r="E210" s="2"/>
      <c r="F210" s="171"/>
      <c r="G210" s="2"/>
      <c r="H210" s="2"/>
      <c r="I210" s="171"/>
      <c r="J210" s="2"/>
      <c r="K210" s="2"/>
      <c r="L210" s="2"/>
      <c r="M210" s="2"/>
      <c r="N210" s="1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</row>
    <row r="211" spans="2:31" ht="15.75" customHeight="1" x14ac:dyDescent="0.2">
      <c r="B211" s="2"/>
      <c r="C211" s="15"/>
      <c r="D211" s="100"/>
      <c r="E211" s="2"/>
      <c r="F211" s="171"/>
      <c r="G211" s="2"/>
      <c r="H211" s="2"/>
      <c r="I211" s="171"/>
      <c r="J211" s="2"/>
      <c r="K211" s="2"/>
      <c r="L211" s="2"/>
      <c r="M211" s="2"/>
      <c r="N211" s="1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</row>
    <row r="212" spans="2:31" ht="15.75" customHeight="1" x14ac:dyDescent="0.2">
      <c r="B212" s="2"/>
      <c r="C212" s="15"/>
      <c r="D212" s="100"/>
      <c r="E212" s="2"/>
      <c r="F212" s="171"/>
      <c r="G212" s="2"/>
      <c r="H212" s="2"/>
      <c r="I212" s="171"/>
      <c r="J212" s="2"/>
      <c r="K212" s="2"/>
      <c r="L212" s="2"/>
      <c r="M212" s="2"/>
      <c r="N212" s="1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</row>
    <row r="213" spans="2:31" ht="15.75" customHeight="1" x14ac:dyDescent="0.2">
      <c r="B213" s="2"/>
      <c r="C213" s="15"/>
      <c r="D213" s="100"/>
      <c r="E213" s="2"/>
      <c r="F213" s="171"/>
      <c r="G213" s="2"/>
      <c r="H213" s="2"/>
      <c r="I213" s="171"/>
      <c r="J213" s="2"/>
      <c r="K213" s="2"/>
      <c r="L213" s="2"/>
      <c r="M213" s="2"/>
      <c r="N213" s="1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</row>
    <row r="214" spans="2:31" ht="15.75" customHeight="1" x14ac:dyDescent="0.2">
      <c r="B214" s="2"/>
      <c r="C214" s="15"/>
      <c r="D214" s="100"/>
      <c r="E214" s="2"/>
      <c r="F214" s="171"/>
      <c r="G214" s="2"/>
      <c r="H214" s="2"/>
      <c r="I214" s="171"/>
      <c r="J214" s="2"/>
      <c r="K214" s="2"/>
      <c r="L214" s="2"/>
      <c r="M214" s="2"/>
      <c r="N214" s="1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</row>
    <row r="215" spans="2:31" ht="15.75" customHeight="1" x14ac:dyDescent="0.2">
      <c r="B215" s="2"/>
      <c r="C215" s="15"/>
      <c r="D215" s="100"/>
      <c r="E215" s="2"/>
      <c r="F215" s="171"/>
      <c r="G215" s="2"/>
      <c r="H215" s="2"/>
      <c r="I215" s="171"/>
      <c r="J215" s="2"/>
      <c r="K215" s="2"/>
      <c r="L215" s="2"/>
      <c r="M215" s="2"/>
      <c r="N215" s="1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</row>
    <row r="216" spans="2:31" ht="15.75" customHeight="1" x14ac:dyDescent="0.2">
      <c r="B216" s="2"/>
      <c r="C216" s="15"/>
      <c r="D216" s="100"/>
      <c r="E216" s="2"/>
      <c r="F216" s="171"/>
      <c r="G216" s="2"/>
      <c r="H216" s="2"/>
      <c r="I216" s="171"/>
      <c r="J216" s="2"/>
      <c r="K216" s="2"/>
      <c r="L216" s="2"/>
      <c r="M216" s="2"/>
      <c r="N216" s="1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</row>
    <row r="217" spans="2:31" ht="15.75" customHeight="1" x14ac:dyDescent="0.2">
      <c r="B217" s="2"/>
      <c r="C217" s="15"/>
      <c r="D217" s="100"/>
      <c r="E217" s="2"/>
      <c r="F217" s="171"/>
      <c r="G217" s="2"/>
      <c r="H217" s="2"/>
      <c r="I217" s="171"/>
      <c r="J217" s="2"/>
      <c r="K217" s="2"/>
      <c r="L217" s="2"/>
      <c r="M217" s="2"/>
      <c r="N217" s="1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</row>
    <row r="218" spans="2:31" ht="15.75" customHeight="1" x14ac:dyDescent="0.2">
      <c r="B218" s="2"/>
      <c r="C218" s="15"/>
      <c r="D218" s="100"/>
      <c r="E218" s="2"/>
      <c r="F218" s="171"/>
      <c r="G218" s="2"/>
      <c r="H218" s="2"/>
      <c r="I218" s="171"/>
      <c r="J218" s="2"/>
      <c r="K218" s="2"/>
      <c r="L218" s="2"/>
      <c r="M218" s="2"/>
      <c r="N218" s="1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</row>
    <row r="219" spans="2:31" ht="15.75" customHeight="1" x14ac:dyDescent="0.2">
      <c r="B219" s="2"/>
      <c r="C219" s="15"/>
      <c r="D219" s="100"/>
      <c r="E219" s="2"/>
      <c r="F219" s="171"/>
      <c r="G219" s="2"/>
      <c r="H219" s="2"/>
      <c r="I219" s="171"/>
      <c r="J219" s="2"/>
      <c r="K219" s="2"/>
      <c r="L219" s="2"/>
      <c r="M219" s="2"/>
      <c r="N219" s="1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</row>
    <row r="220" spans="2:31" ht="15.75" customHeight="1" x14ac:dyDescent="0.2">
      <c r="B220" s="2"/>
      <c r="C220" s="15"/>
      <c r="D220" s="100"/>
      <c r="E220" s="2"/>
      <c r="F220" s="171"/>
      <c r="G220" s="2"/>
      <c r="H220" s="2"/>
      <c r="I220" s="171"/>
      <c r="J220" s="2"/>
      <c r="K220" s="2"/>
      <c r="L220" s="2"/>
      <c r="M220" s="2"/>
      <c r="N220" s="1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</row>
    <row r="221" spans="2:31" ht="15.75" customHeight="1" x14ac:dyDescent="0.2">
      <c r="B221" s="2"/>
      <c r="C221" s="15"/>
      <c r="D221" s="100"/>
      <c r="E221" s="2"/>
      <c r="F221" s="171"/>
      <c r="G221" s="2"/>
      <c r="H221" s="2"/>
      <c r="I221" s="171"/>
      <c r="J221" s="2"/>
      <c r="K221" s="2"/>
      <c r="L221" s="2"/>
      <c r="M221" s="2"/>
      <c r="N221" s="1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</row>
    <row r="222" spans="2:31" ht="15.75" customHeight="1" x14ac:dyDescent="0.2">
      <c r="B222" s="2"/>
      <c r="C222" s="15"/>
      <c r="D222" s="100"/>
      <c r="E222" s="2"/>
      <c r="F222" s="171"/>
      <c r="G222" s="2"/>
      <c r="H222" s="2"/>
      <c r="I222" s="171"/>
      <c r="J222" s="2"/>
      <c r="K222" s="2"/>
      <c r="L222" s="2"/>
      <c r="M222" s="2"/>
      <c r="N222" s="1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</row>
    <row r="223" spans="2:31" ht="15.75" customHeight="1" x14ac:dyDescent="0.2">
      <c r="B223" s="2"/>
      <c r="C223" s="15"/>
      <c r="D223" s="100"/>
      <c r="E223" s="2"/>
      <c r="F223" s="171"/>
      <c r="G223" s="2"/>
      <c r="H223" s="2"/>
      <c r="I223" s="171"/>
      <c r="J223" s="2"/>
      <c r="K223" s="2"/>
      <c r="L223" s="2"/>
      <c r="M223" s="2"/>
      <c r="N223" s="1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</row>
    <row r="224" spans="2:31" ht="15.75" customHeight="1" x14ac:dyDescent="0.2">
      <c r="B224" s="2"/>
      <c r="C224" s="15"/>
      <c r="D224" s="100"/>
      <c r="E224" s="2"/>
      <c r="F224" s="171"/>
      <c r="G224" s="2"/>
      <c r="H224" s="2"/>
      <c r="I224" s="171"/>
      <c r="J224" s="2"/>
      <c r="K224" s="2"/>
      <c r="L224" s="2"/>
      <c r="M224" s="2"/>
      <c r="N224" s="1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</row>
    <row r="225" spans="2:31" ht="15.75" customHeight="1" x14ac:dyDescent="0.2">
      <c r="B225" s="2"/>
      <c r="C225" s="15"/>
      <c r="D225" s="100"/>
      <c r="E225" s="2"/>
      <c r="F225" s="171"/>
      <c r="G225" s="2"/>
      <c r="H225" s="2"/>
      <c r="I225" s="171"/>
      <c r="J225" s="2"/>
      <c r="K225" s="2"/>
      <c r="L225" s="2"/>
      <c r="M225" s="2"/>
      <c r="N225" s="1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</row>
    <row r="226" spans="2:31" ht="15.75" customHeight="1" x14ac:dyDescent="0.2">
      <c r="B226" s="2"/>
      <c r="C226" s="15"/>
      <c r="D226" s="100"/>
      <c r="E226" s="2"/>
      <c r="F226" s="171"/>
      <c r="G226" s="2"/>
      <c r="H226" s="2"/>
      <c r="I226" s="171"/>
      <c r="J226" s="2"/>
      <c r="K226" s="2"/>
      <c r="L226" s="2"/>
      <c r="M226" s="2"/>
      <c r="N226" s="1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</row>
    <row r="227" spans="2:31" ht="15.75" customHeight="1" x14ac:dyDescent="0.2">
      <c r="B227" s="2"/>
      <c r="C227" s="15"/>
      <c r="D227" s="100"/>
      <c r="E227" s="2"/>
      <c r="F227" s="171"/>
      <c r="G227" s="2"/>
      <c r="H227" s="2"/>
      <c r="I227" s="171"/>
      <c r="J227" s="2"/>
      <c r="K227" s="2"/>
      <c r="L227" s="2"/>
      <c r="M227" s="2"/>
      <c r="N227" s="1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</row>
    <row r="228" spans="2:31" ht="15.75" customHeight="1" x14ac:dyDescent="0.2">
      <c r="B228" s="2"/>
      <c r="C228" s="15"/>
      <c r="D228" s="100"/>
      <c r="E228" s="2"/>
      <c r="F228" s="171"/>
      <c r="G228" s="2"/>
      <c r="H228" s="2"/>
      <c r="I228" s="171"/>
      <c r="J228" s="2"/>
      <c r="K228" s="2"/>
      <c r="L228" s="2"/>
      <c r="M228" s="2"/>
      <c r="N228" s="1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</row>
    <row r="229" spans="2:31" ht="15.75" customHeight="1" x14ac:dyDescent="0.2">
      <c r="B229" s="2"/>
      <c r="C229" s="15"/>
      <c r="D229" s="100"/>
      <c r="E229" s="2"/>
      <c r="F229" s="171"/>
      <c r="G229" s="2"/>
      <c r="H229" s="2"/>
      <c r="I229" s="171"/>
      <c r="J229" s="2"/>
      <c r="K229" s="2"/>
      <c r="L229" s="2"/>
      <c r="M229" s="2"/>
      <c r="N229" s="1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</row>
    <row r="230" spans="2:31" ht="15.75" customHeight="1" x14ac:dyDescent="0.2">
      <c r="B230" s="2"/>
      <c r="C230" s="15"/>
      <c r="D230" s="100"/>
      <c r="E230" s="2"/>
      <c r="F230" s="171"/>
      <c r="G230" s="2"/>
      <c r="H230" s="2"/>
      <c r="I230" s="171"/>
      <c r="J230" s="2"/>
      <c r="K230" s="2"/>
      <c r="L230" s="2"/>
      <c r="M230" s="2"/>
      <c r="N230" s="1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</row>
    <row r="231" spans="2:31" ht="15.75" customHeight="1" x14ac:dyDescent="0.2">
      <c r="B231" s="2"/>
      <c r="C231" s="15"/>
      <c r="D231" s="100"/>
      <c r="E231" s="2"/>
      <c r="F231" s="171"/>
      <c r="G231" s="2"/>
      <c r="H231" s="2"/>
      <c r="I231" s="171"/>
      <c r="J231" s="2"/>
      <c r="K231" s="2"/>
      <c r="L231" s="2"/>
      <c r="M231" s="2"/>
      <c r="N231" s="1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</row>
    <row r="232" spans="2:31" ht="15.75" customHeight="1" x14ac:dyDescent="0.2">
      <c r="B232" s="2"/>
      <c r="C232" s="15"/>
      <c r="D232" s="100"/>
      <c r="E232" s="2"/>
      <c r="F232" s="171"/>
      <c r="G232" s="2"/>
      <c r="H232" s="2"/>
      <c r="I232" s="171"/>
      <c r="J232" s="2"/>
      <c r="K232" s="2"/>
      <c r="L232" s="2"/>
      <c r="M232" s="2"/>
      <c r="N232" s="1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</row>
    <row r="233" spans="2:31" ht="15.75" customHeight="1" x14ac:dyDescent="0.2">
      <c r="B233" s="2"/>
      <c r="C233" s="15"/>
      <c r="D233" s="100"/>
      <c r="E233" s="2"/>
      <c r="F233" s="171"/>
      <c r="G233" s="2"/>
      <c r="H233" s="2"/>
      <c r="I233" s="171"/>
      <c r="J233" s="2"/>
      <c r="K233" s="2"/>
      <c r="L233" s="2"/>
      <c r="M233" s="2"/>
      <c r="N233" s="1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</row>
    <row r="234" spans="2:31" ht="15.75" customHeight="1" x14ac:dyDescent="0.2">
      <c r="B234" s="2"/>
      <c r="C234" s="15"/>
      <c r="D234" s="100"/>
      <c r="E234" s="2"/>
      <c r="F234" s="171"/>
      <c r="G234" s="2"/>
      <c r="H234" s="2"/>
      <c r="I234" s="171"/>
      <c r="J234" s="2"/>
      <c r="K234" s="2"/>
      <c r="L234" s="2"/>
      <c r="M234" s="2"/>
      <c r="N234" s="1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</row>
    <row r="235" spans="2:31" ht="15.75" customHeight="1" x14ac:dyDescent="0.2">
      <c r="B235" s="2"/>
      <c r="C235" s="15"/>
      <c r="D235" s="100"/>
      <c r="E235" s="2"/>
      <c r="F235" s="171"/>
      <c r="G235" s="2"/>
      <c r="H235" s="2"/>
      <c r="I235" s="171"/>
      <c r="J235" s="2"/>
      <c r="K235" s="2"/>
      <c r="L235" s="2"/>
      <c r="M235" s="2"/>
      <c r="N235" s="1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</row>
    <row r="236" spans="2:31" ht="15.75" customHeight="1" x14ac:dyDescent="0.2">
      <c r="B236" s="2"/>
      <c r="C236" s="15"/>
      <c r="D236" s="100"/>
      <c r="E236" s="2"/>
      <c r="F236" s="171"/>
      <c r="G236" s="2"/>
      <c r="H236" s="2"/>
      <c r="I236" s="171"/>
      <c r="J236" s="2"/>
      <c r="K236" s="2"/>
      <c r="L236" s="2"/>
      <c r="M236" s="2"/>
      <c r="N236" s="1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</row>
    <row r="237" spans="2:31" ht="15.75" customHeight="1" x14ac:dyDescent="0.2">
      <c r="B237" s="2"/>
      <c r="C237" s="15"/>
      <c r="D237" s="100"/>
      <c r="E237" s="2"/>
      <c r="F237" s="171"/>
      <c r="G237" s="2"/>
      <c r="H237" s="2"/>
      <c r="I237" s="171"/>
      <c r="J237" s="2"/>
      <c r="K237" s="2"/>
      <c r="L237" s="2"/>
      <c r="M237" s="2"/>
      <c r="N237" s="1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</row>
    <row r="238" spans="2:31" ht="15.75" customHeight="1" x14ac:dyDescent="0.2">
      <c r="B238" s="2"/>
      <c r="C238" s="15"/>
      <c r="D238" s="100"/>
      <c r="E238" s="2"/>
      <c r="F238" s="171"/>
      <c r="G238" s="2"/>
      <c r="H238" s="2"/>
      <c r="I238" s="171"/>
      <c r="J238" s="2"/>
      <c r="K238" s="2"/>
      <c r="L238" s="2"/>
      <c r="M238" s="2"/>
      <c r="N238" s="1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</row>
    <row r="239" spans="2:31" ht="15.75" customHeight="1" x14ac:dyDescent="0.2">
      <c r="B239" s="2"/>
      <c r="C239" s="15"/>
      <c r="D239" s="100"/>
      <c r="E239" s="2"/>
      <c r="F239" s="171"/>
      <c r="G239" s="2"/>
      <c r="H239" s="2"/>
      <c r="I239" s="171"/>
      <c r="J239" s="2"/>
      <c r="K239" s="2"/>
      <c r="L239" s="2"/>
      <c r="M239" s="2"/>
      <c r="N239" s="1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</row>
    <row r="240" spans="2:31" ht="15.75" customHeight="1" x14ac:dyDescent="0.2">
      <c r="B240" s="2"/>
      <c r="C240" s="15"/>
      <c r="D240" s="100"/>
      <c r="E240" s="2"/>
      <c r="F240" s="171"/>
      <c r="G240" s="2"/>
      <c r="H240" s="2"/>
      <c r="I240" s="171"/>
      <c r="J240" s="2"/>
      <c r="K240" s="2"/>
      <c r="L240" s="2"/>
      <c r="M240" s="2"/>
      <c r="N240" s="1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</row>
    <row r="241" spans="2:31" ht="15.75" customHeight="1" x14ac:dyDescent="0.2">
      <c r="B241" s="2"/>
      <c r="C241" s="15"/>
      <c r="D241" s="100"/>
      <c r="E241" s="2"/>
      <c r="F241" s="171"/>
      <c r="G241" s="2"/>
      <c r="H241" s="2"/>
      <c r="I241" s="171"/>
      <c r="J241" s="2"/>
      <c r="K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</row>
    <row r="242" spans="2:31" ht="15.75" customHeight="1" x14ac:dyDescent="0.2">
      <c r="B242" s="2"/>
      <c r="C242" s="15"/>
      <c r="D242" s="100"/>
      <c r="E242" s="2"/>
      <c r="F242" s="171"/>
      <c r="G242" s="2"/>
      <c r="H242" s="2"/>
      <c r="I242" s="171"/>
      <c r="J242" s="2"/>
      <c r="K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</row>
    <row r="243" spans="2:31" ht="15.75" customHeight="1" x14ac:dyDescent="0.2">
      <c r="B243" s="2"/>
      <c r="C243" s="15"/>
      <c r="D243" s="100"/>
      <c r="E243" s="2"/>
      <c r="F243" s="171"/>
      <c r="G243" s="2"/>
      <c r="H243" s="2"/>
      <c r="I243" s="171"/>
      <c r="J243" s="2"/>
      <c r="K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</row>
    <row r="244" spans="2:31" ht="15.75" customHeight="1" x14ac:dyDescent="0.2">
      <c r="B244" s="2"/>
      <c r="C244" s="15"/>
      <c r="D244" s="100"/>
      <c r="E244" s="2"/>
      <c r="F244" s="171"/>
      <c r="G244" s="2"/>
      <c r="H244" s="2"/>
      <c r="I244" s="171"/>
      <c r="J244" s="2"/>
      <c r="K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</row>
    <row r="245" spans="2:31" ht="15.75" customHeight="1" x14ac:dyDescent="0.2">
      <c r="B245" s="2"/>
      <c r="C245" s="15"/>
      <c r="D245" s="100"/>
      <c r="E245" s="2"/>
      <c r="F245" s="171"/>
      <c r="G245" s="2"/>
      <c r="H245" s="2"/>
      <c r="I245" s="171"/>
      <c r="J245" s="2"/>
      <c r="K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</row>
    <row r="246" spans="2:31" ht="15.75" customHeight="1" x14ac:dyDescent="0.2">
      <c r="B246" s="2"/>
      <c r="C246" s="15"/>
      <c r="D246" s="100"/>
      <c r="E246" s="2"/>
      <c r="F246" s="171"/>
      <c r="G246" s="2"/>
      <c r="H246" s="2"/>
      <c r="I246" s="171"/>
      <c r="J246" s="2"/>
      <c r="K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</row>
    <row r="247" spans="2:31" ht="15.75" customHeight="1" x14ac:dyDescent="0.2">
      <c r="B247" s="2"/>
      <c r="C247" s="15"/>
      <c r="D247" s="100"/>
      <c r="E247" s="2"/>
      <c r="F247" s="171"/>
      <c r="G247" s="2"/>
      <c r="H247" s="2"/>
      <c r="I247" s="171"/>
      <c r="J247" s="2"/>
      <c r="K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</row>
    <row r="248" spans="2:31" ht="15.75" customHeight="1" x14ac:dyDescent="0.2">
      <c r="B248" s="2"/>
      <c r="C248" s="15"/>
      <c r="D248" s="100"/>
      <c r="E248" s="2"/>
      <c r="F248" s="171"/>
      <c r="G248" s="2"/>
      <c r="H248" s="2"/>
      <c r="I248" s="171"/>
      <c r="J248" s="2"/>
      <c r="K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</row>
    <row r="249" spans="2:31" ht="15.75" customHeight="1" x14ac:dyDescent="0.2">
      <c r="B249" s="2"/>
      <c r="C249" s="15"/>
      <c r="D249" s="100"/>
      <c r="E249" s="2"/>
      <c r="F249" s="171"/>
      <c r="G249" s="2"/>
      <c r="H249" s="2"/>
      <c r="I249" s="171"/>
      <c r="J249" s="2"/>
      <c r="K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</row>
    <row r="250" spans="2:31" ht="15.75" customHeight="1" x14ac:dyDescent="0.2">
      <c r="B250" s="2"/>
      <c r="C250" s="15"/>
      <c r="D250" s="100"/>
      <c r="E250" s="2"/>
      <c r="F250" s="171"/>
      <c r="G250" s="2"/>
      <c r="H250" s="2"/>
      <c r="I250" s="171"/>
      <c r="J250" s="2"/>
      <c r="K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</row>
    <row r="251" spans="2:31" ht="15.75" customHeight="1" x14ac:dyDescent="0.2"/>
    <row r="252" spans="2:31" ht="15.75" customHeight="1" x14ac:dyDescent="0.2"/>
    <row r="253" spans="2:31" ht="15.75" customHeight="1" x14ac:dyDescent="0.2"/>
    <row r="254" spans="2:31" ht="15.75" customHeight="1" x14ac:dyDescent="0.2"/>
    <row r="255" spans="2:31" ht="15.75" customHeight="1" x14ac:dyDescent="0.2"/>
    <row r="256" spans="2:31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</sheetData>
  <mergeCells count="1">
    <mergeCell ref="B47:C47"/>
  </mergeCells>
  <conditionalFormatting sqref="H3:H6">
    <cfRule type="cellIs" dxfId="2" priority="3" operator="lessThan">
      <formula>0</formula>
    </cfRule>
  </conditionalFormatting>
  <conditionalFormatting sqref="H9:H24">
    <cfRule type="cellIs" dxfId="1" priority="2" operator="lessThan">
      <formula>0</formula>
    </cfRule>
  </conditionalFormatting>
  <conditionalFormatting sqref="H26:H31">
    <cfRule type="cellIs" dxfId="0" priority="1" operator="lessThan">
      <formula>0</formula>
    </cfRule>
  </conditionalFormatting>
  <pageMargins left="0" right="0" top="0.1388888888888889" bottom="0.1388888888888889" header="0" footer="0"/>
  <pageSetup paperSize="9" scale="96" pageOrder="overThenDown" orientation="portrait" r:id="rId1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CA</vt:lpstr>
      <vt:lpstr>Planning facturation 24-25</vt:lpstr>
      <vt:lpstr>facturation 24-25</vt:lpstr>
      <vt:lpstr>Prévisionnel 24-25</vt:lpstr>
      <vt:lpstr>Suivi BQ 24-25</vt:lpstr>
      <vt:lpstr>Pointage BQ 24-25</vt:lpstr>
      <vt:lpstr>Prospect</vt:lpstr>
      <vt:lpstr>calcul salaire</vt:lpstr>
      <vt:lpstr>prévi SL 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Sabine LOMEDICO</cp:lastModifiedBy>
  <cp:lastPrinted>2025-04-29T08:05:42Z</cp:lastPrinted>
  <dcterms:created xsi:type="dcterms:W3CDTF">2024-08-30T08:51:42Z</dcterms:created>
  <dcterms:modified xsi:type="dcterms:W3CDTF">2026-02-10T07:30:32Z</dcterms:modified>
</cp:coreProperties>
</file>
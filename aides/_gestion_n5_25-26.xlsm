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1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web/voletmat_gestion/aides/"/>
    </mc:Choice>
  </mc:AlternateContent>
  <xr:revisionPtr revIDLastSave="0" documentId="13_ncr:1_{A0445CAB-19DF-A445-B92A-FDDAF5E58277}" xr6:coauthVersionLast="47" xr6:coauthVersionMax="47" xr10:uidLastSave="{00000000-0000-0000-0000-000000000000}"/>
  <bookViews>
    <workbookView xWindow="0" yWindow="600" windowWidth="51200" windowHeight="28200" tabRatio="771" activeTab="1" xr2:uid="{00000000-000D-0000-FFFF-FFFF00000000}"/>
  </bookViews>
  <sheets>
    <sheet name="CA" sheetId="8" r:id="rId1"/>
    <sheet name="Planning facturation 25-26" sheetId="12" r:id="rId2"/>
    <sheet name="facturation 25-26" sheetId="7" r:id="rId3"/>
    <sheet name="Prévisionnel 25-26" sheetId="3" r:id="rId4"/>
    <sheet name="COMPTA ANALYTIQUE" sheetId="10" r:id="rId5"/>
    <sheet name="BANQUE" sheetId="9" r:id="rId6"/>
    <sheet name="prévi SL LD" sheetId="11" r:id="rId7"/>
    <sheet name="Feuil2" sheetId="18" r:id="rId8"/>
    <sheet name="Prospect" sheetId="2" r:id="rId9"/>
    <sheet name="calcul salaire" sheetId="4" r:id="rId10"/>
    <sheet name="calcul Marge collaborateur" sheetId="16" r:id="rId11"/>
  </sheets>
  <externalReferences>
    <externalReference r:id="rId12"/>
  </externalReferences>
  <definedNames>
    <definedName name="_xlnm._FilterDatabase" localSheetId="5" hidden="1">BANQUE!$A$1:$G$204</definedName>
    <definedName name="_xleta.NOW" hidden="1" xlm="1">#NAME?</definedName>
    <definedName name="Couleur">GET.CELL(63,'facturation 25-26'!B1)</definedName>
    <definedName name="LISTE_TRI">'COMPTA ANALYTIQUE'!$A$2:$A$39</definedName>
    <definedName name="_xlnm.Print_Area" localSheetId="5">BANQUE!$H$2:$H$29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4" roundtripDataChecksum="XtTp6JCl/6XynmzXf0kXAT2dL1Dk3BJ76Qficso/fHE="/>
    </ext>
  </extLst>
</workbook>
</file>

<file path=xl/calcChain.xml><?xml version="1.0" encoding="utf-8"?>
<calcChain xmlns="http://schemas.openxmlformats.org/spreadsheetml/2006/main">
  <c r="F5" i="8" l="1"/>
  <c r="E29" i="8"/>
  <c r="H47" i="3"/>
  <c r="H46" i="3"/>
  <c r="H44" i="3"/>
  <c r="H45" i="3" s="1"/>
  <c r="H43" i="3"/>
  <c r="C46" i="3"/>
  <c r="C43" i="3"/>
  <c r="C9" i="3"/>
  <c r="C45" i="3" s="1"/>
  <c r="C47" i="3"/>
  <c r="C44" i="3"/>
  <c r="E19" i="3"/>
  <c r="B1" i="3"/>
  <c r="C2" i="7"/>
  <c r="C1" i="7"/>
  <c r="G20" i="12"/>
  <c r="H20" i="12" s="1"/>
  <c r="G54" i="12"/>
  <c r="H54" i="12" s="1"/>
  <c r="G53" i="12"/>
  <c r="H53" i="12" s="1"/>
  <c r="C37" i="3"/>
  <c r="E61" i="7"/>
  <c r="E62" i="7"/>
  <c r="E63" i="7"/>
  <c r="T1" i="10"/>
  <c r="T32" i="10" s="1"/>
  <c r="S1" i="10"/>
  <c r="S32" i="10" s="1"/>
  <c r="R1" i="10"/>
  <c r="R32" i="10" s="1"/>
  <c r="Q1" i="10"/>
  <c r="Q32" i="10" s="1"/>
  <c r="P1" i="10"/>
  <c r="P32" i="10" s="1"/>
  <c r="O1" i="10"/>
  <c r="O32" i="10" s="1"/>
  <c r="M45" i="3"/>
  <c r="K30" i="3" a="1"/>
  <c r="K30" i="3" s="1"/>
  <c r="M40" i="3"/>
  <c r="M41" i="3"/>
  <c r="N41" i="3" s="1"/>
  <c r="F7" i="7"/>
  <c r="V71" i="12"/>
  <c r="U71" i="12"/>
  <c r="G19" i="12"/>
  <c r="H19" i="12" s="1"/>
  <c r="P15" i="10" l="1"/>
  <c r="P35" i="10"/>
  <c r="P10" i="10"/>
  <c r="P20" i="10"/>
  <c r="P30" i="10"/>
  <c r="P3" i="10"/>
  <c r="P13" i="10"/>
  <c r="P23" i="10"/>
  <c r="P33" i="10"/>
  <c r="P4" i="10"/>
  <c r="P14" i="10"/>
  <c r="P24" i="10"/>
  <c r="P34" i="10"/>
  <c r="P5" i="10"/>
  <c r="P25" i="10"/>
  <c r="P6" i="10"/>
  <c r="P16" i="10"/>
  <c r="P26" i="10"/>
  <c r="P36" i="10"/>
  <c r="P7" i="10"/>
  <c r="P17" i="10"/>
  <c r="P27" i="10"/>
  <c r="P37" i="10"/>
  <c r="P8" i="10"/>
  <c r="P18" i="10"/>
  <c r="P28" i="10"/>
  <c r="P38" i="10"/>
  <c r="P9" i="10"/>
  <c r="P19" i="10"/>
  <c r="P29" i="10"/>
  <c r="P39" i="10"/>
  <c r="P43" i="10"/>
  <c r="P11" i="10"/>
  <c r="P21" i="10"/>
  <c r="P31" i="10"/>
  <c r="P2" i="10"/>
  <c r="P12" i="10"/>
  <c r="P22" i="10"/>
  <c r="T13" i="10"/>
  <c r="T23" i="10"/>
  <c r="T4" i="10"/>
  <c r="T24" i="10"/>
  <c r="T15" i="10"/>
  <c r="T35" i="10"/>
  <c r="T26" i="10"/>
  <c r="T7" i="10"/>
  <c r="T17" i="10"/>
  <c r="T28" i="10"/>
  <c r="T20" i="10"/>
  <c r="T30" i="10"/>
  <c r="T11" i="10"/>
  <c r="T21" i="10"/>
  <c r="T31" i="10"/>
  <c r="T43" i="10"/>
  <c r="T3" i="10"/>
  <c r="T33" i="10"/>
  <c r="T14" i="10"/>
  <c r="T34" i="10"/>
  <c r="T5" i="10"/>
  <c r="T25" i="10"/>
  <c r="T6" i="10"/>
  <c r="T16" i="10"/>
  <c r="T36" i="10"/>
  <c r="T27" i="10"/>
  <c r="T37" i="10"/>
  <c r="T8" i="10"/>
  <c r="T18" i="10"/>
  <c r="T38" i="10"/>
  <c r="T9" i="10"/>
  <c r="T19" i="10"/>
  <c r="T29" i="10"/>
  <c r="T39" i="10"/>
  <c r="T10" i="10"/>
  <c r="T2" i="10"/>
  <c r="T12" i="10"/>
  <c r="T22" i="10"/>
  <c r="S3" i="10"/>
  <c r="S23" i="10"/>
  <c r="S33" i="10"/>
  <c r="S4" i="10"/>
  <c r="S34" i="10"/>
  <c r="S5" i="10"/>
  <c r="S15" i="10"/>
  <c r="S6" i="10"/>
  <c r="S26" i="10"/>
  <c r="S7" i="10"/>
  <c r="S38" i="10"/>
  <c r="S10" i="10"/>
  <c r="S11" i="10"/>
  <c r="S21" i="10"/>
  <c r="S31" i="10"/>
  <c r="S43" i="10"/>
  <c r="S13" i="10"/>
  <c r="S14" i="10"/>
  <c r="S24" i="10"/>
  <c r="S25" i="10"/>
  <c r="S35" i="10"/>
  <c r="S16" i="10"/>
  <c r="S36" i="10"/>
  <c r="S17" i="10"/>
  <c r="S27" i="10"/>
  <c r="S37" i="10"/>
  <c r="S8" i="10"/>
  <c r="S18" i="10"/>
  <c r="S28" i="10"/>
  <c r="S9" i="10"/>
  <c r="S19" i="10"/>
  <c r="S29" i="10"/>
  <c r="S39" i="10"/>
  <c r="S20" i="10"/>
  <c r="S30" i="10"/>
  <c r="S2" i="10"/>
  <c r="S12" i="10"/>
  <c r="S22" i="10"/>
  <c r="R3" i="10"/>
  <c r="R23" i="10"/>
  <c r="R14" i="10"/>
  <c r="R15" i="10"/>
  <c r="R35" i="10"/>
  <c r="R6" i="10"/>
  <c r="R26" i="10"/>
  <c r="R7" i="10"/>
  <c r="R27" i="10"/>
  <c r="R8" i="10"/>
  <c r="R28" i="10"/>
  <c r="R19" i="10"/>
  <c r="R29" i="10"/>
  <c r="R10" i="10"/>
  <c r="R20" i="10"/>
  <c r="R30" i="10"/>
  <c r="R11" i="10"/>
  <c r="R21" i="10"/>
  <c r="R31" i="10"/>
  <c r="R43" i="10"/>
  <c r="R13" i="10"/>
  <c r="R33" i="10"/>
  <c r="R4" i="10"/>
  <c r="R24" i="10"/>
  <c r="R34" i="10"/>
  <c r="R5" i="10"/>
  <c r="R25" i="10"/>
  <c r="R16" i="10"/>
  <c r="R36" i="10"/>
  <c r="R17" i="10"/>
  <c r="R37" i="10"/>
  <c r="R18" i="10"/>
  <c r="R38" i="10"/>
  <c r="R9" i="10"/>
  <c r="R39" i="10"/>
  <c r="R2" i="10"/>
  <c r="R12" i="10"/>
  <c r="R22" i="10"/>
  <c r="Q3" i="10"/>
  <c r="Q23" i="10"/>
  <c r="Q4" i="10"/>
  <c r="Q14" i="10"/>
  <c r="Q34" i="10"/>
  <c r="Q15" i="10"/>
  <c r="Q26" i="10"/>
  <c r="Q17" i="10"/>
  <c r="Q8" i="10"/>
  <c r="Q28" i="10"/>
  <c r="Q9" i="10"/>
  <c r="Q10" i="10"/>
  <c r="Q11" i="10"/>
  <c r="Q21" i="10"/>
  <c r="Q31" i="10"/>
  <c r="Q43" i="10"/>
  <c r="Q13" i="10"/>
  <c r="Q33" i="10"/>
  <c r="Q24" i="10"/>
  <c r="Q5" i="10"/>
  <c r="Q25" i="10"/>
  <c r="Q35" i="10"/>
  <c r="Q6" i="10"/>
  <c r="Q16" i="10"/>
  <c r="Q36" i="10"/>
  <c r="Q7" i="10"/>
  <c r="Q27" i="10"/>
  <c r="Q37" i="10"/>
  <c r="Q18" i="10"/>
  <c r="Q38" i="10"/>
  <c r="Q19" i="10"/>
  <c r="Q29" i="10"/>
  <c r="Q39" i="10"/>
  <c r="Q20" i="10"/>
  <c r="Q30" i="10"/>
  <c r="Q2" i="10"/>
  <c r="Q12" i="10"/>
  <c r="Q22" i="10"/>
  <c r="O3" i="10"/>
  <c r="O13" i="10"/>
  <c r="O24" i="10"/>
  <c r="O5" i="10"/>
  <c r="O15" i="10"/>
  <c r="O25" i="10"/>
  <c r="O35" i="10"/>
  <c r="O6" i="10"/>
  <c r="O16" i="10"/>
  <c r="O26" i="10"/>
  <c r="O36" i="10"/>
  <c r="O23" i="10"/>
  <c r="O4" i="10"/>
  <c r="O34" i="10"/>
  <c r="O7" i="10"/>
  <c r="O38" i="10"/>
  <c r="O11" i="10"/>
  <c r="O21" i="10"/>
  <c r="O31" i="10"/>
  <c r="O43" i="10"/>
  <c r="O33" i="10"/>
  <c r="O14" i="10"/>
  <c r="O17" i="10"/>
  <c r="O27" i="10"/>
  <c r="O37" i="10"/>
  <c r="O8" i="10"/>
  <c r="O18" i="10"/>
  <c r="O28" i="10"/>
  <c r="O9" i="10"/>
  <c r="O19" i="10"/>
  <c r="O29" i="10"/>
  <c r="O39" i="10"/>
  <c r="O10" i="10"/>
  <c r="O20" i="10"/>
  <c r="O30" i="10"/>
  <c r="O2" i="10"/>
  <c r="O12" i="10"/>
  <c r="O22" i="10"/>
  <c r="C5" i="7"/>
  <c r="E47" i="7"/>
  <c r="F47" i="7" s="1"/>
  <c r="E52" i="7"/>
  <c r="F52" i="7" s="1"/>
  <c r="E58" i="7"/>
  <c r="F3" i="7"/>
  <c r="E49" i="7"/>
  <c r="F49" i="7" s="1"/>
  <c r="Z60" i="12"/>
  <c r="Y60" i="12"/>
  <c r="X60" i="12"/>
  <c r="S42" i="10" l="1"/>
  <c r="S45" i="10" s="1"/>
  <c r="Q42" i="10"/>
  <c r="P42" i="10"/>
  <c r="P45" i="10" s="1"/>
  <c r="T42" i="10"/>
  <c r="T45" i="10" s="1"/>
  <c r="R42" i="10"/>
  <c r="R45" i="10" s="1"/>
  <c r="Q45" i="10"/>
  <c r="O42" i="10"/>
  <c r="O45" i="10" s="1"/>
  <c r="C20" i="3"/>
  <c r="G65" i="12"/>
  <c r="H65" i="12" s="1"/>
  <c r="T18" i="12"/>
  <c r="E18" i="12"/>
  <c r="Y18" i="12" l="1"/>
  <c r="G18" i="12"/>
  <c r="H18" i="12" s="1"/>
  <c r="G70" i="12"/>
  <c r="G67" i="12"/>
  <c r="G66" i="12"/>
  <c r="H66" i="12" s="1"/>
  <c r="G64" i="12"/>
  <c r="G68" i="12"/>
  <c r="G63" i="12"/>
  <c r="G62" i="12"/>
  <c r="G61" i="12"/>
  <c r="G60" i="12"/>
  <c r="G59" i="12"/>
  <c r="G52" i="12"/>
  <c r="G69" i="12"/>
  <c r="G51" i="12"/>
  <c r="G50" i="12"/>
  <c r="G49" i="12"/>
  <c r="G48" i="12"/>
  <c r="G47" i="12"/>
  <c r="G46" i="12"/>
  <c r="G45" i="12"/>
  <c r="G43" i="12"/>
  <c r="G42" i="12"/>
  <c r="G41" i="12"/>
  <c r="G40" i="12"/>
  <c r="H40" i="12" s="1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17" i="12"/>
  <c r="H17" i="12" s="1"/>
  <c r="G16" i="12"/>
  <c r="H16" i="12" s="1"/>
  <c r="G15" i="12"/>
  <c r="H15" i="12" s="1"/>
  <c r="G14" i="12"/>
  <c r="G12" i="12"/>
  <c r="G11" i="12"/>
  <c r="G10" i="12"/>
  <c r="G9" i="12"/>
  <c r="G6" i="12"/>
  <c r="G5" i="12"/>
  <c r="R71" i="12"/>
  <c r="Q71" i="12"/>
  <c r="O71" i="12"/>
  <c r="N71" i="12"/>
  <c r="M71" i="12"/>
  <c r="L71" i="12"/>
  <c r="K71" i="12"/>
  <c r="S13" i="12"/>
  <c r="Z71" i="12"/>
  <c r="Y71" i="12"/>
  <c r="X71" i="12"/>
  <c r="W71" i="12"/>
  <c r="O42" i="3"/>
  <c r="O31" i="3"/>
  <c r="O40" i="3"/>
  <c r="M39" i="3"/>
  <c r="N39" i="3" s="1"/>
  <c r="O38" i="3"/>
  <c r="N38" i="3" s="1"/>
  <c r="M38" i="3"/>
  <c r="N37" i="3"/>
  <c r="N36" i="3"/>
  <c r="O35" i="3"/>
  <c r="N35" i="3" s="1"/>
  <c r="O34" i="3"/>
  <c r="O33" i="3"/>
  <c r="N32" i="3"/>
  <c r="O32" i="3" s="1"/>
  <c r="G243" i="9"/>
  <c r="G244" i="9"/>
  <c r="G245" i="9"/>
  <c r="G246" i="9"/>
  <c r="G247" i="9"/>
  <c r="G248" i="9"/>
  <c r="G249" i="9"/>
  <c r="G235" i="9"/>
  <c r="G237" i="9"/>
  <c r="G238" i="9"/>
  <c r="G239" i="9"/>
  <c r="G240" i="9"/>
  <c r="G241" i="9"/>
  <c r="G242" i="9"/>
  <c r="G234" i="9"/>
  <c r="E43" i="7"/>
  <c r="E44" i="7"/>
  <c r="E45" i="7"/>
  <c r="E46" i="7"/>
  <c r="E48" i="7"/>
  <c r="E50" i="7"/>
  <c r="E51" i="7"/>
  <c r="E53" i="7"/>
  <c r="F5" i="7"/>
  <c r="D30" i="8" s="1"/>
  <c r="F30" i="8" s="1"/>
  <c r="E37" i="7"/>
  <c r="F37" i="7" s="1"/>
  <c r="U74" i="12" l="1"/>
  <c r="G13" i="12"/>
  <c r="F1" i="7"/>
  <c r="E36" i="7" l="1"/>
  <c r="F36" i="7" s="1"/>
  <c r="E35" i="7"/>
  <c r="F35" i="7" s="1"/>
  <c r="E34" i="7"/>
  <c r="F34" i="7"/>
  <c r="H14" i="12"/>
  <c r="E12" i="12"/>
  <c r="H12" i="12" s="1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196" i="9"/>
  <c r="G197" i="9"/>
  <c r="G198" i="9"/>
  <c r="G199" i="9"/>
  <c r="G200" i="9"/>
  <c r="G201" i="9"/>
  <c r="G202" i="9"/>
  <c r="G203" i="9"/>
  <c r="G204" i="9"/>
  <c r="G206" i="9"/>
  <c r="G207" i="9"/>
  <c r="G208" i="9"/>
  <c r="G209" i="9"/>
  <c r="G210" i="9"/>
  <c r="G211" i="9"/>
  <c r="M17" i="3"/>
  <c r="M18" i="3"/>
  <c r="M22" i="3"/>
  <c r="M19" i="3"/>
  <c r="L5" i="3"/>
  <c r="V20" i="10"/>
  <c r="V34" i="10"/>
  <c r="E34" i="3"/>
  <c r="V35" i="10" s="1"/>
  <c r="D32" i="3"/>
  <c r="E32" i="3" s="1"/>
  <c r="V33" i="10" s="1"/>
  <c r="D30" i="3"/>
  <c r="E31" i="3"/>
  <c r="V32" i="10" s="1"/>
  <c r="V8" i="10"/>
  <c r="V9" i="10"/>
  <c r="V22" i="10"/>
  <c r="V24" i="10"/>
  <c r="V26" i="10"/>
  <c r="V27" i="10"/>
  <c r="V28" i="10"/>
  <c r="V29" i="10"/>
  <c r="V30" i="10"/>
  <c r="V37" i="10"/>
  <c r="E15" i="3"/>
  <c r="V16" i="10" s="1"/>
  <c r="C23" i="3"/>
  <c r="D23" i="3" s="1"/>
  <c r="E24" i="3"/>
  <c r="D24" i="3" s="1"/>
  <c r="E4" i="3"/>
  <c r="E5" i="3"/>
  <c r="E17" i="3"/>
  <c r="V18" i="10" s="1"/>
  <c r="V3" i="10"/>
  <c r="E37" i="9"/>
  <c r="D37" i="9"/>
  <c r="G3" i="9"/>
  <c r="G195" i="9"/>
  <c r="G194" i="9"/>
  <c r="G193" i="9"/>
  <c r="G192" i="9"/>
  <c r="G191" i="9"/>
  <c r="G190" i="9"/>
  <c r="G189" i="9"/>
  <c r="G188" i="9"/>
  <c r="G187" i="9"/>
  <c r="G186" i="9"/>
  <c r="G185" i="9"/>
  <c r="G184" i="9"/>
  <c r="G183" i="9"/>
  <c r="G182" i="9"/>
  <c r="G181" i="9"/>
  <c r="G180" i="9"/>
  <c r="G179" i="9"/>
  <c r="G178" i="9"/>
  <c r="G177" i="9"/>
  <c r="G176" i="9"/>
  <c r="G175" i="9"/>
  <c r="G174" i="9"/>
  <c r="G173" i="9"/>
  <c r="G172" i="9"/>
  <c r="G170" i="9"/>
  <c r="G169" i="9"/>
  <c r="G168" i="9"/>
  <c r="G167" i="9"/>
  <c r="G166" i="9"/>
  <c r="G165" i="9"/>
  <c r="G164" i="9"/>
  <c r="G163" i="9"/>
  <c r="G162" i="9"/>
  <c r="G161" i="9"/>
  <c r="G160" i="9"/>
  <c r="G159" i="9"/>
  <c r="G158" i="9"/>
  <c r="G157" i="9"/>
  <c r="G156" i="9"/>
  <c r="G155" i="9"/>
  <c r="G154" i="9"/>
  <c r="G153" i="9"/>
  <c r="G152" i="9"/>
  <c r="G151" i="9"/>
  <c r="G150" i="9"/>
  <c r="G149" i="9"/>
  <c r="G148" i="9"/>
  <c r="G147" i="9"/>
  <c r="G146" i="9"/>
  <c r="G145" i="9"/>
  <c r="G144" i="9"/>
  <c r="G143" i="9"/>
  <c r="G142" i="9"/>
  <c r="G141" i="9"/>
  <c r="G140" i="9"/>
  <c r="G139" i="9"/>
  <c r="G138" i="9"/>
  <c r="G137" i="9"/>
  <c r="G136" i="9"/>
  <c r="G135" i="9"/>
  <c r="G134" i="9"/>
  <c r="G133" i="9"/>
  <c r="G132" i="9"/>
  <c r="G131" i="9"/>
  <c r="G129" i="9"/>
  <c r="G128" i="9"/>
  <c r="G127" i="9"/>
  <c r="G125" i="9"/>
  <c r="G124" i="9"/>
  <c r="G123" i="9"/>
  <c r="G122" i="9"/>
  <c r="G121" i="9"/>
  <c r="G120" i="9"/>
  <c r="G119" i="9"/>
  <c r="G118" i="9"/>
  <c r="G117" i="9"/>
  <c r="G116" i="9"/>
  <c r="G115" i="9"/>
  <c r="G114" i="9"/>
  <c r="G113" i="9"/>
  <c r="G112" i="9"/>
  <c r="G111" i="9"/>
  <c r="G110" i="9"/>
  <c r="G109" i="9"/>
  <c r="G108" i="9"/>
  <c r="G107" i="9"/>
  <c r="G106" i="9"/>
  <c r="G105" i="9"/>
  <c r="G104" i="9"/>
  <c r="G103" i="9"/>
  <c r="G102" i="9"/>
  <c r="G101" i="9"/>
  <c r="G100" i="9"/>
  <c r="G99" i="9"/>
  <c r="G98" i="9"/>
  <c r="G97" i="9"/>
  <c r="G95" i="9"/>
  <c r="G94" i="9"/>
  <c r="G93" i="9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8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N1" i="10"/>
  <c r="M1" i="10"/>
  <c r="M15" i="10" s="1"/>
  <c r="L1" i="10"/>
  <c r="K1" i="10"/>
  <c r="J1" i="10"/>
  <c r="J22" i="10" s="1"/>
  <c r="I1" i="10"/>
  <c r="H1" i="10"/>
  <c r="G1" i="10"/>
  <c r="F1" i="10"/>
  <c r="E1" i="10"/>
  <c r="D1" i="10"/>
  <c r="C1" i="10"/>
  <c r="C27" i="10" s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2" i="9"/>
  <c r="C3" i="10" l="1"/>
  <c r="C30" i="10"/>
  <c r="C25" i="10"/>
  <c r="C28" i="10"/>
  <c r="F34" i="10"/>
  <c r="C24" i="10"/>
  <c r="K2" i="10"/>
  <c r="C10" i="10"/>
  <c r="C26" i="10"/>
  <c r="F33" i="10"/>
  <c r="C29" i="10"/>
  <c r="C2" i="10"/>
  <c r="C32" i="10"/>
  <c r="C31" i="10"/>
  <c r="G3" i="7"/>
  <c r="C33" i="10"/>
  <c r="E34" i="10"/>
  <c r="D34" i="10"/>
  <c r="C34" i="10"/>
  <c r="C4" i="10"/>
  <c r="E32" i="10"/>
  <c r="K28" i="10"/>
  <c r="N32" i="10"/>
  <c r="F23" i="10"/>
  <c r="E39" i="10"/>
  <c r="N35" i="10"/>
  <c r="L32" i="10"/>
  <c r="D32" i="10"/>
  <c r="K32" i="10"/>
  <c r="G11" i="10"/>
  <c r="J32" i="10"/>
  <c r="H38" i="10"/>
  <c r="I32" i="10"/>
  <c r="H32" i="10"/>
  <c r="I4" i="10"/>
  <c r="G32" i="10"/>
  <c r="F32" i="10"/>
  <c r="D6" i="10"/>
  <c r="L3" i="10"/>
  <c r="M32" i="10"/>
  <c r="K16" i="10"/>
  <c r="C16" i="10"/>
  <c r="J16" i="10"/>
  <c r="I16" i="10"/>
  <c r="H16" i="10"/>
  <c r="G16" i="10"/>
  <c r="N16" i="10"/>
  <c r="F16" i="10"/>
  <c r="M16" i="10"/>
  <c r="E16" i="10"/>
  <c r="L16" i="10"/>
  <c r="D16" i="10"/>
  <c r="V6" i="10"/>
  <c r="V25" i="10"/>
  <c r="V5" i="10"/>
  <c r="N5" i="10"/>
  <c r="K39" i="10"/>
  <c r="K19" i="10"/>
  <c r="J39" i="10"/>
  <c r="J28" i="10"/>
  <c r="I39" i="10"/>
  <c r="I28" i="10"/>
  <c r="N21" i="10"/>
  <c r="N24" i="10"/>
  <c r="M21" i="10"/>
  <c r="M24" i="10"/>
  <c r="M18" i="10"/>
  <c r="L24" i="10"/>
  <c r="L18" i="10"/>
  <c r="M13" i="10"/>
  <c r="K18" i="10"/>
  <c r="L13" i="10"/>
  <c r="G25" i="10"/>
  <c r="F25" i="10"/>
  <c r="H39" i="10"/>
  <c r="K13" i="10"/>
  <c r="G39" i="10"/>
  <c r="K17" i="10"/>
  <c r="J11" i="10"/>
  <c r="M26" i="10"/>
  <c r="M5" i="10"/>
  <c r="L26" i="10"/>
  <c r="L5" i="10"/>
  <c r="K26" i="10"/>
  <c r="K5" i="10"/>
  <c r="K38" i="10"/>
  <c r="J38" i="10"/>
  <c r="I38" i="10"/>
  <c r="N18" i="10"/>
  <c r="C11" i="10"/>
  <c r="C6" i="10"/>
  <c r="F7" i="10"/>
  <c r="C39" i="10"/>
  <c r="E7" i="10"/>
  <c r="H28" i="10"/>
  <c r="G28" i="10"/>
  <c r="C38" i="10"/>
  <c r="M27" i="10"/>
  <c r="I17" i="10"/>
  <c r="M3" i="10"/>
  <c r="L34" i="10"/>
  <c r="C23" i="10"/>
  <c r="C7" i="10"/>
  <c r="F28" i="10"/>
  <c r="M34" i="10"/>
  <c r="I3" i="10"/>
  <c r="H17" i="10"/>
  <c r="K27" i="10"/>
  <c r="H3" i="10"/>
  <c r="G3" i="10"/>
  <c r="D7" i="10"/>
  <c r="F3" i="10"/>
  <c r="C17" i="10"/>
  <c r="J8" i="10"/>
  <c r="J3" i="10"/>
  <c r="J9" i="10"/>
  <c r="C15" i="10"/>
  <c r="M29" i="10"/>
  <c r="G37" i="10"/>
  <c r="C9" i="10"/>
  <c r="D22" i="10"/>
  <c r="E37" i="10"/>
  <c r="J25" i="10"/>
  <c r="L12" i="10"/>
  <c r="E3" i="10"/>
  <c r="K9" i="10"/>
  <c r="K34" i="10"/>
  <c r="H37" i="10"/>
  <c r="H9" i="10"/>
  <c r="N12" i="10"/>
  <c r="F37" i="10"/>
  <c r="K25" i="10"/>
  <c r="M12" i="10"/>
  <c r="C22" i="10"/>
  <c r="D37" i="10"/>
  <c r="I25" i="10"/>
  <c r="K12" i="10"/>
  <c r="D3" i="10"/>
  <c r="C19" i="10"/>
  <c r="C20" i="10"/>
  <c r="N27" i="10"/>
  <c r="E28" i="10"/>
  <c r="J17" i="10"/>
  <c r="N3" i="10"/>
  <c r="L27" i="10"/>
  <c r="N34" i="10"/>
  <c r="G17" i="10"/>
  <c r="K8" i="10"/>
  <c r="K3" i="10"/>
  <c r="N15" i="10"/>
  <c r="C8" i="10"/>
  <c r="I9" i="10"/>
  <c r="C14" i="10"/>
  <c r="K29" i="10"/>
  <c r="N26" i="10"/>
  <c r="C37" i="10"/>
  <c r="H25" i="10"/>
  <c r="K11" i="10"/>
  <c r="D14" i="10"/>
  <c r="F6" i="10"/>
  <c r="E6" i="10"/>
  <c r="D5" i="10"/>
  <c r="D12" i="10"/>
  <c r="D13" i="10"/>
  <c r="D31" i="10"/>
  <c r="D33" i="10"/>
  <c r="D36" i="10"/>
  <c r="D35" i="10"/>
  <c r="D10" i="10"/>
  <c r="D15" i="10"/>
  <c r="D24" i="10"/>
  <c r="D29" i="10"/>
  <c r="D18" i="10"/>
  <c r="D27" i="10"/>
  <c r="D26" i="10"/>
  <c r="D21" i="10"/>
  <c r="D25" i="10"/>
  <c r="F17" i="10"/>
  <c r="I11" i="10"/>
  <c r="K4" i="10"/>
  <c r="E17" i="10"/>
  <c r="H11" i="10"/>
  <c r="J4" i="10"/>
  <c r="D39" i="10"/>
  <c r="D17" i="10"/>
  <c r="G5" i="10"/>
  <c r="G12" i="10"/>
  <c r="G13" i="10"/>
  <c r="G34" i="10"/>
  <c r="G18" i="10"/>
  <c r="G27" i="10"/>
  <c r="G26" i="10"/>
  <c r="G10" i="10"/>
  <c r="G15" i="10"/>
  <c r="G24" i="10"/>
  <c r="G29" i="10"/>
  <c r="G31" i="10"/>
  <c r="G33" i="10"/>
  <c r="G36" i="10"/>
  <c r="G35" i="10"/>
  <c r="G21" i="10"/>
  <c r="G43" i="10"/>
  <c r="G9" i="10"/>
  <c r="H5" i="10"/>
  <c r="H12" i="10"/>
  <c r="H24" i="10"/>
  <c r="H34" i="10"/>
  <c r="H18" i="10"/>
  <c r="H27" i="10"/>
  <c r="H26" i="10"/>
  <c r="H10" i="10"/>
  <c r="H15" i="10"/>
  <c r="H13" i="10"/>
  <c r="H29" i="10"/>
  <c r="H31" i="10"/>
  <c r="H33" i="10"/>
  <c r="H36" i="10"/>
  <c r="H35" i="10"/>
  <c r="H21" i="10"/>
  <c r="H43" i="10"/>
  <c r="F9" i="10"/>
  <c r="F11" i="10"/>
  <c r="H4" i="10"/>
  <c r="G4" i="10"/>
  <c r="D28" i="10"/>
  <c r="L4" i="10"/>
  <c r="L6" i="10"/>
  <c r="L11" i="10"/>
  <c r="L14" i="10"/>
  <c r="L17" i="10"/>
  <c r="L23" i="10"/>
  <c r="L25" i="10"/>
  <c r="L30" i="10"/>
  <c r="L28" i="10"/>
  <c r="L19" i="10"/>
  <c r="L37" i="10"/>
  <c r="L8" i="10"/>
  <c r="L7" i="10"/>
  <c r="L38" i="10"/>
  <c r="L22" i="10"/>
  <c r="L9" i="10"/>
  <c r="L20" i="10"/>
  <c r="L39" i="10"/>
  <c r="L21" i="10"/>
  <c r="D38" i="10"/>
  <c r="F8" i="10"/>
  <c r="H19" i="10"/>
  <c r="J30" i="10"/>
  <c r="K24" i="10"/>
  <c r="D11" i="10"/>
  <c r="F4" i="10"/>
  <c r="E10" i="10"/>
  <c r="E15" i="10"/>
  <c r="E24" i="10"/>
  <c r="E18" i="10"/>
  <c r="E27" i="10"/>
  <c r="E26" i="10"/>
  <c r="E5" i="10"/>
  <c r="E12" i="10"/>
  <c r="E13" i="10"/>
  <c r="E29" i="10"/>
  <c r="E31" i="10"/>
  <c r="E33" i="10"/>
  <c r="E36" i="10"/>
  <c r="E35" i="10"/>
  <c r="E21" i="10"/>
  <c r="E43" i="10"/>
  <c r="I12" i="10"/>
  <c r="I36" i="10"/>
  <c r="I5" i="10"/>
  <c r="I15" i="10"/>
  <c r="I24" i="10"/>
  <c r="I34" i="10"/>
  <c r="I18" i="10"/>
  <c r="I27" i="10"/>
  <c r="I35" i="10"/>
  <c r="I21" i="10"/>
  <c r="I10" i="10"/>
  <c r="I13" i="10"/>
  <c r="I29" i="10"/>
  <c r="I31" i="10"/>
  <c r="I33" i="10"/>
  <c r="I26" i="10"/>
  <c r="I43" i="10"/>
  <c r="G19" i="10"/>
  <c r="I30" i="10"/>
  <c r="K23" i="10"/>
  <c r="L15" i="10"/>
  <c r="E4" i="10"/>
  <c r="E38" i="10"/>
  <c r="G8" i="10"/>
  <c r="I19" i="10"/>
  <c r="K30" i="10"/>
  <c r="M4" i="10"/>
  <c r="M6" i="10"/>
  <c r="M11" i="10"/>
  <c r="M14" i="10"/>
  <c r="M17" i="10"/>
  <c r="M23" i="10"/>
  <c r="M25" i="10"/>
  <c r="M30" i="10"/>
  <c r="M28" i="10"/>
  <c r="M19" i="10"/>
  <c r="M37" i="10"/>
  <c r="M8" i="10"/>
  <c r="M7" i="10"/>
  <c r="M38" i="10"/>
  <c r="M22" i="10"/>
  <c r="M9" i="10"/>
  <c r="M20" i="10"/>
  <c r="M39" i="10"/>
  <c r="K21" i="10"/>
  <c r="M35" i="10"/>
  <c r="E8" i="10"/>
  <c r="F19" i="10"/>
  <c r="D4" i="10"/>
  <c r="E9" i="10"/>
  <c r="G38" i="10"/>
  <c r="I8" i="10"/>
  <c r="E11" i="10"/>
  <c r="N4" i="10"/>
  <c r="N6" i="10"/>
  <c r="N11" i="10"/>
  <c r="N14" i="10"/>
  <c r="N17" i="10"/>
  <c r="N23" i="10"/>
  <c r="N25" i="10"/>
  <c r="N30" i="10"/>
  <c r="N28" i="10"/>
  <c r="N19" i="10"/>
  <c r="N37" i="10"/>
  <c r="N8" i="10"/>
  <c r="N7" i="10"/>
  <c r="N38" i="10"/>
  <c r="N22" i="10"/>
  <c r="N9" i="10"/>
  <c r="N20" i="10"/>
  <c r="N39" i="10"/>
  <c r="L35" i="10"/>
  <c r="D8" i="10"/>
  <c r="J23" i="10"/>
  <c r="K15" i="10"/>
  <c r="K35" i="10"/>
  <c r="I23" i="10"/>
  <c r="I20" i="10"/>
  <c r="K22" i="10"/>
  <c r="L36" i="10"/>
  <c r="N33" i="10"/>
  <c r="D19" i="10"/>
  <c r="F30" i="10"/>
  <c r="H23" i="10"/>
  <c r="K14" i="10"/>
  <c r="L10" i="10"/>
  <c r="N43" i="10"/>
  <c r="E30" i="10"/>
  <c r="G23" i="10"/>
  <c r="J14" i="10"/>
  <c r="K10" i="10"/>
  <c r="M43" i="10"/>
  <c r="F38" i="10"/>
  <c r="J19" i="10"/>
  <c r="G30" i="10"/>
  <c r="M33" i="10"/>
  <c r="G20" i="10"/>
  <c r="I22" i="10"/>
  <c r="K7" i="10"/>
  <c r="L33" i="10"/>
  <c r="N31" i="10"/>
  <c r="D30" i="10"/>
  <c r="I14" i="10"/>
  <c r="K6" i="10"/>
  <c r="L43" i="10"/>
  <c r="F5" i="10"/>
  <c r="F12" i="10"/>
  <c r="F24" i="10"/>
  <c r="F18" i="10"/>
  <c r="F36" i="10"/>
  <c r="F26" i="10"/>
  <c r="F10" i="10"/>
  <c r="F15" i="10"/>
  <c r="F13" i="10"/>
  <c r="F29" i="10"/>
  <c r="F31" i="10"/>
  <c r="F27" i="10"/>
  <c r="F35" i="10"/>
  <c r="F21" i="10"/>
  <c r="F43" i="10"/>
  <c r="F39" i="10"/>
  <c r="J5" i="10"/>
  <c r="J24" i="10"/>
  <c r="J18" i="10"/>
  <c r="J36" i="10"/>
  <c r="J12" i="10"/>
  <c r="J13" i="10"/>
  <c r="J34" i="10"/>
  <c r="J33" i="10"/>
  <c r="J26" i="10"/>
  <c r="J21" i="10"/>
  <c r="J10" i="10"/>
  <c r="J15" i="10"/>
  <c r="J29" i="10"/>
  <c r="J31" i="10"/>
  <c r="J27" i="10"/>
  <c r="J35" i="10"/>
  <c r="J43" i="10"/>
  <c r="D9" i="10"/>
  <c r="H8" i="10"/>
  <c r="K20" i="10"/>
  <c r="N36" i="10"/>
  <c r="H30" i="10"/>
  <c r="N10" i="10"/>
  <c r="J20" i="10"/>
  <c r="M36" i="10"/>
  <c r="E19" i="10"/>
  <c r="M10" i="10"/>
  <c r="H20" i="10"/>
  <c r="K36" i="10"/>
  <c r="F20" i="10"/>
  <c r="H22" i="10"/>
  <c r="J7" i="10"/>
  <c r="K33" i="10"/>
  <c r="M31" i="10"/>
  <c r="H14" i="10"/>
  <c r="E23" i="10"/>
  <c r="J6" i="10"/>
  <c r="K43" i="10"/>
  <c r="E20" i="10"/>
  <c r="G22" i="10"/>
  <c r="I7" i="10"/>
  <c r="K37" i="10"/>
  <c r="L31" i="10"/>
  <c r="N29" i="10"/>
  <c r="D23" i="10"/>
  <c r="G14" i="10"/>
  <c r="I6" i="10"/>
  <c r="E25" i="10"/>
  <c r="F14" i="10"/>
  <c r="H6" i="10"/>
  <c r="D20" i="10"/>
  <c r="F22" i="10"/>
  <c r="H7" i="10"/>
  <c r="J37" i="10"/>
  <c r="K31" i="10"/>
  <c r="E22" i="10"/>
  <c r="G7" i="10"/>
  <c r="I37" i="10"/>
  <c r="L29" i="10"/>
  <c r="N13" i="10"/>
  <c r="E14" i="10"/>
  <c r="G6" i="10"/>
  <c r="D43" i="10"/>
  <c r="C21" i="10"/>
  <c r="C35" i="10"/>
  <c r="C36" i="10"/>
  <c r="C18" i="10"/>
  <c r="C12" i="10"/>
  <c r="C43" i="10"/>
  <c r="C13" i="10"/>
  <c r="C5" i="10"/>
  <c r="H2" i="10"/>
  <c r="E2" i="10"/>
  <c r="G2" i="10"/>
  <c r="F2" i="10"/>
  <c r="I2" i="10"/>
  <c r="L2" i="10"/>
  <c r="D2" i="10"/>
  <c r="J2" i="10"/>
  <c r="M2" i="10"/>
  <c r="N2" i="10"/>
  <c r="T71" i="12"/>
  <c r="E38" i="3"/>
  <c r="E33" i="7"/>
  <c r="F33" i="7" s="1"/>
  <c r="E32" i="7"/>
  <c r="F32" i="7" s="1"/>
  <c r="E31" i="7"/>
  <c r="F31" i="7" s="1"/>
  <c r="E30" i="7"/>
  <c r="F30" i="7" s="1"/>
  <c r="E29" i="7"/>
  <c r="F29" i="7" s="1"/>
  <c r="E28" i="7"/>
  <c r="F28" i="7" s="1"/>
  <c r="C29" i="11"/>
  <c r="C4" i="11"/>
  <c r="C5" i="11" s="1"/>
  <c r="H13" i="12" l="1"/>
  <c r="U3" i="10"/>
  <c r="U32" i="10"/>
  <c r="W32" i="10" s="1"/>
  <c r="U21" i="10"/>
  <c r="G20" i="3" s="1"/>
  <c r="U20" i="10"/>
  <c r="U16" i="10"/>
  <c r="G15" i="3" s="1"/>
  <c r="U39" i="10"/>
  <c r="G38" i="3" s="1"/>
  <c r="D38" i="3"/>
  <c r="V39" i="10"/>
  <c r="W3" i="10"/>
  <c r="H42" i="10"/>
  <c r="H45" i="10" s="1"/>
  <c r="K42" i="10"/>
  <c r="K45" i="10" s="1"/>
  <c r="C42" i="10"/>
  <c r="C45" i="10" s="1"/>
  <c r="N42" i="10"/>
  <c r="N45" i="10" s="1"/>
  <c r="M42" i="10"/>
  <c r="M45" i="10" s="1"/>
  <c r="J42" i="10"/>
  <c r="J45" i="10" s="1"/>
  <c r="D42" i="10"/>
  <c r="D45" i="10" s="1"/>
  <c r="L42" i="10"/>
  <c r="L45" i="10" s="1"/>
  <c r="I42" i="10"/>
  <c r="I45" i="10" s="1"/>
  <c r="E42" i="10"/>
  <c r="E45" i="10" s="1"/>
  <c r="F42" i="10"/>
  <c r="F45" i="10" s="1"/>
  <c r="G42" i="10"/>
  <c r="G45" i="10" s="1"/>
  <c r="U6" i="10"/>
  <c r="G5" i="3" s="1"/>
  <c r="G31" i="3" l="1"/>
  <c r="W39" i="10"/>
  <c r="G19" i="3"/>
  <c r="H19" i="3" s="1"/>
  <c r="W20" i="10"/>
  <c r="W6" i="10"/>
  <c r="H5" i="3"/>
  <c r="U5" i="10"/>
  <c r="C31" i="3"/>
  <c r="G4" i="3" l="1"/>
  <c r="H4" i="3" s="1"/>
  <c r="C33" i="11"/>
  <c r="C18" i="11"/>
  <c r="E25" i="11"/>
  <c r="C26" i="11"/>
  <c r="D10" i="11"/>
  <c r="D33" i="11"/>
  <c r="D22" i="11"/>
  <c r="D19" i="11"/>
  <c r="E19" i="11" s="1"/>
  <c r="D7" i="11"/>
  <c r="D6" i="11"/>
  <c r="C13" i="18"/>
  <c r="E35" i="3"/>
  <c r="V36" i="10" s="1"/>
  <c r="C12" i="18"/>
  <c r="C11" i="18"/>
  <c r="C10" i="18"/>
  <c r="C9" i="18"/>
  <c r="C8" i="18"/>
  <c r="C7" i="18"/>
  <c r="C6" i="18"/>
  <c r="C3" i="18"/>
  <c r="E37" i="3" l="1"/>
  <c r="V38" i="10" s="1"/>
  <c r="C17" i="18"/>
  <c r="D42" i="11" l="1"/>
  <c r="D4" i="11"/>
  <c r="C42" i="11"/>
  <c r="C39" i="11"/>
  <c r="C52" i="11"/>
  <c r="C51" i="11"/>
  <c r="D17" i="11"/>
  <c r="E17" i="11" s="1"/>
  <c r="D15" i="11"/>
  <c r="E15" i="11" s="1"/>
  <c r="D12" i="11"/>
  <c r="E12" i="11" s="1"/>
  <c r="D11" i="11"/>
  <c r="E11" i="11" s="1"/>
  <c r="E30" i="11"/>
  <c r="E31" i="11"/>
  <c r="E32" i="11"/>
  <c r="E33" i="11"/>
  <c r="E34" i="11"/>
  <c r="E29" i="11"/>
  <c r="E13" i="11"/>
  <c r="E14" i="11"/>
  <c r="E16" i="11"/>
  <c r="E18" i="11"/>
  <c r="E20" i="11"/>
  <c r="E21" i="11"/>
  <c r="E22" i="11"/>
  <c r="E23" i="11"/>
  <c r="E24" i="11"/>
  <c r="E26" i="11"/>
  <c r="E27" i="11"/>
  <c r="E10" i="11"/>
  <c r="E8" i="11"/>
  <c r="H62" i="12"/>
  <c r="C90" i="12"/>
  <c r="D9" i="16"/>
  <c r="D32" i="16"/>
  <c r="E32" i="16"/>
  <c r="F32" i="16"/>
  <c r="H41" i="12"/>
  <c r="AA41" i="12"/>
  <c r="AA71" i="12" s="1"/>
  <c r="D39" i="11" l="1"/>
  <c r="H42" i="12"/>
  <c r="C53" i="11"/>
  <c r="E42" i="11"/>
  <c r="E4" i="11"/>
  <c r="C40" i="11"/>
  <c r="K24" i="16"/>
  <c r="E39" i="11" l="1"/>
  <c r="C41" i="11"/>
  <c r="K21" i="16"/>
  <c r="K10" i="16" s="1"/>
  <c r="K15" i="16" s="1"/>
  <c r="C2" i="4"/>
  <c r="AE26" i="12"/>
  <c r="C43" i="11" l="1"/>
  <c r="C45" i="11" s="1"/>
  <c r="C48" i="11" l="1"/>
  <c r="J8" i="12"/>
  <c r="G8" i="12" s="1"/>
  <c r="D29" i="8"/>
  <c r="E5" i="8" s="1"/>
  <c r="C11" i="16"/>
  <c r="L16" i="16"/>
  <c r="Q15" i="16"/>
  <c r="C13" i="16"/>
  <c r="C14" i="16"/>
  <c r="C15" i="16"/>
  <c r="C16" i="16"/>
  <c r="C17" i="16"/>
  <c r="C18" i="16"/>
  <c r="C19" i="16"/>
  <c r="C20" i="16"/>
  <c r="C22" i="16"/>
  <c r="C23" i="16"/>
  <c r="C31" i="16"/>
  <c r="C33" i="16"/>
  <c r="C35" i="16"/>
  <c r="C38" i="16"/>
  <c r="C39" i="16"/>
  <c r="C40" i="16"/>
  <c r="C42" i="16"/>
  <c r="C6" i="8"/>
  <c r="D6" i="8"/>
  <c r="E12" i="7"/>
  <c r="H67" i="12"/>
  <c r="H64" i="12"/>
  <c r="H68" i="12"/>
  <c r="H63" i="12"/>
  <c r="H60" i="12"/>
  <c r="H25" i="12"/>
  <c r="J71" i="12" l="1"/>
  <c r="E9" i="16"/>
  <c r="F9" i="16"/>
  <c r="D42" i="16"/>
  <c r="D38" i="16"/>
  <c r="D40" i="16"/>
  <c r="D39" i="16"/>
  <c r="D35" i="16"/>
  <c r="H61" i="12"/>
  <c r="E6" i="8"/>
  <c r="D5" i="8"/>
  <c r="C5" i="8"/>
  <c r="B5" i="8"/>
  <c r="F25" i="8"/>
  <c r="F26" i="8"/>
  <c r="F28" i="8"/>
  <c r="G7" i="7"/>
  <c r="F27" i="8"/>
  <c r="D31" i="3"/>
  <c r="C8" i="3"/>
  <c r="C37" i="16" s="1"/>
  <c r="C21" i="3"/>
  <c r="D26" i="3"/>
  <c r="D18" i="3"/>
  <c r="C29" i="3"/>
  <c r="C33" i="3"/>
  <c r="C28" i="3"/>
  <c r="H31" i="3"/>
  <c r="H15" i="3"/>
  <c r="D25" i="3"/>
  <c r="C24" i="16" s="1"/>
  <c r="D24" i="16" s="1"/>
  <c r="E8" i="12"/>
  <c r="I7" i="12"/>
  <c r="AA74" i="12" s="1"/>
  <c r="E7" i="12"/>
  <c r="F6" i="12"/>
  <c r="F5" i="12"/>
  <c r="F12" i="7"/>
  <c r="E10" i="7"/>
  <c r="F10" i="7" s="1"/>
  <c r="E11" i="7"/>
  <c r="F11" i="7" s="1"/>
  <c r="F13" i="7"/>
  <c r="E14" i="7"/>
  <c r="F14" i="7" s="1"/>
  <c r="E15" i="7"/>
  <c r="F15" i="7" s="1"/>
  <c r="E16" i="7"/>
  <c r="F16" i="7" s="1"/>
  <c r="E17" i="7"/>
  <c r="F17" i="7" s="1"/>
  <c r="E18" i="7"/>
  <c r="F18" i="7" s="1"/>
  <c r="E19" i="7"/>
  <c r="F19" i="7" s="1"/>
  <c r="E20" i="7"/>
  <c r="F20" i="7" s="1"/>
  <c r="E21" i="7"/>
  <c r="F21" i="7" s="1"/>
  <c r="E22" i="7"/>
  <c r="F22" i="7" s="1"/>
  <c r="E23" i="7"/>
  <c r="F23" i="7" s="1"/>
  <c r="F24" i="7"/>
  <c r="E25" i="7"/>
  <c r="F25" i="7" s="1"/>
  <c r="E26" i="7"/>
  <c r="F26" i="7" s="1"/>
  <c r="E27" i="7"/>
  <c r="F27" i="7" s="1"/>
  <c r="E38" i="7"/>
  <c r="F38" i="7" s="1"/>
  <c r="E39" i="7"/>
  <c r="F39" i="7" s="1"/>
  <c r="E40" i="7"/>
  <c r="F40" i="7"/>
  <c r="E41" i="7"/>
  <c r="F41" i="7" s="1"/>
  <c r="E42" i="7"/>
  <c r="F42" i="7" s="1"/>
  <c r="F43" i="7"/>
  <c r="F44" i="7"/>
  <c r="F45" i="7"/>
  <c r="F46" i="7"/>
  <c r="F48" i="7"/>
  <c r="F50" i="7"/>
  <c r="F51" i="7"/>
  <c r="F53" i="7"/>
  <c r="E54" i="7"/>
  <c r="F54" i="7" s="1"/>
  <c r="E55" i="7"/>
  <c r="F55" i="7" s="1"/>
  <c r="E56" i="7"/>
  <c r="F56" i="7" s="1"/>
  <c r="E57" i="7"/>
  <c r="F57" i="7" s="1"/>
  <c r="F58" i="7"/>
  <c r="E59" i="7"/>
  <c r="F59" i="7" s="1"/>
  <c r="E60" i="7"/>
  <c r="F60" i="7" s="1"/>
  <c r="F61" i="7"/>
  <c r="F62" i="7"/>
  <c r="F63" i="7"/>
  <c r="E64" i="7"/>
  <c r="F64" i="7" s="1"/>
  <c r="E65" i="7"/>
  <c r="F65" i="7" s="1"/>
  <c r="E66" i="7"/>
  <c r="F66" i="7" s="1"/>
  <c r="E67" i="7"/>
  <c r="F67" i="7" s="1"/>
  <c r="C26" i="3" l="1"/>
  <c r="C12" i="16"/>
  <c r="J4" i="3"/>
  <c r="I71" i="12"/>
  <c r="G7" i="12"/>
  <c r="H8" i="12"/>
  <c r="E46" i="3"/>
  <c r="E9" i="3"/>
  <c r="D33" i="3"/>
  <c r="C28" i="16"/>
  <c r="D28" i="16" s="1"/>
  <c r="D21" i="3"/>
  <c r="C36" i="16"/>
  <c r="D36" i="16" s="1"/>
  <c r="D27" i="3"/>
  <c r="C29" i="16"/>
  <c r="D29" i="16" s="1"/>
  <c r="F29" i="16" s="1"/>
  <c r="D29" i="3"/>
  <c r="C27" i="16"/>
  <c r="D27" i="16" s="1"/>
  <c r="C30" i="16"/>
  <c r="D30" i="16" s="1"/>
  <c r="F30" i="16" s="1"/>
  <c r="D7" i="3"/>
  <c r="C34" i="16"/>
  <c r="D34" i="16" s="1"/>
  <c r="F34" i="16" s="1"/>
  <c r="C21" i="16"/>
  <c r="D21" i="16" s="1"/>
  <c r="D28" i="3"/>
  <c r="C26" i="16"/>
  <c r="D26" i="16" s="1"/>
  <c r="F26" i="16" s="1"/>
  <c r="H47" i="12"/>
  <c r="D33" i="16"/>
  <c r="F33" i="16" s="1"/>
  <c r="D15" i="16"/>
  <c r="F15" i="16" s="1"/>
  <c r="D14" i="16"/>
  <c r="D12" i="16"/>
  <c r="F12" i="16" s="1"/>
  <c r="D20" i="16"/>
  <c r="D22" i="16"/>
  <c r="F22" i="16" s="1"/>
  <c r="D19" i="16"/>
  <c r="F19" i="16" s="1"/>
  <c r="D23" i="16"/>
  <c r="F23" i="16" s="1"/>
  <c r="D18" i="16"/>
  <c r="F18" i="16" s="1"/>
  <c r="D17" i="16"/>
  <c r="D31" i="16"/>
  <c r="F31" i="16" s="1"/>
  <c r="D13" i="16"/>
  <c r="F13" i="16" s="1"/>
  <c r="D37" i="16"/>
  <c r="D16" i="16"/>
  <c r="F16" i="16" s="1"/>
  <c r="D90" i="12"/>
  <c r="F40" i="16"/>
  <c r="F38" i="16"/>
  <c r="F35" i="16"/>
  <c r="F29" i="8"/>
  <c r="C41" i="16"/>
  <c r="D41" i="16" s="1"/>
  <c r="F41" i="16" s="1"/>
  <c r="C48" i="3" l="1"/>
  <c r="C25" i="16"/>
  <c r="D25" i="16" s="1"/>
  <c r="E20" i="3"/>
  <c r="E43" i="3"/>
  <c r="V10" i="10"/>
  <c r="D51" i="11"/>
  <c r="E51" i="11" s="1"/>
  <c r="F14" i="16"/>
  <c r="F37" i="16"/>
  <c r="F36" i="16"/>
  <c r="F28" i="16"/>
  <c r="F17" i="16"/>
  <c r="F21" i="16"/>
  <c r="F42" i="16"/>
  <c r="F24" i="16"/>
  <c r="F27" i="16"/>
  <c r="F25" i="16"/>
  <c r="F11" i="16"/>
  <c r="F20" i="16"/>
  <c r="F39" i="16"/>
  <c r="E47" i="3"/>
  <c r="F6" i="8"/>
  <c r="H39" i="12"/>
  <c r="H38" i="12"/>
  <c r="H258" i="9"/>
  <c r="I258" i="9" s="1"/>
  <c r="U9" i="3"/>
  <c r="F12" i="2"/>
  <c r="S71" i="12"/>
  <c r="V21" i="10" l="1"/>
  <c r="W21" i="10" s="1"/>
  <c r="H20" i="3"/>
  <c r="H37" i="12"/>
  <c r="H36" i="12"/>
  <c r="L20" i="3"/>
  <c r="M20" i="3" s="1"/>
  <c r="L18" i="3"/>
  <c r="M15" i="3"/>
  <c r="M12" i="3"/>
  <c r="M13" i="3"/>
  <c r="E5" i="12"/>
  <c r="H32" i="12"/>
  <c r="H33" i="12"/>
  <c r="H31" i="12"/>
  <c r="H30" i="12"/>
  <c r="H28" i="12"/>
  <c r="P71" i="12"/>
  <c r="I74" i="12" s="1"/>
  <c r="E35" i="12"/>
  <c r="H27" i="12"/>
  <c r="H26" i="12"/>
  <c r="E24" i="12"/>
  <c r="H24" i="12" s="1"/>
  <c r="E6" i="12"/>
  <c r="H6" i="12" s="1"/>
  <c r="F16" i="2"/>
  <c r="B74" i="12" s="1"/>
  <c r="E71" i="12" l="1"/>
  <c r="E7" i="11"/>
  <c r="E6" i="11"/>
  <c r="F90" i="12"/>
  <c r="H10" i="12"/>
  <c r="M23" i="3"/>
  <c r="M24" i="3" s="1"/>
  <c r="U9" i="10"/>
  <c r="G8" i="3" s="1"/>
  <c r="U22" i="10"/>
  <c r="G21" i="3" s="1"/>
  <c r="U35" i="10"/>
  <c r="U26" i="10"/>
  <c r="G25" i="3" s="1"/>
  <c r="H34" i="12"/>
  <c r="H29" i="12"/>
  <c r="H7" i="12"/>
  <c r="D5" i="11"/>
  <c r="D40" i="11" s="1"/>
  <c r="U38" i="10"/>
  <c r="G37" i="3" s="1"/>
  <c r="U27" i="10"/>
  <c r="G26" i="3" s="1"/>
  <c r="U33" i="10"/>
  <c r="G32" i="3" s="1"/>
  <c r="H32" i="3" s="1"/>
  <c r="U28" i="10"/>
  <c r="G27" i="3" s="1"/>
  <c r="U30" i="10"/>
  <c r="G29" i="3" s="1"/>
  <c r="U24" i="10"/>
  <c r="G23" i="3" s="1"/>
  <c r="U17" i="10"/>
  <c r="G16" i="3" s="1"/>
  <c r="U12" i="10"/>
  <c r="G11" i="3" s="1"/>
  <c r="E6" i="3"/>
  <c r="V7" i="10" s="1"/>
  <c r="E12" i="3"/>
  <c r="V13" i="10" s="1"/>
  <c r="E16" i="3"/>
  <c r="E14" i="3"/>
  <c r="V15" i="10" s="1"/>
  <c r="F30" i="2"/>
  <c r="G34" i="3" l="1"/>
  <c r="H34" i="3" s="1"/>
  <c r="H35" i="12"/>
  <c r="G71" i="12"/>
  <c r="C74" i="12" s="1"/>
  <c r="H26" i="3"/>
  <c r="W9" i="10"/>
  <c r="H8" i="3"/>
  <c r="H37" i="3"/>
  <c r="W26" i="10"/>
  <c r="W35" i="10"/>
  <c r="W16" i="10"/>
  <c r="V17" i="10"/>
  <c r="W17" i="10" s="1"/>
  <c r="W22" i="10"/>
  <c r="E5" i="11"/>
  <c r="F71" i="12"/>
  <c r="U10" i="10"/>
  <c r="A39" i="11"/>
  <c r="W38" i="10"/>
  <c r="W33" i="10"/>
  <c r="W27" i="10"/>
  <c r="U34" i="10"/>
  <c r="G33" i="3" s="1"/>
  <c r="U8" i="10"/>
  <c r="G7" i="3" s="1"/>
  <c r="U19" i="10"/>
  <c r="G18" i="3" s="1"/>
  <c r="U37" i="10"/>
  <c r="G36" i="3" s="1"/>
  <c r="U31" i="10"/>
  <c r="G30" i="3" s="1"/>
  <c r="U4" i="10"/>
  <c r="G3" i="3" s="1"/>
  <c r="U25" i="10"/>
  <c r="G24" i="3" s="1"/>
  <c r="U13" i="10"/>
  <c r="G12" i="3" s="1"/>
  <c r="U15" i="10"/>
  <c r="G14" i="3" s="1"/>
  <c r="U29" i="10"/>
  <c r="G28" i="3" s="1"/>
  <c r="U7" i="10"/>
  <c r="G6" i="3" s="1"/>
  <c r="U18" i="10"/>
  <c r="G17" i="3" s="1"/>
  <c r="U11" i="10"/>
  <c r="G10" i="3" s="1"/>
  <c r="U36" i="10"/>
  <c r="G35" i="3" s="1"/>
  <c r="U23" i="10"/>
  <c r="G22" i="3" s="1"/>
  <c r="U2" i="10"/>
  <c r="U14" i="10"/>
  <c r="G13" i="3" s="1"/>
  <c r="E11" i="3"/>
  <c r="V12" i="10" s="1"/>
  <c r="F22" i="2"/>
  <c r="F21" i="2"/>
  <c r="U42" i="10" l="1"/>
  <c r="U43" i="10"/>
  <c r="U45" i="10" s="1"/>
  <c r="G9" i="3"/>
  <c r="H9" i="3" s="1"/>
  <c r="H24" i="3"/>
  <c r="H23" i="3"/>
  <c r="W13" i="10"/>
  <c r="W15" i="10"/>
  <c r="H21" i="3"/>
  <c r="W36" i="10"/>
  <c r="H35" i="3"/>
  <c r="W18" i="10"/>
  <c r="H17" i="3"/>
  <c r="D52" i="11"/>
  <c r="E52" i="11" s="1"/>
  <c r="D41" i="11"/>
  <c r="E40" i="11"/>
  <c r="A40" i="11" s="1"/>
  <c r="W8" i="10"/>
  <c r="H71" i="12"/>
  <c r="W37" i="10"/>
  <c r="H36" i="3"/>
  <c r="W7" i="10"/>
  <c r="E3" i="3"/>
  <c r="E10" i="3"/>
  <c r="V11" i="10" s="1"/>
  <c r="H6" i="3"/>
  <c r="H29" i="3"/>
  <c r="H27" i="3"/>
  <c r="H33" i="3"/>
  <c r="H25" i="3"/>
  <c r="H38" i="3"/>
  <c r="H16" i="3"/>
  <c r="H11" i="3"/>
  <c r="H12" i="3"/>
  <c r="W12" i="10"/>
  <c r="E13" i="3"/>
  <c r="W5" i="10"/>
  <c r="I50" i="4"/>
  <c r="N42" i="4"/>
  <c r="O43" i="4" s="1"/>
  <c r="N40" i="4"/>
  <c r="E38" i="4"/>
  <c r="N21" i="4"/>
  <c r="N23" i="4" s="1"/>
  <c r="N28" i="4" s="1"/>
  <c r="E10" i="4"/>
  <c r="R7" i="4"/>
  <c r="O6" i="4"/>
  <c r="A3" i="4"/>
  <c r="F2" i="4" s="1"/>
  <c r="D2" i="4" s="1"/>
  <c r="E22" i="3"/>
  <c r="V23" i="10" s="1"/>
  <c r="H13" i="3" l="1"/>
  <c r="V14" i="10"/>
  <c r="W14" i="10" s="1"/>
  <c r="H3" i="3"/>
  <c r="V4" i="10"/>
  <c r="H48" i="3"/>
  <c r="D53" i="11"/>
  <c r="E53" i="11" s="1"/>
  <c r="D43" i="11"/>
  <c r="D45" i="11" s="1"/>
  <c r="D48" i="11" s="1"/>
  <c r="E41" i="11"/>
  <c r="E43" i="11" s="1"/>
  <c r="D3" i="4"/>
  <c r="F3" i="4" s="1"/>
  <c r="F5" i="4" s="1"/>
  <c r="H7" i="3"/>
  <c r="H14" i="3"/>
  <c r="H28" i="3"/>
  <c r="H22" i="3"/>
  <c r="W11" i="10"/>
  <c r="H10" i="3"/>
  <c r="W23" i="10"/>
  <c r="W25" i="10"/>
  <c r="W29" i="10"/>
  <c r="W30" i="10"/>
  <c r="W34" i="10"/>
  <c r="W28" i="10"/>
  <c r="W10" i="10"/>
  <c r="N43" i="4"/>
  <c r="N44" i="4" s="1"/>
  <c r="Q23" i="4"/>
  <c r="Q26" i="4" s="1"/>
  <c r="Q29" i="4" s="1"/>
  <c r="P28" i="4"/>
  <c r="O40" i="4"/>
  <c r="W4" i="10" l="1"/>
  <c r="E45" i="11"/>
  <c r="A41" i="11"/>
  <c r="C31" i="4"/>
  <c r="E31" i="4" s="1"/>
  <c r="E44" i="3"/>
  <c r="I14" i="4"/>
  <c r="H5" i="4"/>
  <c r="C14" i="4"/>
  <c r="E14" i="4" s="1"/>
  <c r="I20" i="4"/>
  <c r="I15" i="4"/>
  <c r="C20" i="4"/>
  <c r="E20" i="4" s="1"/>
  <c r="I12" i="4"/>
  <c r="I18" i="4"/>
  <c r="I16" i="4"/>
  <c r="I19" i="4"/>
  <c r="I10" i="4"/>
  <c r="I9" i="4"/>
  <c r="C24" i="4"/>
  <c r="C16" i="4"/>
  <c r="E16" i="4" s="1"/>
  <c r="C9" i="4"/>
  <c r="E9" i="4" s="1"/>
  <c r="I22" i="4"/>
  <c r="C15" i="4"/>
  <c r="E15" i="4" s="1"/>
  <c r="I8" i="4"/>
  <c r="E48" i="11" l="1"/>
  <c r="D46" i="11"/>
  <c r="C46" i="11"/>
  <c r="C26" i="4"/>
  <c r="E26" i="4" s="1"/>
  <c r="E24" i="4"/>
  <c r="I28" i="4"/>
  <c r="E48" i="4" l="1"/>
  <c r="I30" i="4"/>
  <c r="E50" i="4"/>
  <c r="B48" i="4"/>
  <c r="E28" i="4"/>
  <c r="F28" i="4" s="1"/>
  <c r="E53" i="4"/>
  <c r="E52" i="4"/>
  <c r="E34" i="4" l="1"/>
  <c r="E36" i="4" s="1"/>
  <c r="C37" i="4"/>
  <c r="E37" i="4" s="1"/>
  <c r="E39" i="4" s="1"/>
  <c r="I39" i="4" l="1"/>
  <c r="G48" i="4"/>
  <c r="E44" i="4"/>
  <c r="W24" i="10" l="1"/>
  <c r="E45" i="3" l="1"/>
  <c r="C50" i="3" l="1"/>
  <c r="E48" i="3"/>
  <c r="V2" i="10" l="1"/>
  <c r="B79" i="12"/>
  <c r="C79" i="12" s="1"/>
  <c r="L4" i="3"/>
  <c r="L3" i="3" s="1"/>
  <c r="D45" i="16"/>
  <c r="C52" i="3"/>
  <c r="V43" i="10" l="1"/>
  <c r="W2" i="10"/>
  <c r="W43" i="10" s="1"/>
  <c r="C78" i="12"/>
  <c r="E18" i="3"/>
  <c r="V19" i="10" l="1"/>
  <c r="H18" i="3"/>
  <c r="W19" i="10" l="1"/>
  <c r="E36" i="16"/>
  <c r="E18" i="16"/>
  <c r="E28" i="16"/>
  <c r="E40" i="16"/>
  <c r="E12" i="16" l="1"/>
  <c r="E42" i="16"/>
  <c r="E27" i="16"/>
  <c r="E35" i="16"/>
  <c r="E17" i="16"/>
  <c r="E23" i="16"/>
  <c r="E39" i="16"/>
  <c r="E31" i="16"/>
  <c r="E20" i="16"/>
  <c r="E16" i="16"/>
  <c r="E14" i="16"/>
  <c r="E41" i="16"/>
  <c r="E29" i="16"/>
  <c r="E21" i="16"/>
  <c r="E37" i="16"/>
  <c r="E30" i="16"/>
  <c r="E38" i="16"/>
  <c r="E24" i="16"/>
  <c r="E25" i="16"/>
  <c r="E22" i="16"/>
  <c r="E11" i="16"/>
  <c r="E13" i="16"/>
  <c r="E34" i="16"/>
  <c r="E19" i="16"/>
  <c r="E15" i="16"/>
  <c r="E26" i="16"/>
  <c r="E33" i="16"/>
  <c r="D43" i="16"/>
  <c r="C43" i="16"/>
  <c r="C45" i="16" s="1"/>
  <c r="F47" i="16" s="1"/>
  <c r="E43" i="16" l="1"/>
  <c r="F43" i="16"/>
  <c r="E47" i="16"/>
  <c r="E45" i="16"/>
  <c r="E30" i="3"/>
  <c r="V31" i="10" s="1"/>
  <c r="V42" i="10" s="1"/>
  <c r="V45" i="10" s="1"/>
  <c r="H30" i="3"/>
  <c r="W31" i="10" l="1"/>
  <c r="W42" i="10" s="1"/>
  <c r="W45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THIAW CECILE</author>
    <author>tc={668C6DBA-B556-804C-A985-0442776B312A}</author>
  </authors>
  <commentList>
    <comment ref="K5" authorId="0" shapeId="0" xr:uid="{9E5C091B-A214-F24A-BF34-3AE700F79718}">
      <text>
        <r>
          <rPr>
            <b/>
            <sz val="9"/>
            <color rgb="FF000000"/>
            <rFont val="Tahoma"/>
            <family val="2"/>
          </rPr>
          <t>THIAW CECILE: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AO2 : 50% (2)
</t>
        </r>
      </text>
    </comment>
    <comment ref="I7" authorId="0" shapeId="0" xr:uid="{642D3CC6-13C8-4F36-B992-3A43D40C5D84}">
      <text>
        <r>
          <rPr>
            <b/>
            <sz val="9"/>
            <color rgb="FF000000"/>
            <rFont val="Tahoma"/>
            <family val="2"/>
          </rPr>
          <t>THIAW CECILE: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20%Reusup + AOR</t>
        </r>
      </text>
    </comment>
    <comment ref="J8" authorId="0" shapeId="0" xr:uid="{8C7141FD-4A38-A54E-84CC-741FE198C562}">
      <text>
        <r>
          <rPr>
            <b/>
            <sz val="9"/>
            <color rgb="FF000000"/>
            <rFont val="Tahoma"/>
            <family val="2"/>
          </rPr>
          <t>THIAW CECILE</t>
        </r>
        <r>
          <rPr>
            <sz val="9"/>
            <color rgb="FF000000"/>
            <rFont val="Tahoma"/>
            <family val="2"/>
          </rPr>
          <t>- avoir moecas</t>
        </r>
      </text>
    </comment>
    <comment ref="K26" authorId="1" shapeId="0" xr:uid="{668C6DBA-B556-804C-A985-0442776B31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FAIT ET ENVOYÉ AU CLIENT LE 22/09/2025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Administration</author>
  </authors>
  <commentList>
    <comment ref="D17" authorId="0" shapeId="0" xr:uid="{E2B0056A-311A-D74B-8A67-3C011A1A66F5}">
      <text>
        <r>
          <rPr>
            <b/>
            <sz val="10"/>
            <color rgb="FF000000"/>
            <rFont val="Tahoma"/>
            <family val="2"/>
          </rPr>
          <t>Administration: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ticket à 15,901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<sst xmlns="http://schemas.openxmlformats.org/spreadsheetml/2006/main" count="17462" uniqueCount="707">
  <si>
    <t>HT</t>
  </si>
  <si>
    <t>TVA</t>
  </si>
  <si>
    <t>TTC</t>
  </si>
  <si>
    <t>contrat initial</t>
  </si>
  <si>
    <t>Montant restant à facturer</t>
  </si>
  <si>
    <t>EN VERT</t>
  </si>
  <si>
    <t>CE QUI EST FACTURÉ</t>
  </si>
  <si>
    <t>EN ROUGE</t>
  </si>
  <si>
    <t>CE QUI VA ÊTRE FACTURÉ</t>
  </si>
  <si>
    <t>CE QUI EST FACTURÉ MAIS NE VEUT PAS ÊTRE PAYÉ PAR LE CLIENT</t>
  </si>
  <si>
    <t>PROSPECTS</t>
  </si>
  <si>
    <t>pondération</t>
  </si>
  <si>
    <t>Sous total prospect</t>
  </si>
  <si>
    <t>Prospects</t>
  </si>
  <si>
    <t>salaire net</t>
  </si>
  <si>
    <t>Rémunération</t>
  </si>
  <si>
    <t>Charges</t>
  </si>
  <si>
    <t>Prévoyance (Madelin)</t>
  </si>
  <si>
    <t>Jour / an</t>
  </si>
  <si>
    <t>Assurance PRO</t>
  </si>
  <si>
    <t>Cotisation Ordre Archi</t>
  </si>
  <si>
    <t>CFE</t>
  </si>
  <si>
    <t>Protection Juridique</t>
  </si>
  <si>
    <t>Restaurant</t>
  </si>
  <si>
    <t>Frais postaux</t>
  </si>
  <si>
    <t>Abonnement compte Bancaire</t>
  </si>
  <si>
    <t>Site internet + WIX + commercial</t>
  </si>
  <si>
    <t>Téléphone</t>
  </si>
  <si>
    <t>Comptable</t>
  </si>
  <si>
    <t>IK</t>
  </si>
  <si>
    <t>CESU</t>
  </si>
  <si>
    <t>IS</t>
  </si>
  <si>
    <t>Année N</t>
  </si>
  <si>
    <t xml:space="preserve"> Ventes Encaissées</t>
  </si>
  <si>
    <t>Ventes à venir</t>
  </si>
  <si>
    <t>Total vente</t>
  </si>
  <si>
    <t>coef</t>
  </si>
  <si>
    <t>valeur du point</t>
  </si>
  <si>
    <t>PPMS 2020</t>
  </si>
  <si>
    <t>salaire de base</t>
  </si>
  <si>
    <t>Brut annuel</t>
  </si>
  <si>
    <t>salaire brut</t>
  </si>
  <si>
    <t>sur 12 mois</t>
  </si>
  <si>
    <t>Santé</t>
  </si>
  <si>
    <t>Sécurité sociale</t>
  </si>
  <si>
    <t>Complémentaire prévoyance</t>
  </si>
  <si>
    <t>Complémentaire santé</t>
  </si>
  <si>
    <t xml:space="preserve">Accident du travail et maladie professionnelles </t>
  </si>
  <si>
    <t>Retraite</t>
  </si>
  <si>
    <t>sécurité social plafonnée</t>
  </si>
  <si>
    <t>sécurité social non plafonnée</t>
  </si>
  <si>
    <t>Complémentaire Tranche 01</t>
  </si>
  <si>
    <t>Famille</t>
  </si>
  <si>
    <t>Assurance chômage</t>
  </si>
  <si>
    <t>APEC</t>
  </si>
  <si>
    <t>Cot statutaires ou prévues par la conv. Coll</t>
  </si>
  <si>
    <t>CSG déduct. IR</t>
  </si>
  <si>
    <t>CSG/CRDS non déduct. IR</t>
  </si>
  <si>
    <t>total cotisation</t>
  </si>
  <si>
    <t>Charges Salariales</t>
  </si>
  <si>
    <t>Patronnales</t>
  </si>
  <si>
    <t>Exonération cotisation HC/HS</t>
  </si>
  <si>
    <t>Réintégration fiscale</t>
  </si>
  <si>
    <t>?</t>
  </si>
  <si>
    <t>net y compris CDG non déductible + CRDS non déductibre et part partonnale de la mutuelle</t>
  </si>
  <si>
    <t>Total Dû</t>
  </si>
  <si>
    <t>Net à payer avant IR</t>
  </si>
  <si>
    <t>prélevement à la source</t>
  </si>
  <si>
    <t>heures / semaine</t>
  </si>
  <si>
    <t>/h</t>
  </si>
  <si>
    <t>semaines</t>
  </si>
  <si>
    <t>Net à payer</t>
  </si>
  <si>
    <t>heures</t>
  </si>
  <si>
    <t>/mois net</t>
  </si>
  <si>
    <t>charges brutes totales salariale</t>
  </si>
  <si>
    <t>Octobre</t>
  </si>
  <si>
    <t>Novembre</t>
  </si>
  <si>
    <t>Décembre</t>
  </si>
  <si>
    <t>Archicad mise à jour</t>
  </si>
  <si>
    <t>Janvier</t>
  </si>
  <si>
    <t>Février</t>
  </si>
  <si>
    <t>Mars</t>
  </si>
  <si>
    <t>Avril</t>
  </si>
  <si>
    <t>Mai</t>
  </si>
  <si>
    <t>Juin</t>
  </si>
  <si>
    <t>CE QUI EST PAYÉ</t>
  </si>
  <si>
    <t>Septembre</t>
  </si>
  <si>
    <t>EN BLEU</t>
  </si>
  <si>
    <t>Impayés</t>
  </si>
  <si>
    <t>PER - GALYA - GAN Assurance</t>
  </si>
  <si>
    <t>faisa - maison assos</t>
  </si>
  <si>
    <t>faisa - atelier municipaux</t>
  </si>
  <si>
    <t>PROSPECT - N</t>
  </si>
  <si>
    <t>PROSPECT - N+1</t>
  </si>
  <si>
    <t>JULLIEN</t>
  </si>
  <si>
    <t>BONNEFOUS</t>
  </si>
  <si>
    <t>Taux de productivité</t>
  </si>
  <si>
    <t>Journée</t>
  </si>
  <si>
    <t>Objectif N4</t>
  </si>
  <si>
    <t>STRIPE</t>
  </si>
  <si>
    <t>Aout</t>
  </si>
  <si>
    <t>Juillet</t>
  </si>
  <si>
    <t>C23001/2</t>
  </si>
  <si>
    <t>LAULT-MONCOMBLE</t>
  </si>
  <si>
    <t>C24007</t>
  </si>
  <si>
    <t>BEGOU</t>
  </si>
  <si>
    <t>M24001</t>
  </si>
  <si>
    <t>RIVIERE</t>
  </si>
  <si>
    <t>CA HT 2025</t>
  </si>
  <si>
    <t>Sous-traitance</t>
  </si>
  <si>
    <t>Montant facturé (en cours)</t>
  </si>
  <si>
    <t>Assistante administrative</t>
  </si>
  <si>
    <t>DUCASSE</t>
  </si>
  <si>
    <t>MAURI</t>
  </si>
  <si>
    <t>Facturation de l'année HT</t>
  </si>
  <si>
    <t>marge</t>
  </si>
  <si>
    <t>M24002</t>
  </si>
  <si>
    <t>M24003</t>
  </si>
  <si>
    <t>C24005</t>
  </si>
  <si>
    <t>M24006</t>
  </si>
  <si>
    <t>M24007</t>
  </si>
  <si>
    <t>M24008</t>
  </si>
  <si>
    <t>M24010</t>
  </si>
  <si>
    <t>BENECH</t>
  </si>
  <si>
    <t>M24009</t>
  </si>
  <si>
    <t>MARGE NET</t>
  </si>
  <si>
    <t>PROGRESSION CA</t>
  </si>
  <si>
    <t>M24011</t>
  </si>
  <si>
    <t>M24012</t>
  </si>
  <si>
    <t>Date</t>
  </si>
  <si>
    <t>Date de valeur</t>
  </si>
  <si>
    <t>Débit</t>
  </si>
  <si>
    <t>Crédit</t>
  </si>
  <si>
    <t>Libellé</t>
  </si>
  <si>
    <t>TRI</t>
  </si>
  <si>
    <t>TOTAL</t>
  </si>
  <si>
    <t>PREVI</t>
  </si>
  <si>
    <t>ECART</t>
  </si>
  <si>
    <t>ADMIN</t>
  </si>
  <si>
    <t>VENTE</t>
  </si>
  <si>
    <t>Ventes</t>
  </si>
  <si>
    <t>REM</t>
  </si>
  <si>
    <t>URSSAF</t>
  </si>
  <si>
    <t>OA</t>
  </si>
  <si>
    <t>PREV</t>
  </si>
  <si>
    <t>SMABTP</t>
  </si>
  <si>
    <t>COMPTA</t>
  </si>
  <si>
    <t>PJ</t>
  </si>
  <si>
    <t>RESTO</t>
  </si>
  <si>
    <t>TEL</t>
  </si>
  <si>
    <t>SST</t>
  </si>
  <si>
    <t>INFORMATIQUE</t>
  </si>
  <si>
    <t>DIVERS</t>
  </si>
  <si>
    <t>A - frais généraux</t>
  </si>
  <si>
    <t>B - Salaires</t>
  </si>
  <si>
    <t>Charges Fixes (A+B)</t>
  </si>
  <si>
    <t xml:space="preserve">C - Charges variables </t>
  </si>
  <si>
    <t>PER</t>
  </si>
  <si>
    <t>FOURN</t>
  </si>
  <si>
    <t>POSTE</t>
  </si>
  <si>
    <t>SITE</t>
  </si>
  <si>
    <t>Informatique (LOGICIEL)</t>
  </si>
  <si>
    <t>Banque</t>
  </si>
  <si>
    <t>Site internet</t>
  </si>
  <si>
    <t>AO</t>
  </si>
  <si>
    <t>INFO MATOS</t>
  </si>
  <si>
    <t>LOGICIEL</t>
  </si>
  <si>
    <t>BANQUE</t>
  </si>
  <si>
    <t>Fournitures (BUREAU)</t>
  </si>
  <si>
    <t>Divers (TOUT LE RESTE)</t>
  </si>
  <si>
    <t>ASSOS</t>
  </si>
  <si>
    <t>Association / club entreprise</t>
  </si>
  <si>
    <t>RECOUV</t>
  </si>
  <si>
    <t>Recouvrement</t>
  </si>
  <si>
    <t>ÉCART (TTC)</t>
  </si>
  <si>
    <t>TOTAUX (TTC)</t>
  </si>
  <si>
    <t>OBJECTIF CA HT</t>
  </si>
  <si>
    <t>Informatique (MATOS) / 3 ans</t>
  </si>
  <si>
    <t>Total dépenses (A+B+C)</t>
  </si>
  <si>
    <t>DELORT</t>
  </si>
  <si>
    <t xml:space="preserve">COJOCARU </t>
  </si>
  <si>
    <t>NOUGARET</t>
  </si>
  <si>
    <t>CONZATO</t>
  </si>
  <si>
    <t xml:space="preserve">BACHELEY </t>
  </si>
  <si>
    <t xml:space="preserve">DU ROY </t>
  </si>
  <si>
    <t>Mutuelle</t>
  </si>
  <si>
    <t>EN JAUNE</t>
  </si>
  <si>
    <t>MAR</t>
  </si>
  <si>
    <t>ARCHI</t>
  </si>
  <si>
    <t>C22015/3</t>
  </si>
  <si>
    <t>M24013</t>
  </si>
  <si>
    <t>MORETTIN</t>
  </si>
  <si>
    <t>ARCHICAD</t>
  </si>
  <si>
    <t>EPARGNE</t>
  </si>
  <si>
    <t>FORMATION</t>
  </si>
  <si>
    <t>Formation</t>
  </si>
  <si>
    <t>CA MAR 2025</t>
  </si>
  <si>
    <t>M24014</t>
  </si>
  <si>
    <t>GABRIELLI</t>
  </si>
  <si>
    <t>C23004/2</t>
  </si>
  <si>
    <t>2021-22</t>
  </si>
  <si>
    <t>2022-23</t>
  </si>
  <si>
    <t>2023-24</t>
  </si>
  <si>
    <t>Date signature</t>
  </si>
  <si>
    <t>2025 CA à déclarer</t>
  </si>
  <si>
    <t>RÉCAPITULATIF</t>
  </si>
  <si>
    <t>excercice 
en cours</t>
  </si>
  <si>
    <t>BUREAU</t>
  </si>
  <si>
    <t>par mois</t>
  </si>
  <si>
    <t>2024-25</t>
  </si>
  <si>
    <t>2025-26</t>
  </si>
  <si>
    <t>par an</t>
  </si>
  <si>
    <t>Koalandar</t>
  </si>
  <si>
    <t>Marius</t>
  </si>
  <si>
    <t>Archicad</t>
  </si>
  <si>
    <t>Henrri</t>
  </si>
  <si>
    <t>ILovePDF</t>
  </si>
  <si>
    <t>TOTAL / mois</t>
  </si>
  <si>
    <t>TOTAL / an</t>
  </si>
  <si>
    <t>Optimizpress</t>
  </si>
  <si>
    <t>O2Switch</t>
  </si>
  <si>
    <t>Microsoft</t>
  </si>
  <si>
    <t>ChatGPT</t>
  </si>
  <si>
    <t>Photoshop</t>
  </si>
  <si>
    <t>Wix</t>
  </si>
  <si>
    <t>LOGICIEL ABONNEMENT HT</t>
  </si>
  <si>
    <t>Honoraires/h/HT</t>
  </si>
  <si>
    <t>M25003</t>
  </si>
  <si>
    <t>PENCHENAT</t>
  </si>
  <si>
    <t>SAS EVA MOTOR</t>
  </si>
  <si>
    <t>C25003</t>
  </si>
  <si>
    <t>CANIAC</t>
  </si>
  <si>
    <t>M25004</t>
  </si>
  <si>
    <t>M25005</t>
  </si>
  <si>
    <t>POMERY</t>
  </si>
  <si>
    <t>M25007</t>
  </si>
  <si>
    <t>M25008</t>
  </si>
  <si>
    <t>HENRY</t>
  </si>
  <si>
    <t>GUILLARD</t>
  </si>
  <si>
    <t>ANNEE N5</t>
  </si>
  <si>
    <t>2026 CA à déclarer</t>
  </si>
  <si>
    <t>ICF ATLANTIQUE</t>
  </si>
  <si>
    <t>C24004/2</t>
  </si>
  <si>
    <t>MEVEL</t>
  </si>
  <si>
    <t>Encaissé en N-</t>
  </si>
  <si>
    <t>Annie</t>
  </si>
  <si>
    <t>Prévisionnel année N</t>
  </si>
  <si>
    <t>Electricité</t>
  </si>
  <si>
    <t>La fibre</t>
  </si>
  <si>
    <t>NET</t>
  </si>
  <si>
    <t>Eau</t>
  </si>
  <si>
    <t>Location bureau + charges</t>
  </si>
  <si>
    <t>Assurance du local</t>
  </si>
  <si>
    <t>D - Bureaux</t>
  </si>
  <si>
    <t>Total dépenses (A+B+C+D)</t>
  </si>
  <si>
    <t>RÉEL TTC</t>
  </si>
  <si>
    <t>PRÉVISIONNEL HT</t>
  </si>
  <si>
    <t>Dessinateur</t>
  </si>
  <si>
    <t>Graphisoft</t>
  </si>
  <si>
    <t>CA 2023</t>
  </si>
  <si>
    <t>CA 2024</t>
  </si>
  <si>
    <t>CA 2025</t>
  </si>
  <si>
    <t>janv/juin</t>
  </si>
  <si>
    <t>juil/dec</t>
  </si>
  <si>
    <t>Année</t>
  </si>
  <si>
    <t>CA MAR 2026</t>
  </si>
  <si>
    <t>CA HT 2026</t>
  </si>
  <si>
    <t>CA 2026</t>
  </si>
  <si>
    <t>CA 2022</t>
  </si>
  <si>
    <t>CA 2021</t>
  </si>
  <si>
    <t xml:space="preserve"> Facturé en N</t>
  </si>
  <si>
    <t>à facturer</t>
  </si>
  <si>
    <t>N25-07-70</t>
  </si>
  <si>
    <t>Lisa MAURI</t>
  </si>
  <si>
    <t>N25-07-71</t>
  </si>
  <si>
    <t>N25-07-73</t>
  </si>
  <si>
    <t>N25-07-72</t>
  </si>
  <si>
    <t>THOURAUD</t>
  </si>
  <si>
    <t>M25009</t>
  </si>
  <si>
    <t>Rentabilité</t>
  </si>
  <si>
    <t>mois de travail/an</t>
  </si>
  <si>
    <t>heure productive/mois</t>
  </si>
  <si>
    <t>HT/jour</t>
  </si>
  <si>
    <t>Lundi</t>
  </si>
  <si>
    <t>Mardi</t>
  </si>
  <si>
    <t>Mercredi</t>
  </si>
  <si>
    <t>Jeudi</t>
  </si>
  <si>
    <t>Vendredi</t>
  </si>
  <si>
    <t>9h00</t>
  </si>
  <si>
    <t>17h30</t>
  </si>
  <si>
    <t>14h30</t>
  </si>
  <si>
    <t>13h30</t>
  </si>
  <si>
    <t>18h30</t>
  </si>
  <si>
    <t>11h00</t>
  </si>
  <si>
    <t>15h30</t>
  </si>
  <si>
    <t>taux de production</t>
  </si>
  <si>
    <t>Architecte - chef d'agence - gérant</t>
  </si>
  <si>
    <t>jour/mois</t>
  </si>
  <si>
    <t>mois</t>
  </si>
  <si>
    <t>jours</t>
  </si>
  <si>
    <t>MARGE</t>
  </si>
  <si>
    <t>CA BRUT</t>
  </si>
  <si>
    <t>CA NET</t>
  </si>
  <si>
    <t>SAS MOECAS</t>
  </si>
  <si>
    <t>C25004/1</t>
  </si>
  <si>
    <t>heures/mois</t>
  </si>
  <si>
    <t>jour/an</t>
  </si>
  <si>
    <t>Jour/mois</t>
  </si>
  <si>
    <t>Taux journalier facturé</t>
  </si>
  <si>
    <t>N25-07-74</t>
  </si>
  <si>
    <t>N25-08-75</t>
  </si>
  <si>
    <t>MODOL</t>
  </si>
  <si>
    <t>Stripe</t>
  </si>
  <si>
    <t>N25-08-76</t>
  </si>
  <si>
    <t>LD2A</t>
  </si>
  <si>
    <t>BRENGER</t>
  </si>
  <si>
    <t>Gabriel</t>
  </si>
  <si>
    <t>Montant contrat signé à facturer en N</t>
  </si>
  <si>
    <t>Dessinateur - sous-traitance</t>
  </si>
  <si>
    <t>N25-09-77</t>
  </si>
  <si>
    <t>N25-09-78</t>
  </si>
  <si>
    <t>N25-09-79</t>
  </si>
  <si>
    <t>M25010</t>
  </si>
  <si>
    <t>N25-09-80</t>
  </si>
  <si>
    <t>Lilian</t>
  </si>
  <si>
    <t>Sabine</t>
  </si>
  <si>
    <t>totaux</t>
  </si>
  <si>
    <t>B - frais du dirigeant</t>
  </si>
  <si>
    <t>ABONNEMENT</t>
  </si>
  <si>
    <t>Abonnements divers (info)</t>
  </si>
  <si>
    <t>N25-09-81</t>
  </si>
  <si>
    <t>N25-09-82</t>
  </si>
  <si>
    <t>ICF ATLANTIQUE SA D'HLM</t>
  </si>
  <si>
    <t>N25-09-83</t>
  </si>
  <si>
    <t>POULAIN</t>
  </si>
  <si>
    <t>PAIEMENT PSC 2706 VILLENEUVE-LE - CANTINE ET GAME  CARTE 2515</t>
  </si>
  <si>
    <t>VIR SEPA REMUNERATION SL - I27V25182L000440</t>
  </si>
  <si>
    <t>VIR SEPA REMUNERATION SL - I27V25182L000439</t>
  </si>
  <si>
    <t>VIR ICF ATLANTIQUE SA HLM - CF ATLANTIQUE SA HLM - VIRATL361838</t>
  </si>
  <si>
    <t>VIR FACTURE F25060011</t>
  </si>
  <si>
    <t>VIR FAC00021</t>
  </si>
  <si>
    <t>PAIEMENT CB  3006 31450 DONNEVI - ABONNEMENT* MARI CARTE 2515</t>
  </si>
  <si>
    <t>PAIEMENT CB  0107 MONTECH - LA PLACE         CARTE 2515</t>
  </si>
  <si>
    <t>VIR ACOMPTE D'IK 2024-2025</t>
  </si>
  <si>
    <t>PRLV SEPA VISEEON - STR16NASBUMT9AFROGT4VRAN7X7STXYEMA - ICS : FR46ZZZ8A31D9 - RUM : AMAHKI4QFAA647WA</t>
  </si>
  <si>
    <t>RLV SEPA URSSAF MIDI PYRENEES - URSSAF MIDI PYRENEES - ICS : FR10ZZZ113417 - RUM : 031077PI120240514000235R008851183</t>
  </si>
  <si>
    <t>PRLV SEPA SWISSLIFE PREVOYANCE - SWISSLIFE PREVOYANCE ET SANTE - ICS : FR92ZZZ152099 - RUM : BB-21-2041243327</t>
  </si>
  <si>
    <t>VIR INST M. BEGUE GABRIEL OU MM - M. BEGUE GABRIEL OU MME MAURI LI - VIREMENT DE M. BEGUE GABRIEL OU MME MAURI LI</t>
  </si>
  <si>
    <t>PAIEMENT PSC 0407 82 MONTAUBAN - REG STATION PAYA CARTE 2515</t>
  </si>
  <si>
    <t>PAIEMENT PSC 0407 FENOUILLET - BAC TOULOUSE     CARTE 2515</t>
  </si>
  <si>
    <t>PAIEMENT PSC 0507 31 TOULOUSE - TISSEO-REGIE AUT CARTE 2515</t>
  </si>
  <si>
    <t>FACT SGT25005280648417 - DONT TVA 2,66EUR</t>
  </si>
  <si>
    <t>PRLV SEPA GPJ - PARIS - 0008221000015452803884 - ICS : FR74ZZZ293946 - RUM : MS53GPJ00082210000154501</t>
  </si>
  <si>
    <t>PRLV SEPA SMABTP SMABTP - 8 RUE LOUIS ARMAND  75015 PARIS - SMABTP/CLIH57902N/2025-389777/PRELEVEMENT - MENSUEL/MANDAT : H57902N100001</t>
  </si>
  <si>
    <t>PAIEMENT CB  0907 MONTRABE - PRINTSHOT        PAYWEB2515</t>
  </si>
  <si>
    <t>PRLV SEPA DGFIP - RCM-072025-2777 - 220310720700138370799 - ICS : FR46ZZZ005002 - RUM : NN899267777DGFIP2023223904LKL6DP4I</t>
  </si>
  <si>
    <t>RETRO  FACT SGT25005280548298 - OPE DU   22/05/25. TVA   0,00 %</t>
  </si>
  <si>
    <t>PAIEMENT PSC 1507 GRENADE - INTERMARCHE      CARTE 2515</t>
  </si>
  <si>
    <t>PRLV SEPA BOUYGUES TELECOM - 20000143390725 - ICS : FR35ZZZ418323 - RUM : BT166003NDQ15</t>
  </si>
  <si>
    <t>PAIEMENT PSC 1907 BLAGNAC CEDEX - E.LECLERC        CARTE 2515</t>
  </si>
  <si>
    <t>PRLV SEPA DGFIP - TVA1-072025-3310CA3 - 220310720800115531611 - ICS : FR46ZZZ005002 - RUM : NN899267777DGFIP2023223904LKL6DP4I</t>
  </si>
  <si>
    <t>VIR STRIPE TECHNOLOGY EUROPE  - STRIPE TECHNOLOGY EUROPE LTD - STRIPE Q8O9F9 - 10057-13-25205618007854</t>
  </si>
  <si>
    <t>PAIEMENT CB 2307 LUXEMBOURG  - PAYPAL *LEPALAIS CARTE 2515</t>
  </si>
  <si>
    <t>PRLV SEPA GGVIE - PERIN COL GEV - GGVIE - PERIN COL GEV/GALYA RETRAITE - NDIVIDUELLE/G7747383000000001 - BOSG7747383000000001GANSE0000741753</t>
  </si>
  <si>
    <t>PAIEMENT CB 2707 63000 CLERMON - O2SWITCH.FR CARTE 2515</t>
  </si>
  <si>
    <t>VIR INST MLE BEGOU CLAUDINE - FACTURE 25-07-72</t>
  </si>
  <si>
    <t>PAIEMENT PSC 2807 VILLENEUVE-LE - CANTINE ET GAME CARTE 2515</t>
  </si>
  <si>
    <t>VIR INST MR C. FORTES - MLE S. - MR C. FORTES - MLE S. THOURAUD - PROVISION MAR SOPHIE THOURAUD</t>
  </si>
  <si>
    <t>PAIEMENT CB 3007 LUXEMBOURG - PAYPAL *LTB CARTE 2515</t>
  </si>
  <si>
    <t xml:space="preserve">VIR AVOIR N° 25-07-71 MOECAS </t>
  </si>
  <si>
    <t>VIR SEPA REMUNERATION SL I27V25213L000436</t>
  </si>
  <si>
    <t>VIR SEPA REMUNERATION SL I27V25213L000435</t>
  </si>
  <si>
    <t>VIR 25AC07001 - DACOTA FACT 1/2</t>
  </si>
  <si>
    <t>PAIEMENT CB 0108 LUXEMBOURG PAYPAL *GROSBILL CARTE 2515</t>
  </si>
  <si>
    <t>PAIEMENT CB 0308 FRONTON CENTRAKOR CARTE 2515</t>
  </si>
  <si>
    <t>PAIEMENT CB 3107 31450 DONNEVI ABONNEMENT* MARI CARTE 2515</t>
  </si>
  <si>
    <t>PAIEMENT PSC 0208 ROQUES IKEA TOULOUSE CARTE 2515</t>
  </si>
  <si>
    <t>PRLV SEPA URSSAF MIDI PYRENEES TD677372507312104325328851183003983 UR 737000000186079505 AOUT25325328851183050825</t>
  </si>
  <si>
    <t>PRLV SEPA SWISSLIFE PREVOYANCE SIMVSCLI5POL01825525700230287226344 PRE-SWISSLIFE PS-202</t>
  </si>
  <si>
    <t>FACT SGT25005280744771 DONT TVA 39 66EUR</t>
  </si>
  <si>
    <t>PRLV SEPA GPJ 0008221000015452813790 00082210000154500002813790</t>
  </si>
  <si>
    <t>PRLV SEPA SMABTP SMABTP LGBCLIH57902NS1E2025P0000452597 SMABTP/CLIH57902N/2025-452597/PRELEVEMENT MENSUEL/MANDAT : H57902N1000</t>
  </si>
  <si>
    <t>VIR SIE COLOMIERS 120310720DAD843-2025 REMB  CREANCES IS - FAM/2024/899267777</t>
  </si>
  <si>
    <t>PAIEMENT CB 1308 PARIS KLARNA*PHOTOWALL CARTE 2515</t>
  </si>
  <si>
    <t>VIR INST DIVIDENDES SABINE 24-2 VU52274DM21BL501</t>
  </si>
  <si>
    <t>PRLV SEPA DGFIP 220310720800115532554 TVA1-082025-3310CA3</t>
  </si>
  <si>
    <t>PRLV SEPA BOUYGUES TELECOM 20000146490825 BOUYGUES TELECOM</t>
  </si>
  <si>
    <t>PRLV SEPA GGVIE - PERIN COL GEV BOSG7747383000000001GANSE0000764950 GGVIE - PERIN COL GEV/GALYA RETRAITE INDIVIDUELLE/G7747383000000001</t>
  </si>
  <si>
    <t>PRLV SEPA COMPAGNIE FIDUCIAIRE GTC0007098 - COMPAGNIE FIDUCIAIRE 30/07/2025 - GTC0007098 - FRAIS DEPARAMETRAGE DE DOSSIER (UNIQUEMENT</t>
  </si>
  <si>
    <t>VIR FACTURE F25070013</t>
  </si>
  <si>
    <t>VOLETMAT F 25 08 76 VU523923M45V8501</t>
  </si>
  <si>
    <t>PAIEMENT CB 2608 PAYLI2090401/ AMAZON EU SARL CARTE 2515</t>
  </si>
  <si>
    <t>VIR SEPA REMUNERATION SL I27V25244L000533</t>
  </si>
  <si>
    <t>VIR SEPA REMUNERATION SL I27V25244L000532</t>
  </si>
  <si>
    <t>PAIEMENT CB 3108 31450 DONNEVI ABONNEMENT* MARI CARTE 2515</t>
  </si>
  <si>
    <t>VIR LOCATION LOCAL + CAUTION</t>
  </si>
  <si>
    <t>PAIEMENT CB 0209 PAYLI2090401/ AMAZON EU SARL CARTE 2515</t>
  </si>
  <si>
    <t>PAIEMENT CB 0309 D01 YC43 DUBL OPENAI *CHATGPT CARTE 2515</t>
  </si>
  <si>
    <t>PRLV SEPA URSSAF MIDI PYRENEES TD677372509022141325338851183003992 UR 737000000186079505 SEPT25325338851183050925</t>
  </si>
  <si>
    <t>PRLV SEPA SWISSLIFE PREVOYANCE SIMVSCLI5POL01825525700240415412028 PRE-SWISSLIFE PS-202</t>
  </si>
  <si>
    <t>PAIEMENT PSC 0509 GRENADE DR BITZ CARTE 2515</t>
  </si>
  <si>
    <t>PAIEMENT PSC 0609 L UNION BUREAU VALLEE CARTE 2515</t>
  </si>
  <si>
    <t>VIR F25080015</t>
  </si>
  <si>
    <t>FACT SGT25005280838873 DONT TVA 2 66EUR</t>
  </si>
  <si>
    <t>PRLV SEPA GPJ 0008221000015452823767 00082210000154500002823767</t>
  </si>
  <si>
    <t>PRLV SEPA SMABTP SMABTP LGBCLIH57902NS1E2025P0000506238 SMABTP/CLIH57902N/2025-506238/PRELEVEMENT MENSUEL/MANDAT : H57902N1000</t>
  </si>
  <si>
    <t>VOLETMAT FAC 250776 DURAND VU52540L2GG2R101</t>
  </si>
  <si>
    <t>VIR INST MME BRENGER BEATRICE ACOMPTE 1 CONTRAT MAR</t>
  </si>
  <si>
    <t>VIR INST MR C  FORTES - MLE S  THOURAUD</t>
  </si>
  <si>
    <t>PAIEMENT CB 1209 PARIS KLARNA*PHOTOWALL CARTE 2515</t>
  </si>
  <si>
    <t>PAIEMENT CB 1509 PLAISIR IKEA CSC E COMM CARTE 2515</t>
  </si>
  <si>
    <t>PAIEMENT CB 1509 PARIS CEDEX 1 LA POSTE FR CARTE 2515</t>
  </si>
  <si>
    <t>PRLV SEPA BOUYGUES TELECOM 20000148650925 BOUYGUES TELECOM</t>
  </si>
  <si>
    <t>PAIEMENT PSC 1909 ST JORY SARL DELEUZE CARTE 2515</t>
  </si>
  <si>
    <t>PAIEMENT PSC 1909 31 TOULOUSE RR HORODATEURS CARTE 2515</t>
  </si>
  <si>
    <t>PAIEMENT CB 1909 LUXEMBOURG PAYPAL *LTB CARTE 2515</t>
  </si>
  <si>
    <t>PRLV SEPA GGVIE - PERIN COL GEV BOSG7747383000000001GANSE0000782003 GGVIE - PERIN COL GEV/GALYA RETRAITE INDIVIDUELLE/G7747383000000001</t>
  </si>
  <si>
    <t>PAIEMENT CB 2409 STRASBOURG LW*EASYTRANSAC2 CARTE 2515</t>
  </si>
  <si>
    <t>PAIEMENT PSC 2309 31 TOULOUSE RR HORODATEURS CARTE 2515</t>
  </si>
  <si>
    <t>PAIEMENT CB 2509 VILLEMUR SUR CARREFOUR EXPRES CARTE 2515</t>
  </si>
  <si>
    <t>VIR INST PIERRE-JEAN DUCASSE VIREMENT DE PIERRE-JEAN DUCASSE</t>
  </si>
  <si>
    <t>PAIEMENT PSC 2609 CASTELNAU D E GRES DES ENVIES CARTE 2515</t>
  </si>
  <si>
    <t>PAIEMENT CB 2909 ROUVIGNIES BELTA CARTE 2515</t>
  </si>
  <si>
    <t>PAIEMENT PSC 2909 MERVILLE INTERMARCHE CARTE 2515</t>
  </si>
  <si>
    <t>PAIEMENT CB 2909 33130 BEGLES HELLOASSO* BILLE CARTE 2515</t>
  </si>
  <si>
    <t>VIR SEPA LOYER BUREAU ST JORY I27V25274L000349</t>
  </si>
  <si>
    <t>PAIEMENT CB 3009 31450 DONNEVI ABONNEMENT* MARI CARTE 2515</t>
  </si>
  <si>
    <t>PAIEMENT PSC 3009 31 TOULOUSE RR HORODATEURS CARTE 2515</t>
  </si>
  <si>
    <t>PRLV SEPA URSSAF MIDI PYRENEES TD677372510012156325418851183003983 UR 737000000186079505 OCT 25325418851183061025</t>
  </si>
  <si>
    <t>PRLV SEPA SWISSLIFE PREVOYANCE SIMVSCLI5POL01825525700250307497263 PRE-SWISSLIFE PS-202</t>
  </si>
  <si>
    <t>PRLV SEPA FREE TELECOM FHD-1415279613 FREE HAUTDEBIT 1415279613</t>
  </si>
  <si>
    <t>PAIEMENT CB 0310 D01 YC43 DUBL OPENAI *CHATGPT CARTE 2515</t>
  </si>
  <si>
    <t>PAIEMENT PSC 0210 SAINT JORY LA MIE DE PAIN CARTE 2515</t>
  </si>
  <si>
    <t>PAIEMENT PSC 0310 ST JORY BISTROT REGENT CARTE 2515</t>
  </si>
  <si>
    <t>N25-10-84</t>
  </si>
  <si>
    <t>Prévoyance (Madelin) - Swisslife</t>
  </si>
  <si>
    <t>local + internet</t>
  </si>
  <si>
    <t>Divers : autoroute - resto - etc.</t>
  </si>
  <si>
    <t>total entrées mini par mois</t>
  </si>
  <si>
    <t>VIR F25060017 - THIAW</t>
  </si>
  <si>
    <t>Abonnement informatique</t>
  </si>
  <si>
    <t>Loyer + charges</t>
  </si>
  <si>
    <t>Sous-traitance Dessin</t>
  </si>
  <si>
    <t>CANTIER</t>
  </si>
  <si>
    <t>DEPLACEMENT</t>
  </si>
  <si>
    <t>Frais de déplacement</t>
  </si>
  <si>
    <t>Didier PENABAYRE</t>
  </si>
  <si>
    <t>Joël MODOL</t>
  </si>
  <si>
    <t>Bastien BALLY</t>
  </si>
  <si>
    <t>Olivier SCHREIBER</t>
  </si>
  <si>
    <t>PAIEMENT PSC 0710 TOULOUSE TABAC LA POINTE CARTE 2515 UIR082528100849408</t>
  </si>
  <si>
    <t>PAIEMENT PSC 0610 ST JORY BISTROT REGENT CARTE 2515 UIR082528002060930</t>
  </si>
  <si>
    <t>PAIEMENT PSC 0710 31 TOULOUSE RR HORODATEURS CARTE 2515 UIR082528102464475</t>
  </si>
  <si>
    <t>PRLV SEPA GPJ 00082210000154500002833922</t>
  </si>
  <si>
    <t>PRLV SEPA SMABTP SMABTP SMABTP/CLIH57902N/2025-564993/P</t>
  </si>
  <si>
    <t>FACT SGT25005280938960 DONT TVA 2,66EUR</t>
  </si>
  <si>
    <t>PAIEMENT PSC 0910 SAINT JORY LA MIE DE PAIN CARTE 2515 UIR082528300669293</t>
  </si>
  <si>
    <t>PAIEMENT PSC 1010 SAINT JORY O DEUX FRERES CARTE 2515 UIR082528602019856</t>
  </si>
  <si>
    <t>PAIEMENT PSC 0610 VEDENE CEDEX ASF, 2 PAIEMENTS CARTE 2515 UIR082528302314285</t>
  </si>
  <si>
    <t>PAIEMENT CB 1210 PARIS KLARNA*PHOTOWALL CARTE 2515 UIR082528601109307</t>
  </si>
  <si>
    <t>VIR FACTURE N° N° 25F09018</t>
  </si>
  <si>
    <t>VIR FACTURE N° N° 25F10022</t>
  </si>
  <si>
    <t>PAIEMENT PSC 1810 GRENADE SAS BAZAR STOR CARTE 2515 UIR082529303928762</t>
  </si>
  <si>
    <t>PRLV SEPA BOUYGUES TELECOM</t>
  </si>
  <si>
    <t>PAIEMENT PSC 2110 31 TOULOUSE RR HORODATEURS CARTE 2515 UIR082529502294722</t>
  </si>
  <si>
    <t>REMBT C.A.T. 00020497310</t>
  </si>
  <si>
    <t>INTERETS C.A.T. 00020497310</t>
  </si>
  <si>
    <t>PRLV SEPA GGVIE - PERIN COL GEV GGVIE - PERIN COL GEV/GALYA RET</t>
  </si>
  <si>
    <t>PRLV SEPA COMPAGNIE FIDUCIAIRE 20/10/2025 - GTC0007302 - ACOMP</t>
  </si>
  <si>
    <t>FACTURE 251084 2/2 VU530039JTC6GM01</t>
  </si>
  <si>
    <t>RETRO FACT SGT25005280744771 OPE DU 15/07/25. TVA 20,00 %</t>
  </si>
  <si>
    <t>VIR INST MADAME ELSA SELLE VIREMENT DE MADAME ELSA SELLE 5302182106692068</t>
  </si>
  <si>
    <t>PAIEMENT PSC 2810 31 TOULOUSE RR HORODATEURS CARTE 2515 UIR082530202304721</t>
  </si>
  <si>
    <t>CHEQUE 4010151 R033-9616-00528</t>
  </si>
  <si>
    <t>VIR SEPA LOYER BUREAU ST JORY I27V25305L000447</t>
  </si>
  <si>
    <t>VIR SEPA REMUNERATION SABINE I27V25305L000429</t>
  </si>
  <si>
    <t>PAIEMENT CB 0311 D01 YC43 DUBL OPENAI *CHATGPT CARTE 2515 UIR082530708582642</t>
  </si>
  <si>
    <t>PAIEMENT CB 0211 31450 DONNEVI ABONNEMENT* MARI CARTE 2515 UIR082530706366790</t>
  </si>
  <si>
    <t>PRLV SEPA URSSAF MIDI PYRENEES UR 737000000186079505 NOV 25</t>
  </si>
  <si>
    <t>PRLV SEPA SWISSLIFE PREVOYANCE PRE-SWISSLIFE PS-202</t>
  </si>
  <si>
    <t>VIR HIGH CO DATA 40575039</t>
  </si>
  <si>
    <t>PAIEMENT PSC 0411 TOULOUSE BOWLING DE MONTA CARTE 2515 UIR082530900073515</t>
  </si>
  <si>
    <t>VIR PROV CHARGE LOCAL NOV 25</t>
  </si>
  <si>
    <t>VIR CHARGE LOCAL VOLETMAT 10/25</t>
  </si>
  <si>
    <t>PRLV SEPA FREE TELECOM FREE HAUTDEBIT 1422881254</t>
  </si>
  <si>
    <t>PAIEMENT CB 0511 METZ EASYPARK SARL CARTE 2515 UIR082531000816239</t>
  </si>
  <si>
    <t>PAIEMENT PSC 0411 31 TOULOUSE RR HORODATEURS CARTE 2515 UIR082530902407311</t>
  </si>
  <si>
    <t>VIR F02341 - CANIAC - JRG AUDIT</t>
  </si>
  <si>
    <t>VIR F02340 - PENCHENAT AUDIT</t>
  </si>
  <si>
    <t>VIR REMB INTERMARCHE 30/09/25</t>
  </si>
  <si>
    <t>VIR F25100019 CECILE THIAW OCT</t>
  </si>
  <si>
    <t>VIR COTIS REESO</t>
  </si>
  <si>
    <t>PRLV SEPA GPJ 00082210000154500002844490</t>
  </si>
  <si>
    <t>FACT SGT25005281034570 DONT TVA 2,66EUR</t>
  </si>
  <si>
    <t>RETRAIT DAB 0811 GRENADESURLAD SUPER U GRENADE CARTE 2515 UIR082531401131435</t>
  </si>
  <si>
    <t>FRAIS PAIE CB OP 238,80 USD UIR082531407093556</t>
  </si>
  <si>
    <t>PAIEMENT CB 0911 238,80 USD OPTIMIZEPRESS.CO CARTE 2515 UIR082531407093556</t>
  </si>
  <si>
    <t>PAIEMENT PSC 0711 SAINT-JORY GMVC CARTE 2515 UIR082531402206103</t>
  </si>
  <si>
    <t>PAIEMENT PSC 1011 SAINT JORY LA MIE DE PAIN CARTE 2515 UIR082531502334964</t>
  </si>
  <si>
    <t>PAIEMENT CB 1111 METZ EASYPARK SARL CARTE 2515 UIR082531600696808</t>
  </si>
  <si>
    <t>VIR STRIPE TECHNOLOGY EUROPE 10057-13-25317718007344</t>
  </si>
  <si>
    <t>PAIEMENT CB 1311 ST JORY BISTROT REGENT CARTE 2515 UIR082531800741149</t>
  </si>
  <si>
    <t>VIR STRIPE TECHNOLOGY EUROPE 10057-13-25321618007027</t>
  </si>
  <si>
    <t>PAIEMENT PSC 1411 SAINT-JORY GMVC CARTE 2515 UIR082532102064024</t>
  </si>
  <si>
    <t>PAIEMENT CB 1911 METZ EASYPARK SARL CARTE 2515 UIR082532400776174</t>
  </si>
  <si>
    <t>VIR STRIPE TECHNOLOGY EUROPE 10057-13-25325418003435</t>
  </si>
  <si>
    <t>PAIEMENT CB 2011 METZ EASYPARK SARL CARTE 2515 UIR082532500773079</t>
  </si>
  <si>
    <t>PAIEMENT PSC 2011 AUCAMVILLE PIZZERIA DI ROMA CARTE 2515 UIR082532500802222</t>
  </si>
  <si>
    <t>PAIEMENT PSC 2211 BLAGNAC CULTURA CARTE 2515 UIR082532804303022</t>
  </si>
  <si>
    <t>VIR INST MME BRENGER BEATRICE FACTURE 25 11 86 5331071703616116</t>
  </si>
  <si>
    <t>PAIEMENT CB 2611 EASYPARK.FR EASYPARK SARL CARTE 2515 UIR082533100067668</t>
  </si>
  <si>
    <t>DIVIDENDES</t>
  </si>
  <si>
    <t>Dividendes</t>
  </si>
  <si>
    <t>Mise en place de process</t>
  </si>
  <si>
    <t>C25005/1</t>
  </si>
  <si>
    <t>DE BEAUMONT</t>
  </si>
  <si>
    <t>N25-10-85</t>
  </si>
  <si>
    <t>SELLE</t>
  </si>
  <si>
    <t>N25-11-86</t>
  </si>
  <si>
    <t>N25-12-87</t>
  </si>
  <si>
    <t>N25-12-88</t>
  </si>
  <si>
    <t>N25-12-89</t>
  </si>
  <si>
    <t>BELLY</t>
  </si>
  <si>
    <t>N25-12-90</t>
  </si>
  <si>
    <t>PENABAYRE</t>
  </si>
  <si>
    <t>N25-12-91</t>
  </si>
  <si>
    <t>N25-12-92</t>
  </si>
  <si>
    <t>N25-12-93</t>
  </si>
  <si>
    <t>CA Encaissé</t>
  </si>
  <si>
    <t>VIR SEPA REMUNERATION SABINE I27V25335L000734</t>
  </si>
  <si>
    <t>VIR SEPA LOYER/CHARGE BUREAU ST I27V25335L000754</t>
  </si>
  <si>
    <t>PAIEMENT CB 2811 PAYLI2441535/ AMAZON PAYMENTS CARTE 2515 UIR082533502279381</t>
  </si>
  <si>
    <t>PAIEMENT PSC 2811 SAINT-JORY GMVC CARTE 2515 UIR082533502396825</t>
  </si>
  <si>
    <t>PAIEMENT CB 3011 PAYLI2441535/ AMAZON PAYMENTS CARTE 2515 UIR082533504863851</t>
  </si>
  <si>
    <t>PAIEMENT PSC 2711 SAINT JORY LA MIE DE PAIN CARTE 2515 UIR082533202545900</t>
  </si>
  <si>
    <t>PAIEMENT CB 3011 31450 DONNEVI ABONNEMENT* MARI CARTE 2515 UIR082533507995171</t>
  </si>
  <si>
    <t>PAIEMENT CB 2811 PAYLI2441535/ AMAZON PAYMENTS CARTE 2515 UIR082533508799434</t>
  </si>
  <si>
    <t>PAIEMENT CB 0312 D01 YC43 DUBL OPENAI *CHATGPT CARTE 2515 UIR082533703288943</t>
  </si>
  <si>
    <t>PAIEMENT CB 0312 BEGLES HELLO ASSO CARTE 2515 UIR082533801741883</t>
  </si>
  <si>
    <t>PRLV SEPA URSSAF MIDI PYRENEES UR 737000000186079505 DEC 25</t>
  </si>
  <si>
    <t>PRLV SEPA FREE TELECOM FREE HAUTDEBIT 1430459590</t>
  </si>
  <si>
    <t>PAIEMENT CB 0312 METZ EASYPARK SARL CARTE 2515 UIR082533802527490</t>
  </si>
  <si>
    <t>VIR INST MR C. FORTES - MLE S. THOURAUD 5342063148627279</t>
  </si>
  <si>
    <t>PRLV SEPA GPJ 00082210000154500002854894</t>
  </si>
  <si>
    <t>FACT SGT25005281128165 DONT TVA 2,66EUR</t>
  </si>
  <si>
    <t>F25 12 88 / DOSSIER 2505 VU53452442FEQE01</t>
  </si>
  <si>
    <t>F25 12 87 / 2506 DURAND VU5345246VU2VN01</t>
  </si>
  <si>
    <t>PAIEMENT CB 1012 METZ EASYPARK SARL CARTE 2515 UIR082534502223695</t>
  </si>
  <si>
    <t>PAIEMENT PSC 1612 TOULOUSE PIMP MY BURGER CARTE 2515 UIR082535100799369</t>
  </si>
  <si>
    <t>PAIEMENT CB 1512 92 COURBEVOIE INPI VADS CARTE 2515 UIR082535002489057</t>
  </si>
  <si>
    <t>PAIEMENT CB 1512 92 COURBEVOIE INPI VADS CARTE 2515 UIR082535002489058</t>
  </si>
  <si>
    <t>PAIEMENT PSC 1512 ST JORY BISTROT REGENT CARTE 2515 UIR082535002538864</t>
  </si>
  <si>
    <t>Frais de placement / parking/ asf</t>
  </si>
  <si>
    <t>Fournitures admin/ divers</t>
  </si>
  <si>
    <t>Téléphone + internet</t>
  </si>
  <si>
    <t>Loyer et charges locatives</t>
  </si>
  <si>
    <t>Abonnement logiciel (marius, henrri, etc)</t>
  </si>
  <si>
    <t>Frais de recouvrement (avocat)</t>
  </si>
  <si>
    <t>compte à terme (épargne)</t>
  </si>
  <si>
    <t>Club d'entreprises / syndicat / association</t>
  </si>
  <si>
    <t>Informatique investissement matos</t>
  </si>
  <si>
    <t>CCA</t>
  </si>
  <si>
    <t>Compte courant associé</t>
  </si>
  <si>
    <t>JURIDIQUE</t>
  </si>
  <si>
    <t>LISTE_TRI</t>
  </si>
  <si>
    <t>MOIS</t>
  </si>
  <si>
    <t>TOTAUX</t>
  </si>
  <si>
    <t>COMPARATIF BANQUE</t>
  </si>
  <si>
    <t>paiement de la TVA</t>
  </si>
  <si>
    <t>AVOIR</t>
  </si>
  <si>
    <t>Avoir</t>
  </si>
  <si>
    <t>Actes obligatoires société</t>
  </si>
  <si>
    <t>Fournisseur internet</t>
  </si>
  <si>
    <t>Sous-traitance - dessin / audit</t>
  </si>
  <si>
    <t>Paiement de la TVA</t>
  </si>
  <si>
    <t>inclassable</t>
  </si>
  <si>
    <t>PREVISIONNEL</t>
  </si>
  <si>
    <t>REEL</t>
  </si>
  <si>
    <t>Actes société obligatoires</t>
  </si>
  <si>
    <t>épargne société  - CAT</t>
  </si>
  <si>
    <t>parking - autoroute</t>
  </si>
  <si>
    <t>ASS BUREAU</t>
  </si>
  <si>
    <t>A - charges fixes</t>
  </si>
  <si>
    <t>Abonnement logiciel</t>
  </si>
  <si>
    <t>Investissement équipement</t>
  </si>
  <si>
    <t>Fournitures administrative</t>
  </si>
  <si>
    <t>Assurance du bureau</t>
  </si>
  <si>
    <t>PAIEMENT CB 1712 METZ EASYPARK SARL CARTE 2515 UIR082535202602438</t>
  </si>
  <si>
    <t>PAIEMENT PSC 1812 TOULOUSE MAC DONALD'S CARTE 2515 UIR082535600639244</t>
  </si>
  <si>
    <t>PAIEMENT CB 2012 METZ EASYPARK SARL CARTE 2515 UIR082535607667698</t>
  </si>
  <si>
    <t>PRLV SEPA DIRECTION GENERALE DE 3107289926777700014222</t>
  </si>
  <si>
    <t>PAIEMENT CB 2512 METZ EASYPARK SARL CARTE 2515 UIR082536002952159</t>
  </si>
  <si>
    <t>VIR INST MADAME ELSA SELLE VIREMENT DE MADAME ELSA SELLE 2 5364004140581515</t>
  </si>
  <si>
    <t>VIR SEPA LOYER/CHARGE BUREAU ST I27V26002L000715</t>
  </si>
  <si>
    <t>VIR SEPA REMUNERATION SABINE I27V26002L000691</t>
  </si>
  <si>
    <t>PRLV SEPA URSSAF MIDI PYRENEES UR 737000000186079505 JANV26</t>
  </si>
  <si>
    <t>PAIEMENT CB 3112 31450 DONNEVI ABONNEMENT* MARI CARTE 2515 UIR082600203217658</t>
  </si>
  <si>
    <t>PAIEMENT CB 0301 D01 YC43 DUBL OPENAI *CHATGPT CARTE 2515 UIR082600506879727</t>
  </si>
  <si>
    <t>PRLV SEPA FREE TELECOM FREE HAUTDEBIT 1437926102</t>
  </si>
  <si>
    <t>PAIEMENT CB 0601 METZ EASYPARK SARL CARTE 2515 UIR082600700773766</t>
  </si>
  <si>
    <t>PAIEMENT PSC 0601 TOULOUSE C ET C FRANCE CARTE 2515 UIR082600701992775</t>
  </si>
  <si>
    <t>PAIEMENT PSC 0601 TOULO0310020/ INDIGO 310020 CARTE 2515 UIR082600702280348</t>
  </si>
  <si>
    <t>PAIEMENT CB 0701 METZ EASYPARK SARL CARTE 2515 UIR082600800729651</t>
  </si>
  <si>
    <t>VIR INST LOMEDICO SABINE FACT 250983 POULAIN IMPRIMANTE 6010214951691065</t>
  </si>
  <si>
    <t>VIR INST LOMEDICO SABINE FACT 260196 MACBOOK AIR M1 6010215455303972</t>
  </si>
  <si>
    <t>PRLV SEPA SMABTP SMABTP SMABTP/CLIH57902N/2026-030111/P</t>
  </si>
  <si>
    <t>FACT SGT26005280079883 DONT TVA 2,66EUR</t>
  </si>
  <si>
    <t>PAIEMENT CB 0701 IVRY SUR SEIN FNAC DIRECT CARTE 2515 UIR082601201986028</t>
  </si>
  <si>
    <t>PAIEMENT CB 1301 MSBILL.INFO MICROSOFT*SUBSCR CARTE 2515 UIR082601400091235</t>
  </si>
  <si>
    <t>VIR M QUINZONI JEROME OU VIREMENT DE M QUINZONI JEROME O</t>
  </si>
  <si>
    <t>PRLV SEPA GPJ 00082210000154500002867261</t>
  </si>
  <si>
    <t>VIR AUDIT F02438-02971-72-73-74</t>
  </si>
  <si>
    <t>PAIEMENT PSC 1601 SAINT JORY LA MIE DE PAIN CARTE 2515 UIR082601901870259</t>
  </si>
  <si>
    <t>PAIEMENT CB 2101 LABARTHE INAR PRO SUD DISTRI CARTE 2515 UIR082602200804311</t>
  </si>
  <si>
    <t>PRLV SEPA DGFIP TVA1-012026-3310CA3</t>
  </si>
  <si>
    <t>VOL&amp;MAT F26 01 98/99/100 VU60232Y765STT01</t>
  </si>
  <si>
    <t>PRLV SEPA COMPAGNIE FIDUCIAIRE 20/01/2026 - GTC0007567 - ACOMP</t>
  </si>
  <si>
    <t>PAIEMENT PSC 2601 ST JORY BISTROT REGENT CARTE 2515 UIR082602702314487</t>
  </si>
  <si>
    <t>Dessinateur / audit</t>
  </si>
  <si>
    <t>M25011</t>
  </si>
  <si>
    <t>QUINZONI</t>
  </si>
  <si>
    <t>SCHREIBER</t>
  </si>
  <si>
    <t>N25-12-94</t>
  </si>
  <si>
    <t>N26-01-95</t>
  </si>
  <si>
    <t>N26-01-96</t>
  </si>
  <si>
    <t>N26-01-97</t>
  </si>
  <si>
    <t>IT3E</t>
  </si>
  <si>
    <t>N26-01-98</t>
  </si>
  <si>
    <t>N26-01-99</t>
  </si>
  <si>
    <t>N26-01-100</t>
  </si>
  <si>
    <t>N26-01-101</t>
  </si>
  <si>
    <t>N26-02-102</t>
  </si>
  <si>
    <t>PAIEMENT CB 2801 DUSSELDORF SYNOLOGY C2 &amp; ST CARTE 2515 UIR082602901797317</t>
  </si>
  <si>
    <t>PAIEMENT CB 2801 LUXEMBOURG PAYPAL *LEPALAIS CARTE 2515 UIR082603000691454</t>
  </si>
  <si>
    <t>VIR SEPA REMUNERATION SABINE I27V26033L000859</t>
  </si>
  <si>
    <t>VIR SEPA LOYER/CHARGE BUREAU ST I27V26033L000884</t>
  </si>
  <si>
    <t>PAIEMENT CB 3101 31450 DONNEVI ABONNEMENT* MARI CARTE 2515 UIR082603304660850</t>
  </si>
  <si>
    <t>PAIEMENT CB 0302 D01 YC43 DUBL OPENAI *CHATGPT CARTE 2515 UIR082603403052679</t>
  </si>
  <si>
    <t>PRLV SEPA URSSAF MIDI PYRENEES UR 737000000186079505 FEV 26</t>
  </si>
  <si>
    <t>PRLV SEPA FREE TELECOM FREE HAUTDEBIT 1445646557</t>
  </si>
  <si>
    <t>PAIEMENT PSC 0302 VEDENE CEDEX ASF, 2 PAIEMENTS CARTE 2515 UIR082603502443001</t>
  </si>
  <si>
    <t>PAIEMENT CB 0402 METZ EASYPARK SARL CARTE 2515 UIR082603600837846</t>
  </si>
  <si>
    <t>PAIEMENT PSC 0502 VILLENEUVE TO LE MUR ENCHANTE CARTE 2515 UIR082603700789236</t>
  </si>
  <si>
    <t>VIR IT3E INGENIERIE ZZ1JW55HBE79VVKBQ</t>
  </si>
  <si>
    <t>PRLV SEPA SMABTP SMABTP SMABTP/CLIH57902N/2026-096642/P</t>
  </si>
  <si>
    <t>FACT SGT26005280174545 DONT TVA 2,66EUR</t>
  </si>
  <si>
    <t>Faire tourner Voletmat à minima</t>
  </si>
  <si>
    <t>ANCV</t>
  </si>
  <si>
    <t>GOTTLE</t>
  </si>
  <si>
    <t>QUERALTO</t>
  </si>
  <si>
    <t>Rémi ALVES</t>
  </si>
  <si>
    <t>RECOULES - marroniers</t>
  </si>
  <si>
    <t>BELMAS</t>
  </si>
  <si>
    <t>M2601</t>
  </si>
  <si>
    <t>NICOLCEA</t>
  </si>
  <si>
    <t>RECOULES - Carolles - Viabilisation</t>
  </si>
  <si>
    <t>N26-03-103</t>
  </si>
  <si>
    <t>N26-03-104</t>
  </si>
  <si>
    <t>N26-03-105</t>
  </si>
  <si>
    <t>N26-03-106</t>
  </si>
  <si>
    <t>ALVES</t>
  </si>
  <si>
    <t>N26-03-107</t>
  </si>
  <si>
    <t>N26-03-108</t>
  </si>
  <si>
    <t>RECOULES</t>
  </si>
  <si>
    <t>N26-03-109</t>
  </si>
  <si>
    <t>N26-03-110</t>
  </si>
  <si>
    <t>ENJALBERT</t>
  </si>
  <si>
    <t>N26-03-111</t>
  </si>
  <si>
    <t>F-2026-06-112</t>
  </si>
  <si>
    <t>F-2026-06-113</t>
  </si>
  <si>
    <t>F-2026-06-114</t>
  </si>
  <si>
    <t>AC-26-03-1</t>
  </si>
  <si>
    <t>AC-26-04-2</t>
  </si>
  <si>
    <t>AC-26-05-03</t>
  </si>
  <si>
    <t>AC-26-06-03</t>
  </si>
  <si>
    <t>F-2026-06-115</t>
  </si>
  <si>
    <t>CA2027</t>
  </si>
  <si>
    <t>CA2028</t>
  </si>
  <si>
    <t>CA2029</t>
  </si>
  <si>
    <t>Juillet 2025 - Décembre 2026</t>
  </si>
  <si>
    <t>F-2026-06-116</t>
  </si>
  <si>
    <t>XIFUMI</t>
  </si>
  <si>
    <t>F-2026-06-117</t>
  </si>
  <si>
    <t>F-2026-06-118</t>
  </si>
  <si>
    <t>MASSOU</t>
  </si>
  <si>
    <t>F-2026-06-119</t>
  </si>
  <si>
    <t>F-2026-06-120</t>
  </si>
  <si>
    <t>SELVA GROUP</t>
  </si>
  <si>
    <t>F-2026-06-121</t>
  </si>
  <si>
    <t>KHANANO</t>
  </si>
  <si>
    <t>MIRAL</t>
  </si>
  <si>
    <t>2618 PV</t>
  </si>
  <si>
    <t>SAINT MARTIN</t>
  </si>
  <si>
    <t xml:space="preserve">                     -    €</t>
  </si>
  <si>
    <t xml:space="preserve">                    -    €</t>
  </si>
  <si>
    <t>2620 PV</t>
  </si>
  <si>
    <t>COULOUME</t>
  </si>
  <si>
    <t>2621 PV</t>
  </si>
  <si>
    <t>LINAS</t>
  </si>
  <si>
    <t>18 mois</t>
  </si>
  <si>
    <t>2027</t>
  </si>
  <si>
    <t xml:space="preserve"> FARGUES/CROS</t>
  </si>
  <si>
    <t>DURAND /CHERIGNY</t>
  </si>
  <si>
    <t>BOULANGER</t>
  </si>
  <si>
    <t>SCI BOST / LAZARO</t>
  </si>
  <si>
    <t>Imprimante POULAIN</t>
  </si>
  <si>
    <t>Divers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</si>
</sst>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 * #,##0.00_)\ &quot;€&quot;_ ;_ * \(#,##0.00\)\ &quot;€&quot;_ ;_ * &quot;-&quot;??_)\ &quot;€&quot;_ ;_ @_ "/>
    <numFmt numFmtId="43" formatCode="_ * #,##0.00_)_ ;_ * \(#,##0.00\)_ ;_ * &quot;-&quot;??_)_ ;_ @_ "/>
    <numFmt numFmtId="164" formatCode="d/m/yyyy"/>
    <numFmt numFmtId="165" formatCode="#,##0.00\ [$€-40C];[Red]\-#,##0.00\ [$€-40C]"/>
    <numFmt numFmtId="166" formatCode="_ * #,##0_)_ ;_ * \(#,##0\)_ ;_ * &quot;-&quot;??_)_ ;_ @_ "/>
    <numFmt numFmtId="167" formatCode="_ * #,##0.000_)\ &quot;€&quot;_ ;_ * \(#,##0.000\)\ &quot;€&quot;_ ;_ * &quot;-&quot;???_)\ &quot;€&quot;_ ;_ @_ "/>
    <numFmt numFmtId="168" formatCode="0.000%"/>
    <numFmt numFmtId="169" formatCode="_ * #,##0.00_)\ _€_ ;_ * \(#,##0.00\)\ _€_ ;_ * &quot;-&quot;??_)\ _€_ ;_ @_ "/>
    <numFmt numFmtId="170" formatCode="_ * #,##0_)\ _€_ ;_ * \(#,##0\)\ _€_ ;_ * &quot;-&quot;??_)\ _€_ ;_ @_ "/>
    <numFmt numFmtId="171" formatCode="_ * #,##0.00_)\ &quot;€&quot;_ ;_ * \(#,##0.00\)\ &quot;€&quot;_ ;_ * &quot;-&quot;???_)\ &quot;€&quot;_ ;_ @_ "/>
    <numFmt numFmtId="172" formatCode="0.0%"/>
    <numFmt numFmtId="173" formatCode="#,##0.00\ &quot;€&quot;"/>
    <numFmt numFmtId="174" formatCode="_ * #,##0_)\ &quot;€&quot;_ ;_ * \(#,##0\)\ &quot;€&quot;_ ;_ * &quot;-&quot;??_)\ &quot;€&quot;_ ;_ @_ "/>
    <numFmt numFmtId="175" formatCode="#,##0\ [$€-40C];[Red]\-#,##0\ [$€-40C]"/>
    <numFmt numFmtId="176" formatCode="0.0000%"/>
    <numFmt numFmtId="177" formatCode="_ * #,##0.00_)\ &quot;€&quot;_ ;_ * \(#,##0.00\)\ &quot;€&quot;_ ;_ * &quot;-&quot;????_)\ &quot;€&quot;_ ;_ @_ "/>
    <numFmt numFmtId="178" formatCode="0.0"/>
  </numFmts>
  <fonts count="195">
    <font>
      <sz val="12"/>
      <color rgb="FF000000"/>
      <name val="Arial"/>
      <scheme val="minor"/>
    </font>
    <font>
      <sz val="11"/>
      <color theme="1"/>
      <name val="Arial"/>
      <family val="2"/>
      <scheme val="minor"/>
    </font>
    <font>
      <sz val="14"/>
      <color rgb="FF000000"/>
      <name val="Calibri"/>
      <family val="2"/>
    </font>
    <font>
      <sz val="12"/>
      <color rgb="FF000000"/>
      <name val="Calibri"/>
      <family val="2"/>
    </font>
    <font>
      <sz val="14"/>
      <color theme="1"/>
      <name val="Calibri"/>
      <family val="2"/>
    </font>
    <font>
      <sz val="14"/>
      <color theme="4"/>
      <name val="Calibri"/>
      <family val="2"/>
    </font>
    <font>
      <sz val="14"/>
      <color rgb="FF4A86E8"/>
      <name val="Calibri"/>
      <family val="2"/>
    </font>
    <font>
      <strike/>
      <sz val="14"/>
      <color rgb="FF000000"/>
      <name val="Calibri"/>
      <family val="2"/>
    </font>
    <font>
      <b/>
      <u/>
      <sz val="12"/>
      <color rgb="FF000000"/>
      <name val="Calibri"/>
      <family val="2"/>
    </font>
    <font>
      <sz val="16"/>
      <color rgb="FF000000"/>
      <name val="Calibri"/>
      <family val="2"/>
    </font>
    <font>
      <sz val="14"/>
      <color rgb="FFFF9900"/>
      <name val="Calibri"/>
      <family val="2"/>
    </font>
    <font>
      <i/>
      <sz val="12"/>
      <color rgb="FF000000"/>
      <name val="Calibri"/>
      <family val="2"/>
    </font>
    <font>
      <i/>
      <sz val="12"/>
      <color rgb="FFB3B3B3"/>
      <name val="Calibri"/>
      <family val="2"/>
    </font>
    <font>
      <strike/>
      <sz val="12"/>
      <color rgb="FF000000"/>
      <name val="Calibri"/>
      <family val="2"/>
    </font>
    <font>
      <sz val="12"/>
      <color rgb="FF000000"/>
      <name val="Arial"/>
      <family val="2"/>
      <scheme val="minor"/>
    </font>
    <font>
      <sz val="18"/>
      <color rgb="FF000000"/>
      <name val="Arial"/>
      <family val="2"/>
      <scheme val="minor"/>
    </font>
    <font>
      <sz val="16"/>
      <color rgb="FF000000"/>
      <name val="Arial"/>
      <family val="2"/>
      <scheme val="minor"/>
    </font>
    <font>
      <sz val="16"/>
      <color theme="1"/>
      <name val="Calibri"/>
      <family val="2"/>
    </font>
    <font>
      <sz val="12"/>
      <color rgb="FF000000"/>
      <name val="Arial"/>
      <family val="2"/>
      <scheme val="minor"/>
    </font>
    <font>
      <sz val="18"/>
      <color rgb="FF000000"/>
      <name val="Calibri"/>
      <family val="2"/>
    </font>
    <font>
      <sz val="8"/>
      <name val="Arial"/>
      <family val="2"/>
      <scheme val="minor"/>
    </font>
    <font>
      <sz val="12"/>
      <color rgb="FF000000"/>
      <name val="Arial"/>
      <family val="2"/>
      <scheme val="minor"/>
    </font>
    <font>
      <sz val="16"/>
      <color theme="0" tint="-0.14999847407452621"/>
      <name val="Calibri"/>
      <family val="2"/>
    </font>
    <font>
      <sz val="18"/>
      <color rgb="FF567B96"/>
      <name val="Calibri"/>
      <family val="2"/>
    </font>
    <font>
      <b/>
      <sz val="18"/>
      <color theme="5"/>
      <name val="Calibri"/>
      <family val="2"/>
    </font>
    <font>
      <sz val="18"/>
      <color theme="4"/>
      <name val="Calibri"/>
      <family val="2"/>
    </font>
    <font>
      <sz val="18"/>
      <color rgb="FF92D050"/>
      <name val="Calibri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Arial"/>
      <family val="2"/>
      <scheme val="minor"/>
    </font>
    <font>
      <sz val="12"/>
      <color rgb="FF000000"/>
      <name val="Avenir Book"/>
      <family val="2"/>
    </font>
    <font>
      <sz val="12"/>
      <color rgb="FFFF5F5F"/>
      <name val="Avenir Book"/>
      <family val="2"/>
    </font>
    <font>
      <sz val="12"/>
      <color theme="0" tint="-0.249977111117893"/>
      <name val="Avenir Book"/>
      <family val="2"/>
    </font>
    <font>
      <sz val="12"/>
      <color rgb="FF00B0F0"/>
      <name val="Avenir Book"/>
      <family val="2"/>
    </font>
    <font>
      <sz val="12"/>
      <color rgb="FF00B050"/>
      <name val="Avenir Book"/>
      <family val="2"/>
    </font>
    <font>
      <b/>
      <sz val="12"/>
      <color rgb="FF000000"/>
      <name val="Avenir Book"/>
      <family val="2"/>
    </font>
    <font>
      <sz val="12"/>
      <color rgb="FF7030A0"/>
      <name val="Avenir Book"/>
      <family val="2"/>
    </font>
    <font>
      <b/>
      <sz val="12"/>
      <color theme="0"/>
      <name val="Avenir Book"/>
      <family val="2"/>
    </font>
    <font>
      <sz val="12"/>
      <color theme="0"/>
      <name val="Avenir Book"/>
      <family val="2"/>
    </font>
    <font>
      <b/>
      <sz val="12"/>
      <name val="Avenir Book"/>
      <family val="2"/>
    </font>
    <font>
      <sz val="12"/>
      <name val="Avenir Book"/>
      <family val="2"/>
    </font>
    <font>
      <b/>
      <sz val="12"/>
      <color theme="2"/>
      <name val="Avenir Book"/>
      <family val="2"/>
    </font>
    <font>
      <sz val="16"/>
      <color rgb="FF567B96"/>
      <name val="Avenir Book"/>
      <family val="2"/>
    </font>
    <font>
      <b/>
      <sz val="16"/>
      <color theme="2"/>
      <name val="Avenir Book"/>
      <family val="2"/>
    </font>
    <font>
      <sz val="16"/>
      <color rgb="FFFF0000"/>
      <name val="Avenir Book"/>
      <family val="2"/>
    </font>
    <font>
      <b/>
      <sz val="24"/>
      <color theme="0"/>
      <name val="Avenir Book"/>
      <family val="2"/>
    </font>
    <font>
      <sz val="14"/>
      <color rgb="FF000000"/>
      <name val="Avenir Book"/>
      <family val="2"/>
    </font>
    <font>
      <sz val="14"/>
      <color theme="1"/>
      <name val="Avenir Book"/>
      <family val="2"/>
    </font>
    <font>
      <sz val="16"/>
      <color rgb="FF000000"/>
      <name val="Avenir Book"/>
      <family val="2"/>
    </font>
    <font>
      <sz val="16"/>
      <color theme="4"/>
      <name val="Avenir Book"/>
      <family val="2"/>
    </font>
    <font>
      <sz val="16"/>
      <color theme="1"/>
      <name val="Avenir Book"/>
      <family val="2"/>
    </font>
    <font>
      <sz val="14"/>
      <color theme="0"/>
      <name val="Avenir Book"/>
      <family val="2"/>
    </font>
    <font>
      <strike/>
      <sz val="16"/>
      <color rgb="FF000000"/>
      <name val="Avenir Book"/>
      <family val="2"/>
    </font>
    <font>
      <strike/>
      <sz val="16"/>
      <color theme="4"/>
      <name val="Avenir Book"/>
      <family val="2"/>
    </font>
    <font>
      <b/>
      <strike/>
      <sz val="16"/>
      <color theme="2"/>
      <name val="Avenir Book"/>
      <family val="2"/>
    </font>
    <font>
      <sz val="12"/>
      <color rgb="FFFF0000"/>
      <name val="Avenir Book"/>
      <family val="2"/>
    </font>
    <font>
      <sz val="16"/>
      <color theme="9"/>
      <name val="Avenir Book"/>
      <family val="2"/>
    </font>
    <font>
      <sz val="16"/>
      <color rgb="FF92D050"/>
      <name val="Avenir Book"/>
      <family val="2"/>
    </font>
    <font>
      <sz val="16"/>
      <color rgb="FF00B050"/>
      <name val="Avenir Book"/>
      <family val="2"/>
    </font>
    <font>
      <sz val="12"/>
      <color rgb="FF567B96"/>
      <name val="Avenir Book"/>
      <family val="2"/>
    </font>
    <font>
      <b/>
      <sz val="16"/>
      <color rgb="FF567B96"/>
      <name val="Avenir Book"/>
      <family val="2"/>
    </font>
    <font>
      <b/>
      <sz val="16"/>
      <color rgb="FF000000"/>
      <name val="Avenir Book"/>
      <family val="2"/>
    </font>
    <font>
      <i/>
      <sz val="16"/>
      <color theme="2" tint="-0.499984740745262"/>
      <name val="Avenir Book"/>
      <family val="2"/>
    </font>
    <font>
      <sz val="18"/>
      <color rgb="FF000000"/>
      <name val="Avenir Book"/>
      <family val="2"/>
    </font>
    <font>
      <b/>
      <sz val="20"/>
      <color theme="0"/>
      <name val="Avenir Book"/>
      <family val="2"/>
    </font>
    <font>
      <b/>
      <sz val="24"/>
      <color rgb="FFFF5F5F"/>
      <name val="Avenir Book"/>
      <family val="2"/>
    </font>
    <font>
      <b/>
      <sz val="22"/>
      <color theme="0"/>
      <name val="Avenir Book"/>
      <family val="2"/>
    </font>
    <font>
      <i/>
      <sz val="18"/>
      <color rgb="FF000000"/>
      <name val="Avenir Book"/>
      <family val="2"/>
    </font>
    <font>
      <b/>
      <sz val="28"/>
      <color rgb="FFFF5F5F"/>
      <name val="Avenir Book"/>
      <family val="2"/>
    </font>
    <font>
      <b/>
      <sz val="22"/>
      <color rgb="FF567B96"/>
      <name val="Avenir Book"/>
      <family val="2"/>
    </font>
    <font>
      <sz val="16"/>
      <color rgb="FFFFC000"/>
      <name val="Avenir Book"/>
      <family val="2"/>
    </font>
    <font>
      <sz val="24"/>
      <name val="Avenir Book"/>
      <family val="2"/>
    </font>
    <font>
      <sz val="18"/>
      <color theme="4"/>
      <name val="Avenir Book"/>
      <family val="2"/>
    </font>
    <font>
      <b/>
      <sz val="24"/>
      <color rgb="FF567B96"/>
      <name val="Avenir Book"/>
      <family val="2"/>
    </font>
    <font>
      <sz val="22"/>
      <color rgb="FFFF5F5F"/>
      <name val="Avenir Book"/>
      <family val="2"/>
    </font>
    <font>
      <sz val="18"/>
      <color rgb="FF567B96"/>
      <name val="Avenir Book"/>
      <family val="2"/>
    </font>
    <font>
      <sz val="18"/>
      <color rgb="FF92D050"/>
      <name val="Avenir Book"/>
      <family val="2"/>
    </font>
    <font>
      <sz val="10"/>
      <color theme="0" tint="-0.249977111117893"/>
      <name val="Avenir Book"/>
      <family val="2"/>
    </font>
    <font>
      <sz val="10"/>
      <color theme="1"/>
      <name val="Avenir Book"/>
      <family val="2"/>
    </font>
    <font>
      <sz val="10"/>
      <color rgb="FF000000"/>
      <name val="Avenir Book"/>
      <family val="2"/>
    </font>
    <font>
      <b/>
      <sz val="10"/>
      <color rgb="FF000000"/>
      <name val="Avenir Book"/>
      <family val="2"/>
    </font>
    <font>
      <sz val="11"/>
      <color rgb="FF000000"/>
      <name val="Avenir Book"/>
      <family val="2"/>
    </font>
    <font>
      <sz val="11"/>
      <color theme="0" tint="-0.249977111117893"/>
      <name val="Avenir Book"/>
      <family val="2"/>
    </font>
    <font>
      <i/>
      <sz val="11"/>
      <color theme="4"/>
      <name val="Avenir Book"/>
      <family val="2"/>
    </font>
    <font>
      <b/>
      <i/>
      <sz val="11"/>
      <color theme="4"/>
      <name val="Avenir Book"/>
      <family val="2"/>
    </font>
    <font>
      <sz val="11"/>
      <color theme="1"/>
      <name val="Avenir Book"/>
      <family val="2"/>
    </font>
    <font>
      <b/>
      <sz val="11"/>
      <color theme="1"/>
      <name val="Avenir Book"/>
      <family val="2"/>
    </font>
    <font>
      <b/>
      <sz val="11"/>
      <color rgb="FF000000"/>
      <name val="Avenir Book"/>
      <family val="2"/>
    </font>
    <font>
      <sz val="11"/>
      <color rgb="FFFF5F5F"/>
      <name val="Avenir Book"/>
      <family val="2"/>
    </font>
    <font>
      <sz val="11"/>
      <color rgb="FF00B0F0"/>
      <name val="Avenir Book"/>
      <family val="2"/>
    </font>
    <font>
      <sz val="11"/>
      <color rgb="FF00B050"/>
      <name val="Avenir Book"/>
      <family val="2"/>
    </font>
    <font>
      <sz val="11"/>
      <color rgb="FF92D050"/>
      <name val="Avenir Book"/>
      <family val="2"/>
    </font>
    <font>
      <b/>
      <sz val="11"/>
      <color rgb="FF00B0F0"/>
      <name val="Avenir Book"/>
      <family val="2"/>
    </font>
    <font>
      <b/>
      <sz val="11"/>
      <color rgb="FFFF5F5F"/>
      <name val="Avenir Book"/>
      <family val="2"/>
    </font>
    <font>
      <i/>
      <sz val="11"/>
      <color theme="0" tint="-0.249977111117893"/>
      <name val="Avenir Book"/>
      <family val="2"/>
    </font>
    <font>
      <b/>
      <sz val="11"/>
      <color rgb="FF00B050"/>
      <name val="Avenir Book"/>
      <family val="2"/>
    </font>
    <font>
      <b/>
      <sz val="11"/>
      <color theme="0"/>
      <name val="Avenir Book"/>
      <family val="2"/>
    </font>
    <font>
      <i/>
      <sz val="10"/>
      <color theme="4"/>
      <name val="Avenir Book"/>
      <family val="2"/>
    </font>
    <font>
      <b/>
      <i/>
      <sz val="10"/>
      <color theme="4"/>
      <name val="Avenir Book"/>
      <family val="2"/>
    </font>
    <font>
      <b/>
      <sz val="10"/>
      <color theme="1"/>
      <name val="Avenir Book"/>
      <family val="2"/>
    </font>
    <font>
      <sz val="10"/>
      <color rgb="FFFF5F5F"/>
      <name val="Avenir Book"/>
      <family val="2"/>
    </font>
    <font>
      <sz val="10"/>
      <color rgb="FF00B0F0"/>
      <name val="Avenir Book"/>
      <family val="2"/>
    </font>
    <font>
      <b/>
      <i/>
      <sz val="10"/>
      <color rgb="FFFF5F5F"/>
      <name val="Avenir Book"/>
      <family val="2"/>
    </font>
    <font>
      <sz val="10"/>
      <color rgb="FF00B050"/>
      <name val="Avenir Book"/>
      <family val="2"/>
    </font>
    <font>
      <sz val="10"/>
      <color rgb="FF92D050"/>
      <name val="Avenir Book"/>
      <family val="2"/>
    </font>
    <font>
      <sz val="10"/>
      <color rgb="FFA6A6A6"/>
      <name val="Avenir Book"/>
      <family val="2"/>
    </font>
    <font>
      <sz val="10"/>
      <color theme="2" tint="-0.34998626667073579"/>
      <name val="Avenir Book"/>
      <family val="2"/>
    </font>
    <font>
      <sz val="11"/>
      <name val="Avenir Book"/>
      <family val="2"/>
    </font>
    <font>
      <strike/>
      <sz val="11"/>
      <color rgb="FF000000"/>
      <name val="Avenir Book"/>
      <family val="2"/>
    </font>
    <font>
      <b/>
      <i/>
      <sz val="11"/>
      <color rgb="FF000000"/>
      <name val="Avenir Book"/>
      <family val="2"/>
    </font>
    <font>
      <i/>
      <sz val="11"/>
      <color rgb="FFB3B3B3"/>
      <name val="Avenir Book"/>
      <family val="2"/>
    </font>
    <font>
      <i/>
      <sz val="11"/>
      <color rgb="FF000000"/>
      <name val="Avenir Book"/>
      <family val="2"/>
    </font>
    <font>
      <sz val="11"/>
      <color rgb="FFFF0000"/>
      <name val="Avenir Book"/>
      <family val="2"/>
    </font>
    <font>
      <sz val="11"/>
      <color rgb="FFFFD965"/>
      <name val="Avenir Book"/>
      <family val="2"/>
    </font>
    <font>
      <b/>
      <sz val="11"/>
      <color theme="4"/>
      <name val="Avenir Book"/>
      <family val="2"/>
    </font>
    <font>
      <sz val="26"/>
      <color theme="2"/>
      <name val="Avenir Book"/>
      <family val="2"/>
    </font>
    <font>
      <b/>
      <sz val="24"/>
      <color theme="1"/>
      <name val="Avenir Heavy"/>
      <family val="2"/>
    </font>
    <font>
      <b/>
      <sz val="22"/>
      <name val="Avenir Book"/>
      <family val="2"/>
    </font>
    <font>
      <b/>
      <sz val="12"/>
      <color rgb="FF92D050"/>
      <name val="Avenir Book"/>
      <family val="2"/>
    </font>
    <font>
      <b/>
      <sz val="22"/>
      <color rgb="FFFF0000"/>
      <name val="Avenir Book"/>
      <family val="2"/>
    </font>
    <font>
      <b/>
      <sz val="20"/>
      <color rgb="FFFF5F5F"/>
      <name val="Avenir Book"/>
      <family val="2"/>
    </font>
    <font>
      <sz val="16"/>
      <color rgb="FF70AD47"/>
      <name val="Avenir Book"/>
      <family val="2"/>
    </font>
    <font>
      <sz val="11"/>
      <color rgb="FF567B96"/>
      <name val="Avenir Book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FF5F5F"/>
      <name val="AvenirNext-UltraLight"/>
    </font>
    <font>
      <sz val="11"/>
      <color theme="1"/>
      <name val="AvenirNext-UltraLight"/>
    </font>
    <font>
      <sz val="11"/>
      <color theme="2" tint="-0.34998626667073579"/>
      <name val="AvenirNext-UltraLight"/>
    </font>
    <font>
      <sz val="11"/>
      <color theme="0" tint="-0.249977111117893"/>
      <name val="AvenirNext-UltraLight"/>
    </font>
    <font>
      <sz val="11"/>
      <name val="AvenirNext-UltraLight"/>
    </font>
    <font>
      <sz val="11"/>
      <color rgb="FF000000"/>
      <name val="AvenirNext-UltraLight"/>
    </font>
    <font>
      <b/>
      <sz val="11"/>
      <color theme="1"/>
      <name val="AvenirNext-UltraLight"/>
    </font>
    <font>
      <sz val="12"/>
      <color rgb="FF000000"/>
      <name val="AvenirNext-UltraLight"/>
    </font>
    <font>
      <b/>
      <sz val="11"/>
      <color rgb="FF000000"/>
      <name val="AvenirNext-UltraLight"/>
    </font>
    <font>
      <sz val="11"/>
      <color rgb="FFA6A6A6"/>
      <name val="AvenirNext-UltraLight"/>
    </font>
    <font>
      <sz val="12"/>
      <name val="AvenirNext-UltraLight"/>
    </font>
    <font>
      <b/>
      <sz val="12"/>
      <name val="AvenirNext-UltraLight"/>
    </font>
    <font>
      <b/>
      <sz val="11"/>
      <name val="AvenirNext-UltraLight"/>
    </font>
    <font>
      <sz val="11"/>
      <color theme="0"/>
      <name val="Avenir Book"/>
      <family val="2"/>
    </font>
    <font>
      <sz val="18"/>
      <color rgb="FF000000"/>
      <name val="Avenir Book"/>
      <family val="2"/>
    </font>
    <font>
      <sz val="18"/>
      <color theme="1"/>
      <name val="Avenir Book"/>
      <family val="2"/>
    </font>
    <font>
      <i/>
      <sz val="18"/>
      <color rgb="FF567B96"/>
      <name val="Avenir Book"/>
      <family val="2"/>
    </font>
    <font>
      <sz val="18"/>
      <color theme="0"/>
      <name val="Avenir Book"/>
      <family val="2"/>
    </font>
    <font>
      <sz val="18"/>
      <color rgb="FFFF0000"/>
      <name val="Avenir Book"/>
      <family val="2"/>
    </font>
    <font>
      <sz val="18"/>
      <color rgb="FFFF0000"/>
      <name val="Calibri"/>
      <family val="2"/>
    </font>
    <font>
      <sz val="24"/>
      <color theme="0"/>
      <name val="Avenir Book"/>
      <family val="2"/>
    </font>
    <font>
      <sz val="11"/>
      <color rgb="FFA6A6A6"/>
      <name val="Avenir Book"/>
      <family val="2"/>
    </font>
    <font>
      <sz val="11"/>
      <color theme="7"/>
      <name val="Avenir Book"/>
      <family val="2"/>
    </font>
    <font>
      <sz val="11"/>
      <color theme="5" tint="-0.249977111117893"/>
      <name val="Avenir Book"/>
      <family val="2"/>
    </font>
    <font>
      <sz val="11"/>
      <color theme="9" tint="-0.249977111117893"/>
      <name val="Avenir Book"/>
      <family val="2"/>
    </font>
    <font>
      <sz val="10"/>
      <name val="Avenir Book"/>
      <family val="2"/>
    </font>
    <font>
      <b/>
      <sz val="10"/>
      <color theme="0"/>
      <name val="Avenir Book"/>
      <family val="2"/>
    </font>
    <font>
      <sz val="10"/>
      <color theme="0"/>
      <name val="Avenir Book"/>
      <family val="2"/>
    </font>
    <font>
      <sz val="10"/>
      <color rgb="FF567B96"/>
      <name val="Avenir Book"/>
      <family val="2"/>
    </font>
    <font>
      <sz val="10"/>
      <color rgb="FFFFC000"/>
      <name val="Avenir Book"/>
      <family val="2"/>
    </font>
    <font>
      <sz val="11"/>
      <color rgb="FFFFC000"/>
      <name val="Avenir Book"/>
      <family val="2"/>
    </font>
    <font>
      <sz val="10"/>
      <color theme="4" tint="-0.249977111117893"/>
      <name val="Avenir Book"/>
      <family val="2"/>
    </font>
    <font>
      <sz val="10"/>
      <color theme="5"/>
      <name val="Avenir Book"/>
      <family val="2"/>
    </font>
    <font>
      <sz val="10"/>
      <color rgb="FF00B0F0"/>
      <name val="Avenir Book"/>
      <family val="2"/>
    </font>
    <font>
      <sz val="10"/>
      <color rgb="FFFF5F5F"/>
      <name val="Avenir Book"/>
      <family val="2"/>
    </font>
    <font>
      <i/>
      <sz val="10"/>
      <color theme="0" tint="-0.249977111117893"/>
      <name val="Avenir Book"/>
      <family val="2"/>
    </font>
    <font>
      <sz val="10"/>
      <color rgb="FF00B050"/>
      <name val="Avenir Book"/>
      <family val="2"/>
    </font>
    <font>
      <sz val="10"/>
      <color rgb="FF7030A0"/>
      <name val="Avenir Book"/>
      <family val="2"/>
    </font>
    <font>
      <sz val="10"/>
      <color rgb="FF000000"/>
      <name val="Avenir Book"/>
      <family val="2"/>
    </font>
    <font>
      <sz val="10"/>
      <color theme="1"/>
      <name val="Avenir Book"/>
      <family val="2"/>
    </font>
    <font>
      <sz val="10"/>
      <color rgb="FF002060"/>
      <name val="Avenir Book"/>
      <family val="2"/>
    </font>
    <font>
      <sz val="10"/>
      <color theme="0" tint="-0.34998626667073579"/>
      <name val="Avenir Book"/>
      <family val="2"/>
    </font>
    <font>
      <sz val="11"/>
      <color rgb="FF002060"/>
      <name val="Avenir Book"/>
      <family val="2"/>
    </font>
    <font>
      <sz val="14"/>
      <color theme="2" tint="-0.34998626667073579"/>
      <name val="Avenir Book"/>
      <family val="2"/>
    </font>
    <font>
      <b/>
      <sz val="14"/>
      <color theme="1"/>
      <name val="Avenir Book"/>
      <family val="2"/>
    </font>
    <font>
      <b/>
      <sz val="14"/>
      <color theme="0"/>
      <name val="Avenir Book"/>
      <family val="2"/>
    </font>
    <font>
      <sz val="14"/>
      <color rgb="FF567B96"/>
      <name val="Avenir Book"/>
      <family val="2"/>
    </font>
    <font>
      <sz val="14"/>
      <name val="Avenir Book"/>
      <family val="2"/>
    </font>
    <font>
      <sz val="14"/>
      <color rgb="FFFF5F5F"/>
      <name val="Avenir Book"/>
      <family val="2"/>
    </font>
    <font>
      <sz val="14"/>
      <color rgb="FF92D050"/>
      <name val="Avenir Book"/>
      <family val="2"/>
    </font>
    <font>
      <sz val="14"/>
      <color theme="0" tint="-0.249977111117893"/>
      <name val="Avenir Book"/>
      <family val="2"/>
    </font>
    <font>
      <sz val="14"/>
      <color theme="7"/>
      <name val="Avenir Book"/>
      <family val="2"/>
    </font>
    <font>
      <sz val="14"/>
      <color rgb="FF00B0F0"/>
      <name val="Avenir Book"/>
      <family val="2"/>
    </font>
    <font>
      <sz val="14"/>
      <color rgb="FF002060"/>
      <name val="Avenir Book"/>
      <family val="2"/>
    </font>
    <font>
      <sz val="14"/>
      <color theme="5" tint="-0.249977111117893"/>
      <name val="Avenir Book"/>
      <family val="2"/>
    </font>
    <font>
      <sz val="14"/>
      <color theme="9" tint="-0.249977111117893"/>
      <name val="Avenir Book"/>
      <family val="2"/>
    </font>
    <font>
      <sz val="14"/>
      <color theme="2" tint="-0.499984740745262"/>
      <name val="Avenir Book"/>
      <family val="2"/>
    </font>
    <font>
      <b/>
      <sz val="14"/>
      <color rgb="FF000000"/>
      <name val="Avenir Book"/>
      <family val="2"/>
    </font>
    <font>
      <sz val="14"/>
      <color rgb="FFFF0000"/>
      <name val="Avenir Book"/>
      <family val="2"/>
    </font>
    <font>
      <b/>
      <sz val="14"/>
      <color rgb="FFFF0000"/>
      <name val="Avenir Book"/>
      <family val="2"/>
    </font>
    <font>
      <sz val="12"/>
      <color rgb="FF567B96"/>
      <name val="Arial"/>
      <family val="2"/>
      <scheme val="minor"/>
    </font>
    <font>
      <sz val="18"/>
      <color rgb="FFFF5F5F"/>
      <name val="Avenir Book"/>
      <family val="2"/>
    </font>
    <font>
      <sz val="18"/>
      <color rgb="FFFF5F5F"/>
      <name val="Calibri"/>
      <family val="2"/>
    </font>
    <font>
      <sz val="12"/>
      <color rgb="FFFF5F5F"/>
      <name val="Calibri"/>
      <family val="2"/>
    </font>
    <font>
      <sz val="12"/>
      <color rgb="FFFF5F5F"/>
      <name val="Arial"/>
      <family val="2"/>
      <scheme val="minor"/>
    </font>
    <font>
      <sz val="16"/>
      <color theme="0" tint="-0.249977111117893"/>
      <name val="Calibri"/>
      <family val="2"/>
    </font>
    <font>
      <sz val="16"/>
      <color theme="0" tint="-0.249977111117893"/>
      <name val="Avenir Book"/>
      <family val="2"/>
    </font>
    <font>
      <sz val="12"/>
      <color theme="0" tint="-0.249977111117893"/>
      <name val="Arial"/>
      <family val="2"/>
      <scheme val="minor"/>
    </font>
    <font>
      <sz val="16"/>
      <color theme="0" tint="-0.249977111117893"/>
      <name val="Arial"/>
      <family val="2"/>
      <scheme val="minor"/>
    </font>
    <font>
      <b/>
      <sz val="16"/>
      <color rgb="FFFFFFFF"/>
      <name val="Avenir Book"/>
      <family val="2"/>
    </font>
  </fonts>
  <fills count="35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rgb="FFE2EFD9"/>
        <bgColor rgb="FFE2EFD9"/>
      </patternFill>
    </fill>
    <fill>
      <patternFill patternType="solid">
        <fgColor rgb="FFCCCCCC"/>
        <bgColor rgb="FFCCCCCC"/>
      </patternFill>
    </fill>
    <fill>
      <patternFill patternType="solid">
        <fgColor rgb="FF00FF00"/>
        <bgColor rgb="FF00FF00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rgb="FFFFFF00"/>
        <bgColor rgb="FFFFFF00"/>
      </patternFill>
    </fill>
    <fill>
      <patternFill patternType="solid">
        <fgColor rgb="FFD9E2F3"/>
        <bgColor rgb="FFD9E2F3"/>
      </patternFill>
    </fill>
    <fill>
      <patternFill patternType="solid">
        <fgColor rgb="FFFBE4D5"/>
        <bgColor rgb="FFFBE4D5"/>
      </patternFill>
    </fill>
    <fill>
      <patternFill patternType="solid">
        <fgColor rgb="FF44546A"/>
        <bgColor rgb="FF44546A"/>
      </patternFill>
    </fill>
    <fill>
      <patternFill patternType="solid">
        <fgColor rgb="FFFFFF00"/>
        <bgColor indexed="64"/>
      </patternFill>
    </fill>
    <fill>
      <patternFill patternType="solid">
        <fgColor rgb="FFB8D7ED"/>
        <bgColor indexed="64"/>
      </patternFill>
    </fill>
    <fill>
      <patternFill patternType="solid">
        <fgColor rgb="FF567B96"/>
        <bgColor indexed="64"/>
      </patternFill>
    </fill>
    <fill>
      <patternFill patternType="solid">
        <fgColor rgb="FFFF5F5F"/>
        <bgColor rgb="FFFF0000"/>
      </patternFill>
    </fill>
    <fill>
      <patternFill patternType="solid">
        <fgColor rgb="FFB8D7ED"/>
        <bgColor rgb="FFFFFF99"/>
      </patternFill>
    </fill>
    <fill>
      <patternFill patternType="solid">
        <fgColor rgb="FFFF5F5F"/>
        <bgColor indexed="64"/>
      </patternFill>
    </fill>
    <fill>
      <patternFill patternType="solid">
        <fgColor rgb="FFB8D7ED"/>
        <bgColor rgb="FFFFCC99"/>
      </patternFill>
    </fill>
    <fill>
      <patternFill patternType="solid">
        <fgColor rgb="FFFF5F5F"/>
        <bgColor rgb="FFCCCCCC"/>
      </patternFill>
    </fill>
    <fill>
      <patternFill patternType="solid">
        <fgColor theme="0"/>
        <bgColor rgb="FFFFFF9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DAE3F3"/>
        <bgColor indexed="64"/>
      </patternFill>
    </fill>
    <fill>
      <patternFill patternType="solid">
        <fgColor rgb="FFDBE2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E6E6"/>
        <bgColor rgb="FF000000"/>
      </patternFill>
    </fill>
    <fill>
      <patternFill patternType="solid">
        <fgColor rgb="FFD9E2F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567B96"/>
        <bgColor rgb="FF000000"/>
      </patternFill>
    </fill>
  </fills>
  <borders count="10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rgb="FF567B96"/>
      </left>
      <right/>
      <top/>
      <bottom/>
      <diagonal/>
    </border>
    <border>
      <left style="medium">
        <color rgb="FF567B96"/>
      </left>
      <right style="medium">
        <color rgb="FF567B96"/>
      </right>
      <top style="medium">
        <color rgb="FF567B96"/>
      </top>
      <bottom/>
      <diagonal/>
    </border>
    <border>
      <left/>
      <right/>
      <top style="medium">
        <color rgb="FF567B9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otted">
        <color rgb="FF567B96"/>
      </left>
      <right style="dotted">
        <color rgb="FF567B96"/>
      </right>
      <top style="dotted">
        <color rgb="FF567B96"/>
      </top>
      <bottom style="dotted">
        <color rgb="FF567B96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tted">
        <color rgb="FF567B96"/>
      </right>
      <top style="dotted">
        <color rgb="FF567B96"/>
      </top>
      <bottom style="dotted">
        <color rgb="FF567B96"/>
      </bottom>
      <diagonal/>
    </border>
    <border>
      <left style="medium">
        <color rgb="FF567B96"/>
      </left>
      <right style="dotted">
        <color rgb="FF567B96"/>
      </right>
      <top style="dotted">
        <color rgb="FF567B96"/>
      </top>
      <bottom style="dotted">
        <color rgb="FF567B96"/>
      </bottom>
      <diagonal/>
    </border>
    <border>
      <left style="dotted">
        <color rgb="FF567B96"/>
      </left>
      <right style="medium">
        <color rgb="FF567B96"/>
      </right>
      <top style="dotted">
        <color rgb="FF567B96"/>
      </top>
      <bottom style="dotted">
        <color rgb="FF567B96"/>
      </bottom>
      <diagonal/>
    </border>
    <border>
      <left style="dotted">
        <color rgb="FF567B96"/>
      </left>
      <right style="dotted">
        <color rgb="FF567B96"/>
      </right>
      <top style="dotted">
        <color rgb="FF567B96"/>
      </top>
      <bottom style="medium">
        <color rgb="FF567B96"/>
      </bottom>
      <diagonal/>
    </border>
    <border>
      <left style="dotted">
        <color rgb="FF567B96"/>
      </left>
      <right style="medium">
        <color rgb="FF567B96"/>
      </right>
      <top style="dotted">
        <color rgb="FF567B96"/>
      </top>
      <bottom style="medium">
        <color rgb="FF567B96"/>
      </bottom>
      <diagonal/>
    </border>
    <border>
      <left style="medium">
        <color rgb="FF567B96"/>
      </left>
      <right/>
      <top style="medium">
        <color rgb="FF000000"/>
      </top>
      <bottom/>
      <diagonal/>
    </border>
    <border>
      <left style="medium">
        <color rgb="FF567B96"/>
      </left>
      <right style="medium">
        <color rgb="FF567B96"/>
      </right>
      <top style="dotted">
        <color rgb="FF567B96"/>
      </top>
      <bottom style="dotted">
        <color rgb="FF567B96"/>
      </bottom>
      <diagonal/>
    </border>
    <border>
      <left/>
      <right style="dotted">
        <color rgb="FF567B96"/>
      </right>
      <top style="dotted">
        <color rgb="FF567B96"/>
      </top>
      <bottom style="medium">
        <color rgb="FF567B96"/>
      </bottom>
      <diagonal/>
    </border>
    <border>
      <left/>
      <right/>
      <top style="dotted">
        <color rgb="FF567B96"/>
      </top>
      <bottom style="dotted">
        <color rgb="FF567B96"/>
      </bottom>
      <diagonal/>
    </border>
    <border>
      <left/>
      <right/>
      <top style="dotted">
        <color rgb="FF567B96"/>
      </top>
      <bottom style="medium">
        <color rgb="FF567B96"/>
      </bottom>
      <diagonal/>
    </border>
    <border>
      <left style="dotted">
        <color rgb="FF567B96"/>
      </left>
      <right/>
      <top style="dotted">
        <color rgb="FF567B96"/>
      </top>
      <bottom style="dotted">
        <color rgb="FF567B96"/>
      </bottom>
      <diagonal/>
    </border>
    <border>
      <left/>
      <right style="medium">
        <color rgb="FF567B96"/>
      </right>
      <top style="dotted">
        <color rgb="FF567B96"/>
      </top>
      <bottom style="dotted">
        <color rgb="FF567B9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rgb="FF000000"/>
      </bottom>
      <diagonal/>
    </border>
    <border>
      <left/>
      <right/>
      <top style="medium">
        <color indexed="64"/>
      </top>
      <bottom style="hair">
        <color rgb="FF000000"/>
      </bottom>
      <diagonal/>
    </border>
    <border>
      <left style="medium">
        <color indexed="64"/>
      </left>
      <right/>
      <top style="hair">
        <color rgb="FF000000"/>
      </top>
      <bottom style="medium">
        <color indexed="64"/>
      </bottom>
      <diagonal/>
    </border>
    <border>
      <left/>
      <right/>
      <top style="hair">
        <color rgb="FF000000"/>
      </top>
      <bottom style="medium">
        <color indexed="64"/>
      </bottom>
      <diagonal/>
    </border>
    <border>
      <left/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rgb="FF567B96"/>
      </right>
      <top style="dotted">
        <color rgb="FF567B96"/>
      </top>
      <bottom/>
      <diagonal/>
    </border>
    <border>
      <left style="dotted">
        <color rgb="FF567B96"/>
      </left>
      <right style="medium">
        <color rgb="FF567B96"/>
      </right>
      <top style="dotted">
        <color rgb="FF567B96"/>
      </top>
      <bottom/>
      <diagonal/>
    </border>
    <border>
      <left style="medium">
        <color indexed="64"/>
      </left>
      <right style="dotted">
        <color rgb="FF567B96"/>
      </right>
      <top style="medium">
        <color indexed="64"/>
      </top>
      <bottom style="medium">
        <color indexed="64"/>
      </bottom>
      <diagonal/>
    </border>
    <border>
      <left/>
      <right style="dotted">
        <color rgb="FF567B96"/>
      </right>
      <top style="medium">
        <color indexed="64"/>
      </top>
      <bottom style="medium">
        <color indexed="64"/>
      </bottom>
      <diagonal/>
    </border>
    <border>
      <left/>
      <right style="dotted">
        <color rgb="FF567B96"/>
      </right>
      <top/>
      <bottom style="dotted">
        <color rgb="FF567B96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medium">
        <color rgb="FF567B96"/>
      </left>
      <right/>
      <top style="dotted">
        <color rgb="FF567B96"/>
      </top>
      <bottom style="medium">
        <color rgb="FF567B96"/>
      </bottom>
      <diagonal/>
    </border>
    <border>
      <left style="medium">
        <color rgb="FF567B96"/>
      </left>
      <right style="medium">
        <color rgb="FF567B96"/>
      </right>
      <top style="dotted">
        <color rgb="FF567B96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dotted">
        <color rgb="FF567B96"/>
      </left>
      <right style="dotted">
        <color rgb="FF567B96"/>
      </right>
      <top style="dotted">
        <color rgb="FF567B96"/>
      </top>
      <bottom/>
      <diagonal/>
    </border>
    <border>
      <left style="thin">
        <color indexed="64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/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39994506668294322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4" tint="0.39994506668294322"/>
      </bottom>
      <diagonal/>
    </border>
    <border>
      <left style="thin">
        <color theme="4" tint="0.79998168889431442"/>
      </left>
      <right style="thin">
        <color theme="4" tint="0.79998168889431442"/>
      </right>
      <top style="medium">
        <color indexed="64"/>
      </top>
      <bottom style="thin">
        <color theme="4" tint="0.39994506668294322"/>
      </bottom>
      <diagonal/>
    </border>
    <border>
      <left style="thin">
        <color theme="4" tint="0.79998168889431442"/>
      </left>
      <right style="medium">
        <color indexed="64"/>
      </right>
      <top style="medium">
        <color indexed="64"/>
      </top>
      <bottom style="thin">
        <color theme="4" tint="0.39994506668294322"/>
      </bottom>
      <diagonal/>
    </border>
    <border>
      <left style="medium">
        <color indexed="64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79998168889431442"/>
      </left>
      <right style="medium">
        <color indexed="64"/>
      </right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indexed="64"/>
      </left>
      <right/>
      <top style="thin">
        <color theme="4" tint="0.39994506668294322"/>
      </top>
      <bottom style="medium">
        <color indexed="64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39994506668294322"/>
      </top>
      <bottom style="medium">
        <color indexed="64"/>
      </bottom>
      <diagonal/>
    </border>
    <border>
      <left style="thin">
        <color theme="4" tint="0.79998168889431442"/>
      </left>
      <right style="medium">
        <color indexed="64"/>
      </right>
      <top style="thin">
        <color theme="4" tint="0.39994506668294322"/>
      </top>
      <bottom style="medium">
        <color indexed="64"/>
      </bottom>
      <diagonal/>
    </border>
    <border>
      <left style="thin">
        <color theme="4" tint="0.79998168889431442"/>
      </left>
      <right/>
      <top style="medium">
        <color indexed="64"/>
      </top>
      <bottom style="thin">
        <color theme="4" tint="0.39994506668294322"/>
      </bottom>
      <diagonal/>
    </border>
    <border>
      <left style="thin">
        <color theme="4" tint="0.7999816888943144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79998168889431442"/>
      </left>
      <right/>
      <top style="thin">
        <color theme="4" tint="0.39994506668294322"/>
      </top>
      <bottom style="medium">
        <color indexed="64"/>
      </bottom>
      <diagonal/>
    </border>
    <border>
      <left style="medium">
        <color indexed="64"/>
      </left>
      <right style="thin">
        <color theme="4" tint="0.79998168889431442"/>
      </right>
      <top style="medium">
        <color indexed="64"/>
      </top>
      <bottom style="thin">
        <color theme="4" tint="0.39994506668294322"/>
      </bottom>
      <diagonal/>
    </border>
    <border>
      <left style="medium">
        <color indexed="64"/>
      </left>
      <right style="thin">
        <color theme="4" tint="0.79998168889431442"/>
      </right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indexed="64"/>
      </left>
      <right style="thin">
        <color theme="4" tint="0.79998168889431442"/>
      </right>
      <top style="thin">
        <color theme="4" tint="0.39994506668294322"/>
      </top>
      <bottom style="medium">
        <color indexed="64"/>
      </bottom>
      <diagonal/>
    </border>
    <border>
      <left style="medium">
        <color indexed="64"/>
      </left>
      <right/>
      <top style="medium">
        <color rgb="FF567B96"/>
      </top>
      <bottom/>
      <diagonal/>
    </border>
    <border>
      <left/>
      <right style="medium">
        <color indexed="64"/>
      </right>
      <top style="medium">
        <color rgb="FF567B96"/>
      </top>
      <bottom/>
      <diagonal/>
    </border>
    <border>
      <left style="dotted">
        <color rgb="FF808080"/>
      </left>
      <right style="dotted">
        <color rgb="FF808080"/>
      </right>
      <top style="dotted">
        <color rgb="FF808080"/>
      </top>
      <bottom style="dotted">
        <color rgb="FF808080"/>
      </bottom>
      <diagonal/>
    </border>
  </borders>
  <cellStyleXfs count="5">
    <xf numFmtId="0" fontId="0" fillId="0" borderId="0"/>
    <xf numFmtId="9" fontId="14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" fillId="0" borderId="14"/>
    <xf numFmtId="43" fontId="21" fillId="0" borderId="0" applyFont="0" applyFill="0" applyBorder="0" applyAlignment="0" applyProtection="0"/>
  </cellStyleXfs>
  <cellXfs count="710">
    <xf numFmtId="0" fontId="0" fillId="0" borderId="0" xfId="0"/>
    <xf numFmtId="0" fontId="3" fillId="0" borderId="0" xfId="0" applyFont="1"/>
    <xf numFmtId="0" fontId="2" fillId="0" borderId="0" xfId="0" applyFont="1"/>
    <xf numFmtId="165" fontId="5" fillId="0" borderId="0" xfId="0" applyNumberFormat="1" applyFont="1" applyAlignment="1">
      <alignment vertical="center"/>
    </xf>
    <xf numFmtId="44" fontId="5" fillId="0" borderId="0" xfId="0" applyNumberFormat="1" applyFont="1" applyAlignment="1">
      <alignment vertical="center"/>
    </xf>
    <xf numFmtId="44" fontId="2" fillId="0" borderId="0" xfId="0" applyNumberFormat="1" applyFont="1" applyAlignment="1">
      <alignment horizontal="center" vertical="center"/>
    </xf>
    <xf numFmtId="165" fontId="6" fillId="0" borderId="0" xfId="0" applyNumberFormat="1" applyFont="1" applyAlignment="1">
      <alignment vertical="center"/>
    </xf>
    <xf numFmtId="44" fontId="6" fillId="0" borderId="0" xfId="0" applyNumberFormat="1" applyFont="1" applyAlignment="1">
      <alignment vertical="center"/>
    </xf>
    <xf numFmtId="165" fontId="4" fillId="0" borderId="0" xfId="0" applyNumberFormat="1" applyFont="1" applyAlignment="1">
      <alignment vertical="center"/>
    </xf>
    <xf numFmtId="44" fontId="4" fillId="0" borderId="0" xfId="0" applyNumberFormat="1" applyFont="1" applyAlignment="1">
      <alignment vertical="center"/>
    </xf>
    <xf numFmtId="44" fontId="8" fillId="0" borderId="0" xfId="0" applyNumberFormat="1" applyFont="1"/>
    <xf numFmtId="4" fontId="3" fillId="0" borderId="0" xfId="0" applyNumberFormat="1" applyFont="1"/>
    <xf numFmtId="165" fontId="3" fillId="0" borderId="0" xfId="0" applyNumberFormat="1" applyFont="1"/>
    <xf numFmtId="0" fontId="3" fillId="0" borderId="0" xfId="0" applyFont="1" applyAlignment="1">
      <alignment vertical="center"/>
    </xf>
    <xf numFmtId="165" fontId="10" fillId="0" borderId="0" xfId="0" applyNumberFormat="1" applyFont="1" applyAlignment="1">
      <alignment vertical="center"/>
    </xf>
    <xf numFmtId="44" fontId="10" fillId="0" borderId="0" xfId="0" applyNumberFormat="1" applyFont="1" applyAlignment="1">
      <alignment vertical="center"/>
    </xf>
    <xf numFmtId="0" fontId="12" fillId="0" borderId="0" xfId="0" applyFont="1"/>
    <xf numFmtId="0" fontId="11" fillId="0" borderId="0" xfId="0" applyFont="1"/>
    <xf numFmtId="0" fontId="13" fillId="0" borderId="0" xfId="0" applyFont="1"/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0" borderId="0" xfId="0" applyFont="1"/>
    <xf numFmtId="44" fontId="17" fillId="0" borderId="0" xfId="0" applyNumberFormat="1" applyFont="1"/>
    <xf numFmtId="0" fontId="19" fillId="0" borderId="0" xfId="0" applyFont="1"/>
    <xf numFmtId="0" fontId="15" fillId="0" borderId="0" xfId="0" applyFont="1"/>
    <xf numFmtId="43" fontId="22" fillId="0" borderId="0" xfId="4" applyFont="1"/>
    <xf numFmtId="166" fontId="22" fillId="0" borderId="0" xfId="4" applyNumberFormat="1" applyFont="1"/>
    <xf numFmtId="0" fontId="0" fillId="0" borderId="14" xfId="0" applyBorder="1"/>
    <xf numFmtId="9" fontId="9" fillId="0" borderId="0" xfId="0" applyNumberFormat="1" applyFont="1" applyAlignment="1">
      <alignment vertical="center"/>
    </xf>
    <xf numFmtId="165" fontId="23" fillId="0" borderId="0" xfId="0" applyNumberFormat="1" applyFont="1" applyAlignment="1">
      <alignment vertical="center"/>
    </xf>
    <xf numFmtId="44" fontId="23" fillId="0" borderId="0" xfId="0" applyNumberFormat="1" applyFont="1" applyAlignment="1">
      <alignment vertical="center"/>
    </xf>
    <xf numFmtId="44" fontId="19" fillId="0" borderId="0" xfId="0" applyNumberFormat="1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14" fontId="2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/>
    </xf>
    <xf numFmtId="164" fontId="5" fillId="0" borderId="0" xfId="0" applyNumberFormat="1" applyFont="1" applyAlignment="1">
      <alignment horizontal="left" vertical="center"/>
    </xf>
    <xf numFmtId="164" fontId="6" fillId="0" borderId="0" xfId="0" applyNumberFormat="1" applyFont="1" applyAlignment="1">
      <alignment horizontal="left" vertical="center"/>
    </xf>
    <xf numFmtId="164" fontId="4" fillId="0" borderId="0" xfId="0" applyNumberFormat="1" applyFont="1" applyAlignment="1">
      <alignment horizontal="left" vertical="center"/>
    </xf>
    <xf numFmtId="164" fontId="10" fillId="0" borderId="0" xfId="0" applyNumberFormat="1" applyFont="1" applyAlignment="1">
      <alignment horizontal="left" vertical="center"/>
    </xf>
    <xf numFmtId="0" fontId="0" fillId="0" borderId="0" xfId="0" applyAlignment="1">
      <alignment horizontal="left"/>
    </xf>
    <xf numFmtId="44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vertical="center"/>
    </xf>
    <xf numFmtId="44" fontId="24" fillId="0" borderId="14" xfId="0" applyNumberFormat="1" applyFont="1" applyBorder="1" applyAlignment="1">
      <alignment horizontal="center" vertical="center"/>
    </xf>
    <xf numFmtId="44" fontId="19" fillId="0" borderId="14" xfId="0" applyNumberFormat="1" applyFont="1" applyBorder="1" applyAlignment="1">
      <alignment vertical="center"/>
    </xf>
    <xf numFmtId="44" fontId="25" fillId="0" borderId="14" xfId="0" applyNumberFormat="1" applyFont="1" applyBorder="1" applyAlignment="1">
      <alignment horizontal="center" vertical="center"/>
    </xf>
    <xf numFmtId="0" fontId="2" fillId="0" borderId="14" xfId="0" applyFont="1" applyBorder="1"/>
    <xf numFmtId="0" fontId="7" fillId="0" borderId="14" xfId="0" applyFont="1" applyBorder="1"/>
    <xf numFmtId="0" fontId="3" fillId="0" borderId="14" xfId="0" applyFont="1" applyBorder="1"/>
    <xf numFmtId="44" fontId="4" fillId="0" borderId="14" xfId="0" applyNumberFormat="1" applyFont="1" applyBorder="1" applyAlignment="1">
      <alignment horizontal="center"/>
    </xf>
    <xf numFmtId="14" fontId="26" fillId="0" borderId="0" xfId="0" applyNumberFormat="1" applyFont="1" applyAlignment="1">
      <alignment horizontal="left" vertical="center"/>
    </xf>
    <xf numFmtId="165" fontId="26" fillId="0" borderId="0" xfId="0" applyNumberFormat="1" applyFont="1" applyAlignment="1">
      <alignment vertical="center"/>
    </xf>
    <xf numFmtId="44" fontId="26" fillId="0" borderId="0" xfId="0" applyNumberFormat="1" applyFont="1" applyAlignment="1">
      <alignment vertical="center"/>
    </xf>
    <xf numFmtId="0" fontId="30" fillId="0" borderId="0" xfId="0" applyFont="1"/>
    <xf numFmtId="0" fontId="30" fillId="0" borderId="14" xfId="0" applyFont="1" applyBorder="1" applyAlignment="1">
      <alignment vertical="center"/>
    </xf>
    <xf numFmtId="0" fontId="31" fillId="0" borderId="0" xfId="0" applyFont="1" applyAlignment="1">
      <alignment vertical="center"/>
    </xf>
    <xf numFmtId="44" fontId="32" fillId="0" borderId="0" xfId="0" applyNumberFormat="1" applyFont="1" applyAlignment="1">
      <alignment vertical="center"/>
    </xf>
    <xf numFmtId="44" fontId="30" fillId="0" borderId="0" xfId="0" applyNumberFormat="1" applyFont="1"/>
    <xf numFmtId="10" fontId="30" fillId="0" borderId="0" xfId="1" applyNumberFormat="1" applyFont="1"/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44" fontId="35" fillId="0" borderId="0" xfId="0" applyNumberFormat="1" applyFont="1"/>
    <xf numFmtId="0" fontId="36" fillId="0" borderId="0" xfId="0" applyFont="1" applyAlignment="1">
      <alignment vertical="center"/>
    </xf>
    <xf numFmtId="9" fontId="30" fillId="0" borderId="0" xfId="0" applyNumberFormat="1" applyFont="1"/>
    <xf numFmtId="44" fontId="37" fillId="27" borderId="0" xfId="0" applyNumberFormat="1" applyFont="1" applyFill="1" applyAlignment="1">
      <alignment vertical="center"/>
    </xf>
    <xf numFmtId="44" fontId="30" fillId="0" borderId="0" xfId="0" applyNumberFormat="1" applyFont="1" applyAlignment="1">
      <alignment vertical="center"/>
    </xf>
    <xf numFmtId="0" fontId="30" fillId="0" borderId="0" xfId="0" applyFont="1" applyAlignment="1">
      <alignment vertical="center"/>
    </xf>
    <xf numFmtId="44" fontId="30" fillId="0" borderId="0" xfId="2" applyFont="1"/>
    <xf numFmtId="9" fontId="30" fillId="0" borderId="0" xfId="1" applyFont="1"/>
    <xf numFmtId="2" fontId="30" fillId="0" borderId="0" xfId="0" applyNumberFormat="1" applyFont="1"/>
    <xf numFmtId="1" fontId="30" fillId="0" borderId="0" xfId="0" applyNumberFormat="1" applyFont="1"/>
    <xf numFmtId="0" fontId="35" fillId="0" borderId="0" xfId="0" applyFont="1"/>
    <xf numFmtId="178" fontId="35" fillId="0" borderId="0" xfId="0" applyNumberFormat="1" applyFont="1"/>
    <xf numFmtId="9" fontId="38" fillId="27" borderId="0" xfId="0" applyNumberFormat="1" applyFont="1" applyFill="1"/>
    <xf numFmtId="44" fontId="35" fillId="0" borderId="0" xfId="2" applyFont="1"/>
    <xf numFmtId="0" fontId="39" fillId="0" borderId="69" xfId="0" applyFont="1" applyBorder="1" applyAlignment="1">
      <alignment horizontal="right" vertical="center"/>
    </xf>
    <xf numFmtId="44" fontId="39" fillId="0" borderId="70" xfId="0" applyNumberFormat="1" applyFont="1" applyBorder="1" applyAlignment="1">
      <alignment vertical="center"/>
    </xf>
    <xf numFmtId="44" fontId="39" fillId="0" borderId="70" xfId="0" applyNumberFormat="1" applyFont="1" applyBorder="1"/>
    <xf numFmtId="44" fontId="39" fillId="0" borderId="71" xfId="0" applyNumberFormat="1" applyFont="1" applyBorder="1"/>
    <xf numFmtId="44" fontId="39" fillId="0" borderId="69" xfId="0" applyNumberFormat="1" applyFont="1" applyBorder="1" applyAlignment="1">
      <alignment horizontal="center" vertical="center"/>
    </xf>
    <xf numFmtId="44" fontId="41" fillId="28" borderId="71" xfId="0" applyNumberFormat="1" applyFont="1" applyFill="1" applyBorder="1" applyAlignment="1">
      <alignment horizontal="center" vertical="center"/>
    </xf>
    <xf numFmtId="44" fontId="30" fillId="0" borderId="0" xfId="2" applyFont="1" applyAlignment="1">
      <alignment vertical="center"/>
    </xf>
    <xf numFmtId="9" fontId="30" fillId="0" borderId="0" xfId="1" applyFont="1" applyAlignment="1">
      <alignment vertical="center"/>
    </xf>
    <xf numFmtId="0" fontId="30" fillId="0" borderId="0" xfId="0" applyFont="1" applyAlignment="1">
      <alignment horizontal="right"/>
    </xf>
    <xf numFmtId="176" fontId="30" fillId="0" borderId="14" xfId="1" applyNumberFormat="1" applyFont="1" applyBorder="1"/>
    <xf numFmtId="0" fontId="30" fillId="0" borderId="0" xfId="0" applyFont="1" applyAlignment="1">
      <alignment horizontal="right" vertical="center"/>
    </xf>
    <xf numFmtId="0" fontId="30" fillId="0" borderId="14" xfId="0" applyFont="1" applyBorder="1"/>
    <xf numFmtId="44" fontId="30" fillId="0" borderId="14" xfId="2" applyFont="1" applyBorder="1" applyAlignment="1">
      <alignment vertical="center"/>
    </xf>
    <xf numFmtId="44" fontId="30" fillId="0" borderId="14" xfId="0" applyNumberFormat="1" applyFont="1" applyBorder="1"/>
    <xf numFmtId="177" fontId="30" fillId="0" borderId="14" xfId="0" applyNumberFormat="1" applyFont="1" applyBorder="1"/>
    <xf numFmtId="44" fontId="30" fillId="0" borderId="14" xfId="2" applyFont="1" applyBorder="1"/>
    <xf numFmtId="44" fontId="35" fillId="0" borderId="14" xfId="0" applyNumberFormat="1" applyFont="1" applyBorder="1"/>
    <xf numFmtId="44" fontId="35" fillId="0" borderId="14" xfId="2" applyFont="1" applyBorder="1"/>
    <xf numFmtId="44" fontId="43" fillId="14" borderId="57" xfId="0" applyNumberFormat="1" applyFont="1" applyFill="1" applyBorder="1" applyAlignment="1">
      <alignment horizontal="center"/>
    </xf>
    <xf numFmtId="0" fontId="42" fillId="0" borderId="53" xfId="0" applyFont="1" applyBorder="1" applyAlignment="1">
      <alignment horizontal="right"/>
    </xf>
    <xf numFmtId="44" fontId="44" fillId="24" borderId="45" xfId="0" applyNumberFormat="1" applyFont="1" applyFill="1" applyBorder="1" applyAlignment="1">
      <alignment horizontal="center"/>
    </xf>
    <xf numFmtId="0" fontId="42" fillId="0" borderId="55" xfId="0" applyFont="1" applyBorder="1"/>
    <xf numFmtId="44" fontId="42" fillId="0" borderId="47" xfId="0" applyNumberFormat="1" applyFont="1" applyBorder="1" applyAlignment="1">
      <alignment horizontal="center"/>
    </xf>
    <xf numFmtId="44" fontId="42" fillId="0" borderId="49" xfId="2" applyFont="1" applyBorder="1" applyAlignment="1">
      <alignment horizontal="center"/>
    </xf>
    <xf numFmtId="44" fontId="42" fillId="0" borderId="48" xfId="0" applyNumberFormat="1" applyFont="1" applyBorder="1" applyAlignment="1">
      <alignment horizontal="center"/>
    </xf>
    <xf numFmtId="0" fontId="45" fillId="19" borderId="14" xfId="0" applyFont="1" applyFill="1" applyBorder="1" applyAlignment="1">
      <alignment vertical="center"/>
    </xf>
    <xf numFmtId="0" fontId="45" fillId="19" borderId="24" xfId="0" applyFont="1" applyFill="1" applyBorder="1" applyAlignment="1">
      <alignment vertical="center"/>
    </xf>
    <xf numFmtId="0" fontId="46" fillId="0" borderId="0" xfId="0" applyFont="1" applyAlignment="1">
      <alignment horizontal="right"/>
    </xf>
    <xf numFmtId="0" fontId="46" fillId="0" borderId="0" xfId="0" applyFont="1"/>
    <xf numFmtId="44" fontId="47" fillId="0" borderId="0" xfId="0" applyNumberFormat="1" applyFont="1"/>
    <xf numFmtId="0" fontId="30" fillId="0" borderId="38" xfId="0" applyFont="1" applyBorder="1" applyAlignment="1">
      <alignment horizontal="right"/>
    </xf>
    <xf numFmtId="0" fontId="48" fillId="0" borderId="38" xfId="0" applyFont="1" applyBorder="1"/>
    <xf numFmtId="44" fontId="49" fillId="0" borderId="39" xfId="0" applyNumberFormat="1" applyFont="1" applyBorder="1" applyAlignment="1">
      <alignment horizontal="center"/>
    </xf>
    <xf numFmtId="44" fontId="43" fillId="14" borderId="39" xfId="0" applyNumberFormat="1" applyFont="1" applyFill="1" applyBorder="1" applyAlignment="1">
      <alignment horizontal="center"/>
    </xf>
    <xf numFmtId="44" fontId="50" fillId="0" borderId="52" xfId="0" applyNumberFormat="1" applyFont="1" applyBorder="1" applyAlignment="1">
      <alignment horizontal="center"/>
    </xf>
    <xf numFmtId="44" fontId="50" fillId="0" borderId="8" xfId="0" applyNumberFormat="1" applyFont="1" applyBorder="1" applyAlignment="1">
      <alignment horizontal="center"/>
    </xf>
    <xf numFmtId="166" fontId="48" fillId="0" borderId="53" xfId="0" applyNumberFormat="1" applyFont="1" applyBorder="1" applyAlignment="1">
      <alignment horizontal="right" vertical="center"/>
    </xf>
    <xf numFmtId="0" fontId="52" fillId="0" borderId="53" xfId="0" applyFont="1" applyBorder="1"/>
    <xf numFmtId="0" fontId="52" fillId="0" borderId="55" xfId="0" applyFont="1" applyBorder="1"/>
    <xf numFmtId="44" fontId="53" fillId="0" borderId="47" xfId="0" applyNumberFormat="1" applyFont="1" applyBorder="1" applyAlignment="1">
      <alignment horizontal="center"/>
    </xf>
    <xf numFmtId="44" fontId="54" fillId="14" borderId="57" xfId="0" applyNumberFormat="1" applyFont="1" applyFill="1" applyBorder="1" applyAlignment="1">
      <alignment horizontal="center"/>
    </xf>
    <xf numFmtId="44" fontId="53" fillId="0" borderId="47" xfId="2" applyFont="1" applyBorder="1" applyAlignment="1">
      <alignment horizontal="center"/>
    </xf>
    <xf numFmtId="44" fontId="50" fillId="0" borderId="48" xfId="0" applyNumberFormat="1" applyFont="1" applyBorder="1" applyAlignment="1">
      <alignment horizontal="center"/>
    </xf>
    <xf numFmtId="44" fontId="50" fillId="0" borderId="45" xfId="0" applyNumberFormat="1" applyFont="1" applyBorder="1" applyAlignment="1">
      <alignment horizontal="center"/>
    </xf>
    <xf numFmtId="44" fontId="48" fillId="0" borderId="45" xfId="0" applyNumberFormat="1" applyFont="1" applyBorder="1" applyAlignment="1">
      <alignment horizontal="center"/>
    </xf>
    <xf numFmtId="44" fontId="48" fillId="25" borderId="45" xfId="0" applyNumberFormat="1" applyFont="1" applyFill="1" applyBorder="1" applyAlignment="1">
      <alignment horizontal="center"/>
    </xf>
    <xf numFmtId="0" fontId="46" fillId="0" borderId="14" xfId="0" applyFont="1" applyBorder="1"/>
    <xf numFmtId="0" fontId="42" fillId="25" borderId="53" xfId="0" applyFont="1" applyFill="1" applyBorder="1"/>
    <xf numFmtId="44" fontId="42" fillId="0" borderId="58" xfId="2" applyFont="1" applyBorder="1" applyAlignment="1">
      <alignment horizontal="center"/>
    </xf>
    <xf numFmtId="44" fontId="44" fillId="0" borderId="45" xfId="0" applyNumberFormat="1" applyFont="1" applyBorder="1" applyAlignment="1">
      <alignment horizontal="center"/>
    </xf>
    <xf numFmtId="44" fontId="51" fillId="14" borderId="46" xfId="2" applyFont="1" applyFill="1" applyBorder="1"/>
    <xf numFmtId="0" fontId="51" fillId="14" borderId="40" xfId="0" applyFont="1" applyFill="1" applyBorder="1"/>
    <xf numFmtId="0" fontId="42" fillId="0" borderId="53" xfId="0" applyFont="1" applyBorder="1"/>
    <xf numFmtId="44" fontId="42" fillId="0" borderId="45" xfId="0" applyNumberFormat="1" applyFont="1" applyBorder="1" applyAlignment="1">
      <alignment horizontal="center"/>
    </xf>
    <xf numFmtId="44" fontId="42" fillId="0" borderId="72" xfId="0" applyNumberFormat="1" applyFont="1" applyBorder="1" applyAlignment="1">
      <alignment horizontal="center"/>
    </xf>
    <xf numFmtId="44" fontId="42" fillId="25" borderId="77" xfId="0" applyNumberFormat="1" applyFont="1" applyFill="1" applyBorder="1" applyAlignment="1">
      <alignment horizontal="center"/>
    </xf>
    <xf numFmtId="44" fontId="57" fillId="0" borderId="45" xfId="0" applyNumberFormat="1" applyFont="1" applyBorder="1" applyAlignment="1">
      <alignment horizontal="center"/>
    </xf>
    <xf numFmtId="44" fontId="58" fillId="0" borderId="45" xfId="0" applyNumberFormat="1" applyFont="1" applyBorder="1" applyAlignment="1">
      <alignment horizontal="center"/>
    </xf>
    <xf numFmtId="0" fontId="51" fillId="14" borderId="46" xfId="0" applyFont="1" applyFill="1" applyBorder="1"/>
    <xf numFmtId="0" fontId="55" fillId="24" borderId="45" xfId="0" applyFont="1" applyFill="1" applyBorder="1"/>
    <xf numFmtId="0" fontId="59" fillId="0" borderId="0" xfId="0" applyFont="1"/>
    <xf numFmtId="44" fontId="42" fillId="0" borderId="76" xfId="0" applyNumberFormat="1" applyFont="1" applyBorder="1" applyAlignment="1">
      <alignment horizontal="center"/>
    </xf>
    <xf numFmtId="0" fontId="42" fillId="0" borderId="79" xfId="0" applyFont="1" applyBorder="1"/>
    <xf numFmtId="44" fontId="42" fillId="0" borderId="73" xfId="2" applyFont="1" applyBorder="1" applyAlignment="1">
      <alignment horizontal="center"/>
    </xf>
    <xf numFmtId="0" fontId="30" fillId="0" borderId="37" xfId="0" applyFont="1" applyBorder="1"/>
    <xf numFmtId="0" fontId="42" fillId="0" borderId="78" xfId="0" applyFont="1" applyBorder="1" applyAlignment="1">
      <alignment horizontal="right"/>
    </xf>
    <xf numFmtId="0" fontId="42" fillId="0" borderId="56" xfId="0" applyFont="1" applyBorder="1"/>
    <xf numFmtId="44" fontId="60" fillId="0" borderId="74" xfId="0" applyNumberFormat="1" applyFont="1" applyBorder="1" applyAlignment="1">
      <alignment horizontal="center"/>
    </xf>
    <xf numFmtId="44" fontId="60" fillId="0" borderId="75" xfId="0" applyNumberFormat="1" applyFont="1" applyBorder="1" applyAlignment="1">
      <alignment horizontal="center"/>
    </xf>
    <xf numFmtId="44" fontId="60" fillId="0" borderId="71" xfId="0" applyNumberFormat="1" applyFont="1" applyBorder="1" applyAlignment="1">
      <alignment horizontal="center"/>
    </xf>
    <xf numFmtId="44" fontId="61" fillId="0" borderId="54" xfId="0" applyNumberFormat="1" applyFont="1" applyBorder="1"/>
    <xf numFmtId="44" fontId="61" fillId="0" borderId="50" xfId="0" applyNumberFormat="1" applyFont="1" applyBorder="1"/>
    <xf numFmtId="44" fontId="61" fillId="0" borderId="51" xfId="0" applyNumberFormat="1" applyFont="1" applyBorder="1"/>
    <xf numFmtId="165" fontId="30" fillId="0" borderId="0" xfId="0" applyNumberFormat="1" applyFont="1"/>
    <xf numFmtId="4" fontId="65" fillId="16" borderId="59" xfId="0" applyNumberFormat="1" applyFont="1" applyFill="1" applyBorder="1" applyAlignment="1">
      <alignment horizontal="center" vertical="center"/>
    </xf>
    <xf numFmtId="4" fontId="66" fillId="26" borderId="59" xfId="0" applyNumberFormat="1" applyFont="1" applyFill="1" applyBorder="1" applyAlignment="1">
      <alignment horizontal="center" vertical="center"/>
    </xf>
    <xf numFmtId="0" fontId="40" fillId="0" borderId="14" xfId="0" applyFont="1" applyBorder="1"/>
    <xf numFmtId="174" fontId="67" fillId="0" borderId="0" xfId="0" applyNumberFormat="1" applyFont="1"/>
    <xf numFmtId="174" fontId="30" fillId="0" borderId="0" xfId="0" applyNumberFormat="1" applyFont="1"/>
    <xf numFmtId="0" fontId="63" fillId="0" borderId="0" xfId="0" applyFont="1"/>
    <xf numFmtId="0" fontId="48" fillId="0" borderId="0" xfId="0" applyFont="1"/>
    <xf numFmtId="44" fontId="48" fillId="0" borderId="0" xfId="0" applyNumberFormat="1" applyFont="1"/>
    <xf numFmtId="0" fontId="56" fillId="0" borderId="27" xfId="0" applyFont="1" applyBorder="1" applyAlignment="1">
      <alignment vertical="center"/>
    </xf>
    <xf numFmtId="0" fontId="56" fillId="0" borderId="29" xfId="0" applyFont="1" applyBorder="1" applyAlignment="1">
      <alignment vertical="center"/>
    </xf>
    <xf numFmtId="0" fontId="48" fillId="0" borderId="0" xfId="0" applyFont="1" applyAlignment="1">
      <alignment horizontal="center" vertical="center"/>
    </xf>
    <xf numFmtId="0" fontId="44" fillId="0" borderId="30" xfId="0" applyFont="1" applyBorder="1" applyAlignment="1">
      <alignment vertical="center"/>
    </xf>
    <xf numFmtId="0" fontId="44" fillId="0" borderId="31" xfId="0" applyFont="1" applyBorder="1" applyAlignment="1">
      <alignment vertical="center"/>
    </xf>
    <xf numFmtId="44" fontId="60" fillId="0" borderId="14" xfId="2" applyFont="1" applyFill="1" applyBorder="1" applyAlignment="1">
      <alignment vertical="center"/>
    </xf>
    <xf numFmtId="0" fontId="70" fillId="0" borderId="30" xfId="0" applyFont="1" applyBorder="1" applyAlignment="1">
      <alignment vertical="center"/>
    </xf>
    <xf numFmtId="0" fontId="70" fillId="0" borderId="31" xfId="0" applyFont="1" applyBorder="1" applyAlignment="1">
      <alignment vertical="center" wrapText="1"/>
    </xf>
    <xf numFmtId="44" fontId="63" fillId="0" borderId="0" xfId="0" applyNumberFormat="1" applyFont="1"/>
    <xf numFmtId="0" fontId="42" fillId="0" borderId="32" xfId="0" applyFont="1" applyBorder="1" applyAlignment="1">
      <alignment vertical="center"/>
    </xf>
    <xf numFmtId="0" fontId="42" fillId="0" borderId="34" xfId="0" applyFont="1" applyBorder="1" applyAlignment="1">
      <alignment vertical="center"/>
    </xf>
    <xf numFmtId="0" fontId="63" fillId="0" borderId="14" xfId="0" applyFont="1" applyBorder="1"/>
    <xf numFmtId="44" fontId="63" fillId="0" borderId="14" xfId="0" applyNumberFormat="1" applyFont="1" applyBorder="1" applyAlignment="1">
      <alignment vertical="center"/>
    </xf>
    <xf numFmtId="44" fontId="72" fillId="0" borderId="14" xfId="0" applyNumberFormat="1" applyFont="1" applyBorder="1" applyAlignment="1">
      <alignment vertical="center"/>
    </xf>
    <xf numFmtId="44" fontId="72" fillId="0" borderId="0" xfId="0" applyNumberFormat="1" applyFont="1" applyAlignment="1">
      <alignment vertical="center"/>
    </xf>
    <xf numFmtId="165" fontId="63" fillId="0" borderId="0" xfId="0" applyNumberFormat="1" applyFont="1"/>
    <xf numFmtId="44" fontId="63" fillId="0" borderId="14" xfId="0" applyNumberFormat="1" applyFont="1" applyBorder="1"/>
    <xf numFmtId="10" fontId="73" fillId="20" borderId="28" xfId="0" applyNumberFormat="1" applyFont="1" applyFill="1" applyBorder="1" applyAlignment="1">
      <alignment horizontal="right"/>
    </xf>
    <xf numFmtId="10" fontId="73" fillId="20" borderId="29" xfId="0" applyNumberFormat="1" applyFont="1" applyFill="1" applyBorder="1" applyAlignment="1">
      <alignment horizontal="right"/>
    </xf>
    <xf numFmtId="14" fontId="75" fillId="0" borderId="0" xfId="0" applyNumberFormat="1" applyFont="1" applyAlignment="1">
      <alignment horizontal="left" vertical="center"/>
    </xf>
    <xf numFmtId="165" fontId="75" fillId="0" borderId="0" xfId="0" applyNumberFormat="1" applyFont="1" applyAlignment="1">
      <alignment vertical="center"/>
    </xf>
    <xf numFmtId="44" fontId="75" fillId="0" borderId="0" xfId="0" applyNumberFormat="1" applyFont="1" applyAlignment="1">
      <alignment vertical="center"/>
    </xf>
    <xf numFmtId="44" fontId="75" fillId="0" borderId="0" xfId="2" applyFont="1" applyAlignment="1">
      <alignment vertical="center"/>
    </xf>
    <xf numFmtId="14" fontId="76" fillId="0" borderId="0" xfId="0" applyNumberFormat="1" applyFont="1" applyAlignment="1">
      <alignment horizontal="left" vertical="center"/>
    </xf>
    <xf numFmtId="165" fontId="76" fillId="0" borderId="0" xfId="0" applyNumberFormat="1" applyFont="1" applyAlignment="1">
      <alignment vertical="center"/>
    </xf>
    <xf numFmtId="44" fontId="76" fillId="0" borderId="0" xfId="0" applyNumberFormat="1" applyFont="1" applyAlignment="1">
      <alignment vertical="center"/>
    </xf>
    <xf numFmtId="0" fontId="77" fillId="0" borderId="0" xfId="0" applyFont="1" applyAlignment="1">
      <alignment vertical="center"/>
    </xf>
    <xf numFmtId="44" fontId="78" fillId="0" borderId="0" xfId="0" applyNumberFormat="1" applyFont="1"/>
    <xf numFmtId="43" fontId="79" fillId="0" borderId="0" xfId="0" applyNumberFormat="1" applyFont="1"/>
    <xf numFmtId="0" fontId="79" fillId="0" borderId="0" xfId="0" applyFont="1"/>
    <xf numFmtId="44" fontId="79" fillId="0" borderId="14" xfId="0" applyNumberFormat="1" applyFont="1" applyBorder="1"/>
    <xf numFmtId="44" fontId="30" fillId="0" borderId="14" xfId="0" applyNumberFormat="1" applyFont="1" applyBorder="1" applyAlignment="1">
      <alignment vertical="center"/>
    </xf>
    <xf numFmtId="44" fontId="79" fillId="0" borderId="70" xfId="0" applyNumberFormat="1" applyFont="1" applyBorder="1"/>
    <xf numFmtId="44" fontId="79" fillId="0" borderId="33" xfId="0" applyNumberFormat="1" applyFont="1" applyBorder="1"/>
    <xf numFmtId="44" fontId="78" fillId="0" borderId="14" xfId="0" applyNumberFormat="1" applyFont="1" applyBorder="1"/>
    <xf numFmtId="0" fontId="82" fillId="0" borderId="0" xfId="0" applyFont="1" applyAlignment="1">
      <alignment vertical="center"/>
    </xf>
    <xf numFmtId="0" fontId="83" fillId="0" borderId="0" xfId="0" applyFont="1" applyAlignment="1">
      <alignment horizontal="right" vertical="center"/>
    </xf>
    <xf numFmtId="44" fontId="84" fillId="0" borderId="0" xfId="0" applyNumberFormat="1" applyFont="1" applyAlignment="1">
      <alignment vertical="center"/>
    </xf>
    <xf numFmtId="0" fontId="83" fillId="13" borderId="0" xfId="0" applyFont="1" applyFill="1" applyAlignment="1">
      <alignment vertical="center"/>
    </xf>
    <xf numFmtId="0" fontId="83" fillId="0" borderId="0" xfId="0" applyFont="1"/>
    <xf numFmtId="44" fontId="85" fillId="0" borderId="0" xfId="0" applyNumberFormat="1" applyFont="1"/>
    <xf numFmtId="0" fontId="81" fillId="0" borderId="0" xfId="0" applyFont="1"/>
    <xf numFmtId="0" fontId="81" fillId="0" borderId="0" xfId="0" applyFont="1" applyAlignment="1">
      <alignment vertical="center"/>
    </xf>
    <xf numFmtId="0" fontId="87" fillId="13" borderId="0" xfId="0" applyFont="1" applyFill="1" applyAlignment="1">
      <alignment horizontal="center" vertical="center"/>
    </xf>
    <xf numFmtId="44" fontId="81" fillId="0" borderId="0" xfId="0" applyNumberFormat="1" applyFont="1"/>
    <xf numFmtId="0" fontId="88" fillId="0" borderId="0" xfId="0" applyFont="1" applyAlignment="1">
      <alignment vertical="center"/>
    </xf>
    <xf numFmtId="44" fontId="81" fillId="13" borderId="0" xfId="0" applyNumberFormat="1" applyFont="1" applyFill="1" applyAlignment="1">
      <alignment vertical="center"/>
    </xf>
    <xf numFmtId="44" fontId="81" fillId="0" borderId="0" xfId="2" applyFont="1"/>
    <xf numFmtId="0" fontId="89" fillId="0" borderId="0" xfId="0" applyFont="1" applyAlignment="1">
      <alignment vertical="center"/>
    </xf>
    <xf numFmtId="9" fontId="81" fillId="0" borderId="0" xfId="0" applyNumberFormat="1" applyFont="1"/>
    <xf numFmtId="0" fontId="90" fillId="0" borderId="0" xfId="0" applyFont="1" applyAlignment="1">
      <alignment vertical="center"/>
    </xf>
    <xf numFmtId="44" fontId="91" fillId="0" borderId="0" xfId="0" applyNumberFormat="1" applyFont="1" applyAlignment="1">
      <alignment vertical="center"/>
    </xf>
    <xf numFmtId="44" fontId="92" fillId="0" borderId="17" xfId="0" applyNumberFormat="1" applyFont="1" applyBorder="1" applyAlignment="1">
      <alignment horizontal="center"/>
    </xf>
    <xf numFmtId="44" fontId="92" fillId="0" borderId="12" xfId="0" applyNumberFormat="1" applyFont="1" applyBorder="1"/>
    <xf numFmtId="44" fontId="81" fillId="13" borderId="0" xfId="0" applyNumberFormat="1" applyFont="1" applyFill="1"/>
    <xf numFmtId="44" fontId="93" fillId="0" borderId="17" xfId="0" applyNumberFormat="1" applyFont="1" applyBorder="1" applyAlignment="1">
      <alignment horizontal="center"/>
    </xf>
    <xf numFmtId="44" fontId="93" fillId="0" borderId="18" xfId="0" applyNumberFormat="1" applyFont="1" applyBorder="1"/>
    <xf numFmtId="4" fontId="94" fillId="0" borderId="17" xfId="0" applyNumberFormat="1" applyFont="1" applyBorder="1" applyAlignment="1">
      <alignment horizontal="center" vertical="center"/>
    </xf>
    <xf numFmtId="44" fontId="94" fillId="0" borderId="12" xfId="0" applyNumberFormat="1" applyFont="1" applyBorder="1" applyAlignment="1">
      <alignment horizontal="center" vertical="center"/>
    </xf>
    <xf numFmtId="44" fontId="81" fillId="0" borderId="0" xfId="2" applyFont="1" applyAlignment="1">
      <alignment horizontal="center"/>
    </xf>
    <xf numFmtId="9" fontId="81" fillId="13" borderId="0" xfId="0" applyNumberFormat="1" applyFont="1" applyFill="1"/>
    <xf numFmtId="4" fontId="95" fillId="0" borderId="17" xfId="0" applyNumberFormat="1" applyFont="1" applyBorder="1" applyAlignment="1">
      <alignment horizontal="center"/>
    </xf>
    <xf numFmtId="44" fontId="95" fillId="0" borderId="19" xfId="0" applyNumberFormat="1" applyFont="1" applyBorder="1"/>
    <xf numFmtId="44" fontId="96" fillId="7" borderId="12" xfId="0" applyNumberFormat="1" applyFont="1" applyFill="1" applyBorder="1" applyAlignment="1">
      <alignment horizontal="center"/>
    </xf>
    <xf numFmtId="44" fontId="96" fillId="7" borderId="12" xfId="0" applyNumberFormat="1" applyFont="1" applyFill="1" applyBorder="1"/>
    <xf numFmtId="9" fontId="85" fillId="0" borderId="0" xfId="0" applyNumberFormat="1" applyFont="1"/>
    <xf numFmtId="0" fontId="81" fillId="13" borderId="0" xfId="0" applyFont="1" applyFill="1"/>
    <xf numFmtId="44" fontId="96" fillId="2" borderId="12" xfId="0" applyNumberFormat="1" applyFont="1" applyFill="1" applyBorder="1" applyAlignment="1">
      <alignment horizontal="center"/>
    </xf>
    <xf numFmtId="44" fontId="96" fillId="2" borderId="12" xfId="0" applyNumberFormat="1" applyFont="1" applyFill="1" applyBorder="1"/>
    <xf numFmtId="44" fontId="86" fillId="5" borderId="12" xfId="0" applyNumberFormat="1" applyFont="1" applyFill="1" applyBorder="1" applyAlignment="1">
      <alignment horizontal="center"/>
    </xf>
    <xf numFmtId="44" fontId="81" fillId="8" borderId="12" xfId="0" applyNumberFormat="1" applyFont="1" applyFill="1" applyBorder="1"/>
    <xf numFmtId="44" fontId="81" fillId="0" borderId="71" xfId="0" applyNumberFormat="1" applyFont="1" applyBorder="1"/>
    <xf numFmtId="0" fontId="97" fillId="0" borderId="0" xfId="0" applyFont="1" applyAlignment="1">
      <alignment horizontal="right" vertical="center"/>
    </xf>
    <xf numFmtId="44" fontId="98" fillId="0" borderId="0" xfId="0" applyNumberFormat="1" applyFont="1" applyAlignment="1">
      <alignment vertical="center"/>
    </xf>
    <xf numFmtId="0" fontId="97" fillId="0" borderId="0" xfId="0" applyFont="1" applyAlignment="1">
      <alignment vertical="center"/>
    </xf>
    <xf numFmtId="0" fontId="97" fillId="13" borderId="0" xfId="0" applyFont="1" applyFill="1" applyAlignment="1">
      <alignment vertical="center"/>
    </xf>
    <xf numFmtId="9" fontId="97" fillId="0" borderId="0" xfId="0" applyNumberFormat="1" applyFont="1" applyAlignment="1">
      <alignment vertical="center"/>
    </xf>
    <xf numFmtId="0" fontId="97" fillId="0" borderId="0" xfId="0" applyFont="1"/>
    <xf numFmtId="44" fontId="97" fillId="0" borderId="0" xfId="0" applyNumberFormat="1" applyFont="1"/>
    <xf numFmtId="0" fontId="79" fillId="0" borderId="0" xfId="0" applyFont="1" applyAlignment="1">
      <alignment vertical="center"/>
    </xf>
    <xf numFmtId="44" fontId="99" fillId="0" borderId="0" xfId="0" applyNumberFormat="1" applyFont="1" applyAlignment="1">
      <alignment horizontal="center" vertical="center"/>
    </xf>
    <xf numFmtId="44" fontId="80" fillId="0" borderId="0" xfId="2" applyFont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80" fillId="13" borderId="0" xfId="0" applyFont="1" applyFill="1" applyAlignment="1">
      <alignment horizontal="center" vertical="center"/>
    </xf>
    <xf numFmtId="44" fontId="79" fillId="0" borderId="0" xfId="0" applyNumberFormat="1" applyFont="1"/>
    <xf numFmtId="0" fontId="100" fillId="0" borderId="0" xfId="0" applyFont="1" applyAlignment="1">
      <alignment vertical="center"/>
    </xf>
    <xf numFmtId="44" fontId="79" fillId="13" borderId="0" xfId="0" applyNumberFormat="1" applyFont="1" applyFill="1" applyAlignment="1">
      <alignment vertical="center"/>
    </xf>
    <xf numFmtId="44" fontId="79" fillId="0" borderId="0" xfId="0" applyNumberFormat="1" applyFont="1" applyAlignment="1">
      <alignment vertical="center"/>
    </xf>
    <xf numFmtId="44" fontId="79" fillId="0" borderId="0" xfId="2" applyFont="1"/>
    <xf numFmtId="0" fontId="101" fillId="0" borderId="0" xfId="0" applyFont="1" applyAlignment="1">
      <alignment vertical="center"/>
    </xf>
    <xf numFmtId="0" fontId="102" fillId="0" borderId="27" xfId="0" applyFont="1" applyBorder="1" applyAlignment="1">
      <alignment horizontal="right" vertical="center"/>
    </xf>
    <xf numFmtId="44" fontId="102" fillId="0" borderId="29" xfId="0" applyNumberFormat="1" applyFont="1" applyBorder="1" applyAlignment="1">
      <alignment vertical="center"/>
    </xf>
    <xf numFmtId="0" fontId="79" fillId="0" borderId="30" xfId="0" applyFont="1" applyBorder="1" applyAlignment="1">
      <alignment vertical="center"/>
    </xf>
    <xf numFmtId="44" fontId="79" fillId="0" borderId="31" xfId="2" applyFont="1" applyBorder="1" applyAlignment="1">
      <alignment vertical="center"/>
    </xf>
    <xf numFmtId="1" fontId="79" fillId="0" borderId="31" xfId="0" applyNumberFormat="1" applyFont="1" applyBorder="1" applyAlignment="1">
      <alignment vertical="center"/>
    </xf>
    <xf numFmtId="0" fontId="79" fillId="0" borderId="31" xfId="0" applyFont="1" applyBorder="1" applyAlignment="1">
      <alignment vertical="center"/>
    </xf>
    <xf numFmtId="0" fontId="79" fillId="0" borderId="32" xfId="0" applyFont="1" applyBorder="1" applyAlignment="1">
      <alignment vertical="center"/>
    </xf>
    <xf numFmtId="9" fontId="79" fillId="0" borderId="34" xfId="1" applyFont="1" applyBorder="1" applyAlignment="1">
      <alignment vertical="center"/>
    </xf>
    <xf numFmtId="9" fontId="79" fillId="0" borderId="0" xfId="0" applyNumberFormat="1" applyFont="1"/>
    <xf numFmtId="172" fontId="79" fillId="0" borderId="0" xfId="1" applyNumberFormat="1" applyFont="1"/>
    <xf numFmtId="0" fontId="79" fillId="0" borderId="0" xfId="0" applyFont="1" applyAlignment="1">
      <alignment horizontal="center" vertical="center"/>
    </xf>
    <xf numFmtId="0" fontId="103" fillId="0" borderId="0" xfId="0" applyFont="1" applyAlignment="1">
      <alignment vertical="center"/>
    </xf>
    <xf numFmtId="0" fontId="80" fillId="0" borderId="0" xfId="0" applyFont="1" applyAlignment="1">
      <alignment horizontal="center" textRotation="90"/>
    </xf>
    <xf numFmtId="44" fontId="104" fillId="0" borderId="0" xfId="0" applyNumberFormat="1" applyFont="1" applyAlignment="1">
      <alignment vertical="center"/>
    </xf>
    <xf numFmtId="44" fontId="79" fillId="0" borderId="0" xfId="2" applyFont="1" applyAlignment="1">
      <alignment vertical="center"/>
    </xf>
    <xf numFmtId="44" fontId="79" fillId="13" borderId="0" xfId="0" applyNumberFormat="1" applyFont="1" applyFill="1"/>
    <xf numFmtId="44" fontId="79" fillId="0" borderId="0" xfId="2" applyFont="1" applyAlignment="1">
      <alignment horizontal="center"/>
    </xf>
    <xf numFmtId="9" fontId="79" fillId="13" borderId="0" xfId="0" applyNumberFormat="1" applyFont="1" applyFill="1"/>
    <xf numFmtId="44" fontId="80" fillId="0" borderId="0" xfId="2" applyFont="1" applyAlignment="1">
      <alignment horizontal="center"/>
    </xf>
    <xf numFmtId="0" fontId="79" fillId="13" borderId="0" xfId="0" applyFont="1" applyFill="1"/>
    <xf numFmtId="0" fontId="79" fillId="0" borderId="14" xfId="0" applyFont="1" applyBorder="1"/>
    <xf numFmtId="0" fontId="79" fillId="0" borderId="30" xfId="0" applyFont="1" applyBorder="1"/>
    <xf numFmtId="0" fontId="105" fillId="0" borderId="14" xfId="0" applyFont="1" applyBorder="1"/>
    <xf numFmtId="0" fontId="105" fillId="0" borderId="31" xfId="0" applyFont="1" applyBorder="1"/>
    <xf numFmtId="44" fontId="79" fillId="0" borderId="14" xfId="2" applyFont="1" applyBorder="1"/>
    <xf numFmtId="44" fontId="79" fillId="0" borderId="31" xfId="0" applyNumberFormat="1" applyFont="1" applyBorder="1"/>
    <xf numFmtId="0" fontId="79" fillId="0" borderId="69" xfId="0" applyFont="1" applyBorder="1"/>
    <xf numFmtId="44" fontId="79" fillId="0" borderId="71" xfId="0" applyNumberFormat="1" applyFont="1" applyBorder="1"/>
    <xf numFmtId="0" fontId="79" fillId="0" borderId="32" xfId="0" applyFont="1" applyBorder="1"/>
    <xf numFmtId="44" fontId="79" fillId="0" borderId="34" xfId="0" applyNumberFormat="1" applyFont="1" applyBorder="1"/>
    <xf numFmtId="4" fontId="81" fillId="0" borderId="0" xfId="0" applyNumberFormat="1" applyFont="1"/>
    <xf numFmtId="0" fontId="81" fillId="3" borderId="2" xfId="0" applyFont="1" applyFill="1" applyBorder="1"/>
    <xf numFmtId="0" fontId="81" fillId="0" borderId="0" xfId="0" applyFont="1" applyAlignment="1">
      <alignment horizontal="right"/>
    </xf>
    <xf numFmtId="165" fontId="81" fillId="0" borderId="0" xfId="0" applyNumberFormat="1" applyFont="1"/>
    <xf numFmtId="10" fontId="81" fillId="0" borderId="0" xfId="0" applyNumberFormat="1" applyFont="1"/>
    <xf numFmtId="165" fontId="87" fillId="0" borderId="0" xfId="0" applyNumberFormat="1" applyFont="1"/>
    <xf numFmtId="44" fontId="85" fillId="0" borderId="0" xfId="2" applyFont="1"/>
    <xf numFmtId="44" fontId="108" fillId="0" borderId="0" xfId="0" applyNumberFormat="1" applyFont="1"/>
    <xf numFmtId="166" fontId="81" fillId="0" borderId="69" xfId="4" applyNumberFormat="1" applyFont="1" applyBorder="1"/>
    <xf numFmtId="0" fontId="81" fillId="0" borderId="70" xfId="0" applyFont="1" applyBorder="1"/>
    <xf numFmtId="44" fontId="85" fillId="0" borderId="70" xfId="0" applyNumberFormat="1" applyFont="1" applyBorder="1"/>
    <xf numFmtId="10" fontId="81" fillId="0" borderId="70" xfId="0" applyNumberFormat="1" applyFont="1" applyBorder="1"/>
    <xf numFmtId="0" fontId="109" fillId="0" borderId="4" xfId="0" applyFont="1" applyBorder="1"/>
    <xf numFmtId="0" fontId="87" fillId="5" borderId="1" xfId="0" applyFont="1" applyFill="1" applyBorder="1" applyAlignment="1">
      <alignment horizontal="center"/>
    </xf>
    <xf numFmtId="44" fontId="87" fillId="5" borderId="1" xfId="2" applyFont="1" applyFill="1" applyBorder="1"/>
    <xf numFmtId="0" fontId="110" fillId="3" borderId="2" xfId="0" applyFont="1" applyFill="1" applyBorder="1"/>
    <xf numFmtId="0" fontId="110" fillId="0" borderId="0" xfId="0" applyFont="1"/>
    <xf numFmtId="0" fontId="111" fillId="0" borderId="0" xfId="0" applyFont="1" applyAlignment="1">
      <alignment vertical="center"/>
    </xf>
    <xf numFmtId="0" fontId="111" fillId="3" borderId="2" xfId="0" applyFont="1" applyFill="1" applyBorder="1"/>
    <xf numFmtId="0" fontId="111" fillId="0" borderId="0" xfId="0" applyFont="1"/>
    <xf numFmtId="0" fontId="108" fillId="0" borderId="0" xfId="0" applyFont="1" applyAlignment="1">
      <alignment vertical="center"/>
    </xf>
    <xf numFmtId="0" fontId="108" fillId="3" borderId="2" xfId="0" applyFont="1" applyFill="1" applyBorder="1"/>
    <xf numFmtId="0" fontId="108" fillId="0" borderId="0" xfId="0" applyFont="1"/>
    <xf numFmtId="1" fontId="85" fillId="0" borderId="22" xfId="0" applyNumberFormat="1" applyFont="1" applyBorder="1"/>
    <xf numFmtId="0" fontId="85" fillId="0" borderId="23" xfId="0" applyFont="1" applyBorder="1"/>
    <xf numFmtId="0" fontId="85" fillId="0" borderId="0" xfId="0" applyFont="1"/>
    <xf numFmtId="0" fontId="85" fillId="0" borderId="24" xfId="0" applyFont="1" applyBorder="1"/>
    <xf numFmtId="0" fontId="85" fillId="0" borderId="13" xfId="0" applyFont="1" applyBorder="1"/>
    <xf numFmtId="2" fontId="85" fillId="0" borderId="15" xfId="0" applyNumberFormat="1" applyFont="1" applyBorder="1"/>
    <xf numFmtId="0" fontId="85" fillId="0" borderId="16" xfId="0" applyFont="1" applyBorder="1"/>
    <xf numFmtId="0" fontId="86" fillId="0" borderId="0" xfId="0" applyFont="1"/>
    <xf numFmtId="44" fontId="96" fillId="2" borderId="1" xfId="0" applyNumberFormat="1" applyFont="1" applyFill="1" applyBorder="1"/>
    <xf numFmtId="167" fontId="85" fillId="0" borderId="0" xfId="0" applyNumberFormat="1" applyFont="1"/>
    <xf numFmtId="168" fontId="81" fillId="0" borderId="0" xfId="0" applyNumberFormat="1" applyFont="1"/>
    <xf numFmtId="2" fontId="85" fillId="0" borderId="0" xfId="0" applyNumberFormat="1" applyFont="1"/>
    <xf numFmtId="0" fontId="85" fillId="8" borderId="1" xfId="0" applyFont="1" applyFill="1" applyBorder="1"/>
    <xf numFmtId="168" fontId="85" fillId="0" borderId="0" xfId="0" applyNumberFormat="1" applyFont="1"/>
    <xf numFmtId="0" fontId="85" fillId="10" borderId="1" xfId="0" applyFont="1" applyFill="1" applyBorder="1"/>
    <xf numFmtId="2" fontId="85" fillId="10" borderId="1" xfId="0" applyNumberFormat="1" applyFont="1" applyFill="1" applyBorder="1"/>
    <xf numFmtId="168" fontId="81" fillId="10" borderId="1" xfId="0" applyNumberFormat="1" applyFont="1" applyFill="1" applyBorder="1"/>
    <xf numFmtId="44" fontId="86" fillId="10" borderId="1" xfId="0" applyNumberFormat="1" applyFont="1" applyFill="1" applyBorder="1"/>
    <xf numFmtId="44" fontId="86" fillId="0" borderId="0" xfId="0" applyNumberFormat="1" applyFont="1"/>
    <xf numFmtId="169" fontId="81" fillId="0" borderId="0" xfId="0" applyNumberFormat="1" applyFont="1" applyAlignment="1">
      <alignment horizontal="right"/>
    </xf>
    <xf numFmtId="169" fontId="81" fillId="0" borderId="0" xfId="0" applyNumberFormat="1" applyFont="1"/>
    <xf numFmtId="44" fontId="86" fillId="8" borderId="1" xfId="0" applyNumberFormat="1" applyFont="1" applyFill="1" applyBorder="1"/>
    <xf numFmtId="0" fontId="112" fillId="8" borderId="1" xfId="0" applyFont="1" applyFill="1" applyBorder="1"/>
    <xf numFmtId="2" fontId="112" fillId="8" borderId="1" xfId="0" applyNumberFormat="1" applyFont="1" applyFill="1" applyBorder="1"/>
    <xf numFmtId="10" fontId="112" fillId="8" borderId="1" xfId="0" applyNumberFormat="1" applyFont="1" applyFill="1" applyBorder="1"/>
    <xf numFmtId="44" fontId="112" fillId="8" borderId="1" xfId="0" applyNumberFormat="1" applyFont="1" applyFill="1" applyBorder="1"/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right"/>
    </xf>
    <xf numFmtId="170" fontId="81" fillId="0" borderId="0" xfId="0" applyNumberFormat="1" applyFont="1"/>
    <xf numFmtId="171" fontId="96" fillId="11" borderId="1" xfId="0" applyNumberFormat="1" applyFont="1" applyFill="1" applyBorder="1"/>
    <xf numFmtId="167" fontId="96" fillId="11" borderId="1" xfId="0" applyNumberFormat="1" applyFont="1" applyFill="1" applyBorder="1"/>
    <xf numFmtId="44" fontId="113" fillId="0" borderId="0" xfId="0" applyNumberFormat="1" applyFont="1" applyAlignment="1">
      <alignment vertical="center"/>
    </xf>
    <xf numFmtId="44" fontId="114" fillId="9" borderId="12" xfId="0" applyNumberFormat="1" applyFont="1" applyFill="1" applyBorder="1" applyAlignment="1">
      <alignment horizontal="center"/>
    </xf>
    <xf numFmtId="44" fontId="81" fillId="0" borderId="12" xfId="0" applyNumberFormat="1" applyFont="1" applyBorder="1"/>
    <xf numFmtId="44" fontId="114" fillId="9" borderId="21" xfId="0" applyNumberFormat="1" applyFont="1" applyFill="1" applyBorder="1" applyAlignment="1">
      <alignment horizontal="center"/>
    </xf>
    <xf numFmtId="44" fontId="96" fillId="6" borderId="12" xfId="0" applyNumberFormat="1" applyFont="1" applyFill="1" applyBorder="1"/>
    <xf numFmtId="1" fontId="30" fillId="0" borderId="14" xfId="0" applyNumberFormat="1" applyFont="1" applyBorder="1" applyAlignment="1">
      <alignment vertical="center"/>
    </xf>
    <xf numFmtId="9" fontId="30" fillId="0" borderId="14" xfId="0" applyNumberFormat="1" applyFont="1" applyBorder="1" applyAlignment="1">
      <alignment vertical="center"/>
    </xf>
    <xf numFmtId="175" fontId="68" fillId="16" borderId="59" xfId="0" applyNumberFormat="1" applyFont="1" applyFill="1" applyBorder="1" applyAlignment="1">
      <alignment horizontal="center" vertical="center"/>
    </xf>
    <xf numFmtId="44" fontId="116" fillId="0" borderId="59" xfId="2" applyFont="1" applyFill="1" applyBorder="1" applyAlignment="1">
      <alignment horizontal="center" vertical="center"/>
    </xf>
    <xf numFmtId="44" fontId="35" fillId="0" borderId="0" xfId="0" applyNumberFormat="1" applyFont="1" applyAlignment="1">
      <alignment vertical="center"/>
    </xf>
    <xf numFmtId="43" fontId="30" fillId="0" borderId="0" xfId="4" applyFont="1"/>
    <xf numFmtId="169" fontId="30" fillId="0" borderId="0" xfId="0" applyNumberFormat="1" applyFont="1"/>
    <xf numFmtId="43" fontId="118" fillId="0" borderId="0" xfId="4" applyFont="1"/>
    <xf numFmtId="44" fontId="120" fillId="0" borderId="14" xfId="0" applyNumberFormat="1" applyFont="1" applyBorder="1"/>
    <xf numFmtId="2" fontId="30" fillId="12" borderId="69" xfId="0" applyNumberFormat="1" applyFont="1" applyFill="1" applyBorder="1"/>
    <xf numFmtId="0" fontId="30" fillId="12" borderId="71" xfId="0" applyFont="1" applyFill="1" applyBorder="1"/>
    <xf numFmtId="44" fontId="39" fillId="0" borderId="14" xfId="0" applyNumberFormat="1" applyFont="1" applyBorder="1"/>
    <xf numFmtId="14" fontId="42" fillId="0" borderId="55" xfId="0" applyNumberFormat="1" applyFont="1" applyBorder="1"/>
    <xf numFmtId="44" fontId="42" fillId="0" borderId="58" xfId="2" applyFont="1" applyFill="1" applyBorder="1" applyAlignment="1">
      <alignment horizontal="center"/>
    </xf>
    <xf numFmtId="0" fontId="60" fillId="0" borderId="59" xfId="0" applyFont="1" applyBorder="1" applyAlignment="1">
      <alignment horizontal="center"/>
    </xf>
    <xf numFmtId="0" fontId="121" fillId="0" borderId="27" xfId="0" applyFont="1" applyBorder="1" applyAlignment="1">
      <alignment vertical="center"/>
    </xf>
    <xf numFmtId="0" fontId="121" fillId="0" borderId="29" xfId="0" applyFont="1" applyBorder="1" applyAlignment="1">
      <alignment vertical="center"/>
    </xf>
    <xf numFmtId="0" fontId="87" fillId="0" borderId="25" xfId="0" applyFont="1" applyBorder="1" applyAlignment="1">
      <alignment horizontal="center"/>
    </xf>
    <xf numFmtId="44" fontId="86" fillId="0" borderId="44" xfId="0" applyNumberFormat="1" applyFont="1" applyBorder="1" applyAlignment="1">
      <alignment horizontal="center" vertical="center"/>
    </xf>
    <xf numFmtId="44" fontId="122" fillId="0" borderId="44" xfId="0" applyNumberFormat="1" applyFont="1" applyBorder="1" applyAlignment="1">
      <alignment vertical="center"/>
    </xf>
    <xf numFmtId="0" fontId="122" fillId="0" borderId="44" xfId="0" applyFont="1" applyBorder="1" applyAlignment="1">
      <alignment vertical="center"/>
    </xf>
    <xf numFmtId="44" fontId="122" fillId="0" borderId="44" xfId="2" applyFont="1" applyBorder="1" applyAlignment="1">
      <alignment vertical="center"/>
    </xf>
    <xf numFmtId="0" fontId="122" fillId="0" borderId="44" xfId="0" applyFont="1" applyBorder="1"/>
    <xf numFmtId="44" fontId="122" fillId="0" borderId="26" xfId="2" applyFont="1" applyBorder="1" applyAlignment="1">
      <alignment vertical="center"/>
    </xf>
    <xf numFmtId="44" fontId="88" fillId="0" borderId="44" xfId="0" applyNumberFormat="1" applyFont="1" applyBorder="1" applyAlignment="1">
      <alignment vertical="center"/>
    </xf>
    <xf numFmtId="0" fontId="88" fillId="0" borderId="44" xfId="0" applyFont="1" applyBorder="1"/>
    <xf numFmtId="44" fontId="88" fillId="0" borderId="26" xfId="0" applyNumberFormat="1" applyFont="1" applyBorder="1" applyAlignment="1">
      <alignment vertical="center"/>
    </xf>
    <xf numFmtId="0" fontId="96" fillId="6" borderId="20" xfId="0" applyFont="1" applyFill="1" applyBorder="1" applyAlignment="1">
      <alignment horizontal="center"/>
    </xf>
    <xf numFmtId="0" fontId="107" fillId="0" borderId="20" xfId="0" applyFont="1" applyBorder="1"/>
    <xf numFmtId="44" fontId="86" fillId="29" borderId="25" xfId="0" applyNumberFormat="1" applyFont="1" applyFill="1" applyBorder="1" applyAlignment="1">
      <alignment horizontal="center" vertical="center"/>
    </xf>
    <xf numFmtId="44" fontId="107" fillId="29" borderId="44" xfId="0" applyNumberFormat="1" applyFont="1" applyFill="1" applyBorder="1" applyAlignment="1">
      <alignment vertical="center"/>
    </xf>
    <xf numFmtId="0" fontId="107" fillId="29" borderId="44" xfId="0" applyFont="1" applyFill="1" applyBorder="1"/>
    <xf numFmtId="44" fontId="107" fillId="29" borderId="26" xfId="0" applyNumberFormat="1" applyFont="1" applyFill="1" applyBorder="1" applyAlignment="1">
      <alignment vertical="center"/>
    </xf>
    <xf numFmtId="9" fontId="85" fillId="0" borderId="0" xfId="1" applyFont="1"/>
    <xf numFmtId="44" fontId="42" fillId="23" borderId="48" xfId="0" applyNumberFormat="1" applyFont="1" applyFill="1" applyBorder="1" applyAlignment="1">
      <alignment horizontal="center"/>
    </xf>
    <xf numFmtId="44" fontId="44" fillId="23" borderId="45" xfId="0" applyNumberFormat="1" applyFont="1" applyFill="1" applyBorder="1" applyAlignment="1">
      <alignment horizontal="center"/>
    </xf>
    <xf numFmtId="0" fontId="125" fillId="13" borderId="40" xfId="3" applyFont="1" applyFill="1" applyBorder="1" applyAlignment="1">
      <alignment horizontal="center" vertical="center" wrapText="1"/>
    </xf>
    <xf numFmtId="0" fontId="125" fillId="13" borderId="40" xfId="3" applyFont="1" applyFill="1" applyBorder="1" applyAlignment="1">
      <alignment horizontal="left" vertical="center" wrapText="1"/>
    </xf>
    <xf numFmtId="0" fontId="126" fillId="0" borderId="14" xfId="3" applyFont="1"/>
    <xf numFmtId="0" fontId="127" fillId="0" borderId="14" xfId="3" applyFont="1"/>
    <xf numFmtId="14" fontId="126" fillId="0" borderId="40" xfId="3" applyNumberFormat="1" applyFont="1" applyBorder="1" applyAlignment="1">
      <alignment vertical="center"/>
    </xf>
    <xf numFmtId="0" fontId="126" fillId="0" borderId="40" xfId="3" applyFont="1" applyBorder="1" applyAlignment="1">
      <alignment vertical="center" wrapText="1"/>
    </xf>
    <xf numFmtId="0" fontId="126" fillId="0" borderId="40" xfId="3" applyFont="1" applyBorder="1" applyAlignment="1">
      <alignment horizontal="left" vertical="center"/>
    </xf>
    <xf numFmtId="0" fontId="126" fillId="0" borderId="14" xfId="3" applyFont="1" applyAlignment="1">
      <alignment vertical="center"/>
    </xf>
    <xf numFmtId="0" fontId="128" fillId="0" borderId="0" xfId="0" applyFont="1" applyAlignment="1">
      <alignment vertical="center"/>
    </xf>
    <xf numFmtId="0" fontId="126" fillId="0" borderId="14" xfId="3" applyFont="1" applyAlignment="1">
      <alignment vertical="center" wrapText="1"/>
    </xf>
    <xf numFmtId="0" fontId="129" fillId="0" borderId="40" xfId="3" applyFont="1" applyBorder="1" applyAlignment="1">
      <alignment horizontal="left" vertical="center"/>
    </xf>
    <xf numFmtId="0" fontId="130" fillId="0" borderId="14" xfId="3" applyFont="1" applyAlignment="1">
      <alignment vertical="center"/>
    </xf>
    <xf numFmtId="0" fontId="126" fillId="21" borderId="40" xfId="3" applyFont="1" applyFill="1" applyBorder="1" applyAlignment="1">
      <alignment vertical="center" wrapText="1"/>
    </xf>
    <xf numFmtId="0" fontId="132" fillId="0" borderId="0" xfId="0" applyFont="1"/>
    <xf numFmtId="0" fontId="127" fillId="0" borderId="14" xfId="3" applyFont="1" applyAlignment="1">
      <alignment vertical="center"/>
    </xf>
    <xf numFmtId="0" fontId="130" fillId="30" borderId="46" xfId="0" applyFont="1" applyFill="1" applyBorder="1" applyAlignment="1">
      <alignment wrapText="1"/>
    </xf>
    <xf numFmtId="0" fontId="130" fillId="0" borderId="14" xfId="0" applyFont="1" applyBorder="1"/>
    <xf numFmtId="0" fontId="134" fillId="0" borderId="14" xfId="0" applyFont="1" applyBorder="1"/>
    <xf numFmtId="0" fontId="126" fillId="21" borderId="40" xfId="3" applyFont="1" applyFill="1" applyBorder="1" applyAlignment="1">
      <alignment wrapText="1"/>
    </xf>
    <xf numFmtId="173" fontId="131" fillId="21" borderId="40" xfId="3" applyNumberFormat="1" applyFont="1" applyFill="1" applyBorder="1" applyAlignment="1">
      <alignment horizontal="left" vertical="center"/>
    </xf>
    <xf numFmtId="14" fontId="130" fillId="0" borderId="40" xfId="0" applyNumberFormat="1" applyFont="1" applyBorder="1"/>
    <xf numFmtId="0" fontId="130" fillId="0" borderId="40" xfId="0" applyFont="1" applyBorder="1"/>
    <xf numFmtId="0" fontId="130" fillId="0" borderId="40" xfId="0" applyFont="1" applyBorder="1" applyAlignment="1">
      <alignment wrapText="1"/>
    </xf>
    <xf numFmtId="0" fontId="126" fillId="25" borderId="40" xfId="3" applyFont="1" applyFill="1" applyBorder="1" applyAlignment="1">
      <alignment horizontal="left" vertical="center"/>
    </xf>
    <xf numFmtId="0" fontId="126" fillId="0" borderId="14" xfId="3" applyFont="1" applyAlignment="1">
      <alignment horizontal="left" vertical="center"/>
    </xf>
    <xf numFmtId="44" fontId="132" fillId="0" borderId="0" xfId="0" applyNumberFormat="1" applyFont="1"/>
    <xf numFmtId="0" fontId="132" fillId="0" borderId="14" xfId="3" applyFont="1"/>
    <xf numFmtId="44" fontId="132" fillId="0" borderId="14" xfId="2" applyFont="1" applyBorder="1"/>
    <xf numFmtId="0" fontId="135" fillId="0" borderId="40" xfId="3" applyFont="1" applyBorder="1"/>
    <xf numFmtId="44" fontId="129" fillId="0" borderId="40" xfId="2" applyFont="1" applyBorder="1" applyAlignment="1"/>
    <xf numFmtId="44" fontId="135" fillId="0" borderId="40" xfId="2" applyFont="1" applyBorder="1"/>
    <xf numFmtId="0" fontId="136" fillId="0" borderId="40" xfId="3" applyFont="1" applyBorder="1"/>
    <xf numFmtId="44" fontId="137" fillId="0" borderId="40" xfId="2" applyFont="1" applyBorder="1" applyAlignment="1"/>
    <xf numFmtId="44" fontId="89" fillId="0" borderId="12" xfId="0" applyNumberFormat="1" applyFont="1" applyBorder="1"/>
    <xf numFmtId="44" fontId="88" fillId="0" borderId="18" xfId="0" applyNumberFormat="1" applyFont="1" applyBorder="1"/>
    <xf numFmtId="44" fontId="90" fillId="0" borderId="19" xfId="0" applyNumberFormat="1" applyFont="1" applyBorder="1"/>
    <xf numFmtId="44" fontId="138" fillId="7" borderId="12" xfId="0" applyNumberFormat="1" applyFont="1" applyFill="1" applyBorder="1"/>
    <xf numFmtId="44" fontId="138" fillId="2" borderId="12" xfId="0" applyNumberFormat="1" applyFont="1" applyFill="1" applyBorder="1"/>
    <xf numFmtId="0" fontId="85" fillId="12" borderId="59" xfId="0" applyFont="1" applyFill="1" applyBorder="1" applyAlignment="1">
      <alignment horizontal="center"/>
    </xf>
    <xf numFmtId="44" fontId="42" fillId="23" borderId="45" xfId="0" applyNumberFormat="1" applyFont="1" applyFill="1" applyBorder="1" applyAlignment="1">
      <alignment horizontal="center"/>
    </xf>
    <xf numFmtId="44" fontId="44" fillId="0" borderId="57" xfId="0" applyNumberFormat="1" applyFont="1" applyBorder="1" applyAlignment="1">
      <alignment horizontal="center"/>
    </xf>
    <xf numFmtId="44" fontId="44" fillId="24" borderId="57" xfId="0" applyNumberFormat="1" applyFont="1" applyFill="1" applyBorder="1" applyAlignment="1">
      <alignment horizontal="center"/>
    </xf>
    <xf numFmtId="44" fontId="44" fillId="23" borderId="57" xfId="0" applyNumberFormat="1" applyFont="1" applyFill="1" applyBorder="1" applyAlignment="1">
      <alignment horizontal="center"/>
    </xf>
    <xf numFmtId="44" fontId="51" fillId="14" borderId="40" xfId="2" applyFont="1" applyFill="1" applyBorder="1"/>
    <xf numFmtId="0" fontId="122" fillId="0" borderId="0" xfId="0" applyFont="1" applyAlignment="1">
      <alignment vertical="center"/>
    </xf>
    <xf numFmtId="44" fontId="122" fillId="12" borderId="44" xfId="2" applyFont="1" applyFill="1" applyBorder="1" applyAlignment="1">
      <alignment vertical="center"/>
    </xf>
    <xf numFmtId="0" fontId="139" fillId="0" borderId="43" xfId="0" applyFont="1" applyBorder="1" applyAlignment="1">
      <alignment horizontal="right" vertical="center"/>
    </xf>
    <xf numFmtId="44" fontId="140" fillId="0" borderId="68" xfId="0" applyNumberFormat="1" applyFont="1" applyBorder="1" applyAlignment="1">
      <alignment vertical="center"/>
    </xf>
    <xf numFmtId="0" fontId="139" fillId="0" borderId="61" xfId="0" applyFont="1" applyBorder="1" applyAlignment="1">
      <alignment horizontal="right" vertical="center"/>
    </xf>
    <xf numFmtId="44" fontId="140" fillId="0" borderId="35" xfId="0" applyNumberFormat="1" applyFont="1" applyBorder="1" applyAlignment="1">
      <alignment vertical="center"/>
    </xf>
    <xf numFmtId="0" fontId="141" fillId="0" borderId="43" xfId="0" applyFont="1" applyBorder="1" applyAlignment="1">
      <alignment horizontal="right" vertical="center"/>
    </xf>
    <xf numFmtId="44" fontId="141" fillId="0" borderId="68" xfId="0" applyNumberFormat="1" applyFont="1" applyBorder="1" applyAlignment="1">
      <alignment vertical="center"/>
    </xf>
    <xf numFmtId="0" fontId="63" fillId="0" borderId="62" xfId="0" applyFont="1" applyBorder="1" applyAlignment="1">
      <alignment horizontal="center" vertical="center"/>
    </xf>
    <xf numFmtId="44" fontId="142" fillId="22" borderId="60" xfId="0" applyNumberFormat="1" applyFont="1" applyFill="1" applyBorder="1" applyAlignment="1">
      <alignment vertical="center"/>
    </xf>
    <xf numFmtId="44" fontId="143" fillId="0" borderId="7" xfId="0" applyNumberFormat="1" applyFont="1" applyBorder="1" applyAlignment="1">
      <alignment horizontal="center" vertical="center"/>
    </xf>
    <xf numFmtId="44" fontId="143" fillId="0" borderId="12" xfId="0" applyNumberFormat="1" applyFont="1" applyBorder="1" applyAlignment="1">
      <alignment horizontal="center" vertical="center"/>
    </xf>
    <xf numFmtId="10" fontId="144" fillId="0" borderId="0" xfId="1" applyNumberFormat="1" applyFont="1" applyAlignment="1">
      <alignment vertical="center"/>
    </xf>
    <xf numFmtId="44" fontId="145" fillId="17" borderId="59" xfId="0" applyNumberFormat="1" applyFont="1" applyFill="1" applyBorder="1" applyAlignment="1">
      <alignment horizontal="center" vertical="center"/>
    </xf>
    <xf numFmtId="44" fontId="145" fillId="17" borderId="6" xfId="0" applyNumberFormat="1" applyFont="1" applyFill="1" applyBorder="1" applyAlignment="1">
      <alignment horizontal="center" vertical="center"/>
    </xf>
    <xf numFmtId="44" fontId="133" fillId="30" borderId="46" xfId="2" applyFont="1" applyFill="1" applyBorder="1"/>
    <xf numFmtId="44" fontId="131" fillId="21" borderId="40" xfId="2" applyFont="1" applyFill="1" applyBorder="1"/>
    <xf numFmtId="0" fontId="146" fillId="0" borderId="14" xfId="0" applyFont="1" applyBorder="1"/>
    <xf numFmtId="44" fontId="126" fillId="0" borderId="40" xfId="2" applyFont="1" applyBorder="1" applyAlignment="1">
      <alignment vertical="center"/>
    </xf>
    <xf numFmtId="44" fontId="131" fillId="21" borderId="40" xfId="2" applyFont="1" applyFill="1" applyBorder="1" applyAlignment="1">
      <alignment vertical="center"/>
    </xf>
    <xf numFmtId="44" fontId="126" fillId="0" borderId="40" xfId="2" applyFont="1" applyFill="1" applyBorder="1" applyAlignment="1">
      <alignment vertical="center"/>
    </xf>
    <xf numFmtId="14" fontId="125" fillId="13" borderId="40" xfId="3" applyNumberFormat="1" applyFont="1" applyFill="1" applyBorder="1" applyAlignment="1">
      <alignment horizontal="center" vertical="center" wrapText="1"/>
    </xf>
    <xf numFmtId="14" fontId="126" fillId="0" borderId="14" xfId="3" applyNumberFormat="1" applyFont="1"/>
    <xf numFmtId="44" fontId="126" fillId="21" borderId="40" xfId="3" applyNumberFormat="1" applyFont="1" applyFill="1" applyBorder="1" applyAlignment="1">
      <alignment vertical="center" wrapText="1"/>
    </xf>
    <xf numFmtId="44" fontId="126" fillId="0" borderId="14" xfId="3" applyNumberFormat="1" applyFont="1" applyAlignment="1">
      <alignment vertical="center"/>
    </xf>
    <xf numFmtId="0" fontId="91" fillId="0" borderId="0" xfId="0" applyFont="1" applyAlignment="1">
      <alignment vertical="center"/>
    </xf>
    <xf numFmtId="0" fontId="147" fillId="0" borderId="0" xfId="0" applyFont="1" applyAlignment="1">
      <alignment vertical="center"/>
    </xf>
    <xf numFmtId="0" fontId="148" fillId="0" borderId="0" xfId="0" applyFont="1" applyAlignment="1">
      <alignment vertical="center"/>
    </xf>
    <xf numFmtId="0" fontId="149" fillId="0" borderId="0" xfId="0" applyFont="1" applyAlignment="1">
      <alignment vertical="center"/>
    </xf>
    <xf numFmtId="0" fontId="151" fillId="14" borderId="0" xfId="0" applyFont="1" applyFill="1" applyAlignment="1">
      <alignment horizontal="center" vertical="center"/>
    </xf>
    <xf numFmtId="44" fontId="100" fillId="0" borderId="0" xfId="0" applyNumberFormat="1" applyFont="1" applyAlignment="1">
      <alignment vertical="center"/>
    </xf>
    <xf numFmtId="44" fontId="100" fillId="0" borderId="0" xfId="2" applyFont="1" applyAlignment="1">
      <alignment vertical="center"/>
    </xf>
    <xf numFmtId="44" fontId="100" fillId="13" borderId="0" xfId="0" applyNumberFormat="1" applyFont="1" applyFill="1" applyAlignment="1">
      <alignment vertical="center"/>
    </xf>
    <xf numFmtId="0" fontId="153" fillId="0" borderId="0" xfId="0" applyFont="1" applyAlignment="1">
      <alignment vertical="center"/>
    </xf>
    <xf numFmtId="44" fontId="153" fillId="0" borderId="0" xfId="0" applyNumberFormat="1" applyFont="1" applyAlignment="1">
      <alignment vertical="center"/>
    </xf>
    <xf numFmtId="44" fontId="153" fillId="0" borderId="0" xfId="2" applyFont="1" applyFill="1" applyAlignment="1">
      <alignment vertical="center"/>
    </xf>
    <xf numFmtId="0" fontId="104" fillId="0" borderId="0" xfId="0" applyFont="1" applyAlignment="1">
      <alignment vertical="center"/>
    </xf>
    <xf numFmtId="44" fontId="104" fillId="0" borderId="0" xfId="2" applyFont="1" applyAlignment="1">
      <alignment vertical="center"/>
    </xf>
    <xf numFmtId="44" fontId="104" fillId="13" borderId="0" xfId="0" applyNumberFormat="1" applyFont="1" applyFill="1" applyAlignment="1">
      <alignment vertical="center"/>
    </xf>
    <xf numFmtId="0" fontId="154" fillId="0" borderId="0" xfId="0" applyFont="1" applyAlignment="1">
      <alignment vertical="center"/>
    </xf>
    <xf numFmtId="44" fontId="154" fillId="0" borderId="0" xfId="0" applyNumberFormat="1" applyFont="1" applyAlignment="1">
      <alignment vertical="center"/>
    </xf>
    <xf numFmtId="44" fontId="154" fillId="0" borderId="0" xfId="2" applyFont="1" applyAlignment="1">
      <alignment vertical="center"/>
    </xf>
    <xf numFmtId="44" fontId="154" fillId="13" borderId="0" xfId="0" applyNumberFormat="1" applyFont="1" applyFill="1" applyAlignment="1">
      <alignment vertical="center"/>
    </xf>
    <xf numFmtId="44" fontId="154" fillId="0" borderId="0" xfId="2" applyFont="1"/>
    <xf numFmtId="0" fontId="155" fillId="0" borderId="0" xfId="0" applyFont="1" applyAlignment="1">
      <alignment vertical="center"/>
    </xf>
    <xf numFmtId="44" fontId="101" fillId="0" borderId="0" xfId="0" applyNumberFormat="1" applyFont="1" applyAlignment="1">
      <alignment vertical="center"/>
    </xf>
    <xf numFmtId="44" fontId="101" fillId="0" borderId="0" xfId="2" applyFont="1" applyAlignment="1">
      <alignment vertical="center"/>
    </xf>
    <xf numFmtId="44" fontId="101" fillId="13" borderId="0" xfId="0" applyNumberFormat="1" applyFont="1" applyFill="1" applyAlignment="1">
      <alignment vertical="center"/>
    </xf>
    <xf numFmtId="44" fontId="156" fillId="13" borderId="0" xfId="0" applyNumberFormat="1" applyFont="1" applyFill="1" applyAlignment="1">
      <alignment vertical="center"/>
    </xf>
    <xf numFmtId="0" fontId="157" fillId="0" borderId="0" xfId="0" applyFont="1" applyAlignment="1">
      <alignment vertical="center"/>
    </xf>
    <xf numFmtId="44" fontId="157" fillId="0" borderId="0" xfId="0" applyNumberFormat="1" applyFont="1" applyAlignment="1">
      <alignment vertical="center"/>
    </xf>
    <xf numFmtId="44" fontId="157" fillId="0" borderId="0" xfId="2" applyFont="1" applyAlignment="1">
      <alignment vertical="center"/>
    </xf>
    <xf numFmtId="44" fontId="157" fillId="13" borderId="0" xfId="0" applyNumberFormat="1" applyFont="1" applyFill="1" applyAlignment="1">
      <alignment vertical="center"/>
    </xf>
    <xf numFmtId="44" fontId="158" fillId="0" borderId="12" xfId="0" applyNumberFormat="1" applyFont="1" applyBorder="1" applyAlignment="1">
      <alignment vertical="center"/>
    </xf>
    <xf numFmtId="44" fontId="159" fillId="0" borderId="18" xfId="0" applyNumberFormat="1" applyFont="1" applyBorder="1" applyAlignment="1">
      <alignment vertical="center"/>
    </xf>
    <xf numFmtId="44" fontId="160" fillId="0" borderId="12" xfId="0" applyNumberFormat="1" applyFont="1" applyBorder="1" applyAlignment="1">
      <alignment horizontal="center" vertical="center"/>
    </xf>
    <xf numFmtId="44" fontId="161" fillId="0" borderId="19" xfId="0" applyNumberFormat="1" applyFont="1" applyBorder="1" applyAlignment="1">
      <alignment vertical="center"/>
    </xf>
    <xf numFmtId="44" fontId="162" fillId="0" borderId="21" xfId="0" applyNumberFormat="1" applyFont="1" applyBorder="1" applyAlignment="1">
      <alignment vertical="center"/>
    </xf>
    <xf numFmtId="44" fontId="152" fillId="7" borderId="12" xfId="0" applyNumberFormat="1" applyFont="1" applyFill="1" applyBorder="1" applyAlignment="1">
      <alignment vertical="center"/>
    </xf>
    <xf numFmtId="9" fontId="164" fillId="0" borderId="0" xfId="0" applyNumberFormat="1" applyFont="1" applyAlignment="1">
      <alignment vertical="center"/>
    </xf>
    <xf numFmtId="44" fontId="152" fillId="2" borderId="12" xfId="0" applyNumberFormat="1" applyFont="1" applyFill="1" applyBorder="1" applyAlignment="1">
      <alignment vertical="center"/>
    </xf>
    <xf numFmtId="44" fontId="164" fillId="0" borderId="0" xfId="0" applyNumberFormat="1" applyFont="1" applyAlignment="1">
      <alignment vertical="center"/>
    </xf>
    <xf numFmtId="44" fontId="163" fillId="8" borderId="12" xfId="0" applyNumberFormat="1" applyFont="1" applyFill="1" applyBorder="1" applyAlignment="1">
      <alignment vertical="center"/>
    </xf>
    <xf numFmtId="44" fontId="158" fillId="0" borderId="17" xfId="0" applyNumberFormat="1" applyFont="1" applyBorder="1" applyAlignment="1">
      <alignment horizontal="right" vertical="center"/>
    </xf>
    <xf numFmtId="44" fontId="159" fillId="0" borderId="17" xfId="0" applyNumberFormat="1" applyFont="1" applyBorder="1" applyAlignment="1">
      <alignment horizontal="right" vertical="center"/>
    </xf>
    <xf numFmtId="4" fontId="160" fillId="0" borderId="17" xfId="0" applyNumberFormat="1" applyFont="1" applyBorder="1" applyAlignment="1">
      <alignment horizontal="right" vertical="center"/>
    </xf>
    <xf numFmtId="4" fontId="161" fillId="0" borderId="17" xfId="0" applyNumberFormat="1" applyFont="1" applyBorder="1" applyAlignment="1">
      <alignment horizontal="right" vertical="center"/>
    </xf>
    <xf numFmtId="4" fontId="162" fillId="0" borderId="17" xfId="0" applyNumberFormat="1" applyFont="1" applyBorder="1" applyAlignment="1">
      <alignment horizontal="right" vertical="center"/>
    </xf>
    <xf numFmtId="44" fontId="152" fillId="7" borderId="12" xfId="0" applyNumberFormat="1" applyFont="1" applyFill="1" applyBorder="1" applyAlignment="1">
      <alignment horizontal="right" vertical="center"/>
    </xf>
    <xf numFmtId="44" fontId="163" fillId="0" borderId="0" xfId="2" applyFont="1" applyAlignment="1">
      <alignment horizontal="right" vertical="center"/>
    </xf>
    <xf numFmtId="44" fontId="152" fillId="2" borderId="12" xfId="0" applyNumberFormat="1" applyFont="1" applyFill="1" applyBorder="1" applyAlignment="1">
      <alignment horizontal="right" vertical="center"/>
    </xf>
    <xf numFmtId="0" fontId="163" fillId="0" borderId="0" xfId="0" applyFont="1" applyAlignment="1">
      <alignment horizontal="right" vertical="center"/>
    </xf>
    <xf numFmtId="44" fontId="164" fillId="5" borderId="12" xfId="0" applyNumberFormat="1" applyFont="1" applyFill="1" applyBorder="1" applyAlignment="1">
      <alignment horizontal="right" vertical="center"/>
    </xf>
    <xf numFmtId="0" fontId="79" fillId="0" borderId="0" xfId="0" applyFont="1" applyAlignment="1">
      <alignment horizontal="right"/>
    </xf>
    <xf numFmtId="44" fontId="163" fillId="0" borderId="14" xfId="0" applyNumberFormat="1" applyFont="1" applyBorder="1" applyAlignment="1">
      <alignment horizontal="right" vertical="center"/>
    </xf>
    <xf numFmtId="9" fontId="163" fillId="0" borderId="14" xfId="0" applyNumberFormat="1" applyFont="1" applyBorder="1" applyAlignment="1">
      <alignment vertical="center"/>
    </xf>
    <xf numFmtId="44" fontId="165" fillId="0" borderId="0" xfId="0" applyNumberFormat="1" applyFont="1" applyAlignment="1">
      <alignment vertical="center"/>
    </xf>
    <xf numFmtId="44" fontId="103" fillId="0" borderId="0" xfId="0" applyNumberFormat="1" applyFont="1" applyAlignment="1">
      <alignment vertical="center"/>
    </xf>
    <xf numFmtId="44" fontId="103" fillId="0" borderId="0" xfId="2" applyFont="1" applyAlignment="1">
      <alignment vertical="center"/>
    </xf>
    <xf numFmtId="44" fontId="103" fillId="13" borderId="0" xfId="0" applyNumberFormat="1" applyFont="1" applyFill="1" applyAlignment="1">
      <alignment vertical="center"/>
    </xf>
    <xf numFmtId="0" fontId="166" fillId="0" borderId="0" xfId="0" applyFont="1" applyAlignment="1">
      <alignment vertical="center"/>
    </xf>
    <xf numFmtId="44" fontId="166" fillId="0" borderId="0" xfId="0" applyNumberFormat="1" applyFont="1" applyAlignment="1">
      <alignment vertical="center"/>
    </xf>
    <xf numFmtId="44" fontId="166" fillId="0" borderId="0" xfId="2" applyFont="1" applyAlignment="1">
      <alignment vertical="center"/>
    </xf>
    <xf numFmtId="44" fontId="166" fillId="13" borderId="0" xfId="0" applyNumberFormat="1" applyFont="1" applyFill="1" applyAlignment="1">
      <alignment vertical="center"/>
    </xf>
    <xf numFmtId="0" fontId="165" fillId="0" borderId="0" xfId="0" applyFont="1" applyAlignment="1">
      <alignment vertical="center"/>
    </xf>
    <xf numFmtId="44" fontId="165" fillId="0" borderId="0" xfId="2" applyFont="1" applyAlignment="1">
      <alignment vertical="center"/>
    </xf>
    <xf numFmtId="44" fontId="165" fillId="13" borderId="0" xfId="0" applyNumberFormat="1" applyFont="1" applyFill="1" applyAlignment="1">
      <alignment vertical="center"/>
    </xf>
    <xf numFmtId="0" fontId="167" fillId="0" borderId="0" xfId="0" applyFont="1" applyAlignment="1">
      <alignment vertical="center"/>
    </xf>
    <xf numFmtId="44" fontId="150" fillId="0" borderId="0" xfId="0" applyNumberFormat="1" applyFont="1" applyAlignment="1">
      <alignment vertical="center"/>
    </xf>
    <xf numFmtId="44" fontId="106" fillId="0" borderId="14" xfId="3" applyNumberFormat="1" applyFont="1"/>
    <xf numFmtId="44" fontId="126" fillId="0" borderId="40" xfId="2" applyFont="1" applyFill="1" applyBorder="1"/>
    <xf numFmtId="0" fontId="171" fillId="0" borderId="0" xfId="0" applyFont="1" applyAlignment="1">
      <alignment vertical="center"/>
    </xf>
    <xf numFmtId="44" fontId="46" fillId="0" borderId="0" xfId="0" applyNumberFormat="1" applyFont="1"/>
    <xf numFmtId="0" fontId="175" fillId="0" borderId="0" xfId="0" applyFont="1" applyAlignment="1">
      <alignment vertical="center"/>
    </xf>
    <xf numFmtId="44" fontId="46" fillId="0" borderId="0" xfId="2" applyFont="1" applyAlignment="1"/>
    <xf numFmtId="44" fontId="46" fillId="0" borderId="0" xfId="2" applyFont="1"/>
    <xf numFmtId="16" fontId="46" fillId="0" borderId="0" xfId="0" applyNumberFormat="1" applyFont="1"/>
    <xf numFmtId="44" fontId="182" fillId="0" borderId="0" xfId="2" applyFont="1" applyAlignment="1"/>
    <xf numFmtId="0" fontId="168" fillId="0" borderId="85" xfId="3" applyFont="1" applyBorder="1" applyAlignment="1">
      <alignment horizontal="center" wrapText="1"/>
    </xf>
    <xf numFmtId="0" fontId="47" fillId="0" borderId="86" xfId="3" applyFont="1" applyBorder="1"/>
    <xf numFmtId="14" fontId="169" fillId="0" borderId="86" xfId="3" applyNumberFormat="1" applyFont="1" applyBorder="1" applyAlignment="1">
      <alignment horizontal="center"/>
    </xf>
    <xf numFmtId="44" fontId="169" fillId="13" borderId="86" xfId="2" applyFont="1" applyFill="1" applyBorder="1" applyAlignment="1">
      <alignment horizontal="center"/>
    </xf>
    <xf numFmtId="44" fontId="170" fillId="14" borderId="86" xfId="2" applyFont="1" applyFill="1" applyBorder="1" applyAlignment="1">
      <alignment horizontal="center"/>
    </xf>
    <xf numFmtId="44" fontId="169" fillId="31" borderId="86" xfId="2" applyFont="1" applyFill="1" applyBorder="1" applyAlignment="1">
      <alignment horizontal="center"/>
    </xf>
    <xf numFmtId="0" fontId="171" fillId="0" borderId="87" xfId="0" applyFont="1" applyBorder="1" applyAlignment="1">
      <alignment vertical="center"/>
    </xf>
    <xf numFmtId="0" fontId="171" fillId="0" borderId="86" xfId="3" applyFont="1" applyBorder="1"/>
    <xf numFmtId="44" fontId="172" fillId="0" borderId="86" xfId="2" applyFont="1" applyBorder="1"/>
    <xf numFmtId="44" fontId="51" fillId="14" borderId="86" xfId="2" applyFont="1" applyFill="1" applyBorder="1"/>
    <xf numFmtId="0" fontId="173" fillId="0" borderId="86" xfId="3" applyFont="1" applyBorder="1"/>
    <xf numFmtId="0" fontId="46" fillId="0" borderId="86" xfId="3" applyFont="1" applyBorder="1"/>
    <xf numFmtId="0" fontId="174" fillId="0" borderId="86" xfId="3" applyFont="1" applyBorder="1"/>
    <xf numFmtId="0" fontId="176" fillId="0" borderId="86" xfId="3" applyFont="1" applyBorder="1"/>
    <xf numFmtId="0" fontId="177" fillId="0" borderId="86" xfId="3" applyFont="1" applyBorder="1"/>
    <xf numFmtId="0" fontId="178" fillId="0" borderId="86" xfId="3" applyFont="1" applyBorder="1"/>
    <xf numFmtId="0" fontId="179" fillId="0" borderId="86" xfId="3" applyFont="1" applyBorder="1"/>
    <xf numFmtId="0" fontId="180" fillId="0" borderId="86" xfId="3" applyFont="1" applyBorder="1"/>
    <xf numFmtId="173" fontId="125" fillId="13" borderId="40" xfId="2" applyNumberFormat="1" applyFont="1" applyFill="1" applyBorder="1" applyAlignment="1">
      <alignment horizontal="center" vertical="center" wrapText="1"/>
    </xf>
    <xf numFmtId="173" fontId="126" fillId="0" borderId="40" xfId="2" applyNumberFormat="1" applyFont="1" applyFill="1" applyBorder="1" applyAlignment="1">
      <alignment vertical="center"/>
    </xf>
    <xf numFmtId="173" fontId="126" fillId="0" borderId="40" xfId="2" applyNumberFormat="1" applyFont="1" applyBorder="1" applyAlignment="1">
      <alignment vertical="center"/>
    </xf>
    <xf numFmtId="173" fontId="126" fillId="12" borderId="40" xfId="2" applyNumberFormat="1" applyFont="1" applyFill="1" applyBorder="1"/>
    <xf numFmtId="173" fontId="131" fillId="21" borderId="40" xfId="2" applyNumberFormat="1" applyFont="1" applyFill="1" applyBorder="1"/>
    <xf numFmtId="173" fontId="126" fillId="0" borderId="40" xfId="2" applyNumberFormat="1" applyFont="1" applyBorder="1"/>
    <xf numFmtId="173" fontId="130" fillId="0" borderId="40" xfId="2" applyNumberFormat="1" applyFont="1" applyBorder="1"/>
    <xf numFmtId="173" fontId="126" fillId="0" borderId="14" xfId="2" applyNumberFormat="1" applyFont="1" applyBorder="1"/>
    <xf numFmtId="0" fontId="75" fillId="0" borderId="0" xfId="0" applyFont="1" applyAlignment="1">
      <alignment vertical="center"/>
    </xf>
    <xf numFmtId="0" fontId="76" fillId="0" borderId="0" xfId="0" applyFont="1" applyAlignment="1">
      <alignment vertical="center"/>
    </xf>
    <xf numFmtId="44" fontId="19" fillId="0" borderId="35" xfId="0" applyNumberFormat="1" applyFont="1" applyBorder="1" applyAlignment="1">
      <alignment horizontal="center" vertical="center"/>
    </xf>
    <xf numFmtId="44" fontId="15" fillId="0" borderId="0" xfId="0" applyNumberFormat="1" applyFont="1"/>
    <xf numFmtId="0" fontId="14" fillId="0" borderId="0" xfId="0" applyFont="1"/>
    <xf numFmtId="44" fontId="42" fillId="0" borderId="57" xfId="0" applyNumberFormat="1" applyFont="1" applyBorder="1" applyAlignment="1">
      <alignment horizontal="center"/>
    </xf>
    <xf numFmtId="0" fontId="30" fillId="0" borderId="45" xfId="0" applyFont="1" applyBorder="1"/>
    <xf numFmtId="44" fontId="0" fillId="0" borderId="0" xfId="0" applyNumberFormat="1"/>
    <xf numFmtId="173" fontId="126" fillId="0" borderId="40" xfId="2" applyNumberFormat="1" applyFont="1" applyFill="1" applyBorder="1"/>
    <xf numFmtId="0" fontId="46" fillId="0" borderId="27" xfId="0" applyFont="1" applyBorder="1"/>
    <xf numFmtId="44" fontId="46" fillId="0" borderId="28" xfId="0" applyNumberFormat="1" applyFont="1" applyBorder="1"/>
    <xf numFmtId="44" fontId="46" fillId="0" borderId="29" xfId="0" applyNumberFormat="1" applyFont="1" applyBorder="1"/>
    <xf numFmtId="0" fontId="46" fillId="0" borderId="32" xfId="0" applyFont="1" applyBorder="1"/>
    <xf numFmtId="44" fontId="46" fillId="0" borderId="33" xfId="2" applyFont="1" applyBorder="1" applyAlignment="1"/>
    <xf numFmtId="44" fontId="46" fillId="0" borderId="34" xfId="2" applyFont="1" applyBorder="1" applyAlignment="1"/>
    <xf numFmtId="0" fontId="183" fillId="0" borderId="0" xfId="0" applyFont="1"/>
    <xf numFmtId="44" fontId="183" fillId="0" borderId="0" xfId="2" applyFont="1" applyAlignment="1"/>
    <xf numFmtId="44" fontId="47" fillId="13" borderId="86" xfId="2" applyFont="1" applyFill="1" applyBorder="1"/>
    <xf numFmtId="0" fontId="171" fillId="0" borderId="88" xfId="0" applyFont="1" applyBorder="1" applyAlignment="1">
      <alignment vertical="center"/>
    </xf>
    <xf numFmtId="0" fontId="171" fillId="0" borderId="89" xfId="3" applyFont="1" applyBorder="1"/>
    <xf numFmtId="44" fontId="172" fillId="0" borderId="89" xfId="2" applyFont="1" applyBorder="1"/>
    <xf numFmtId="44" fontId="47" fillId="13" borderId="89" xfId="2" applyFont="1" applyFill="1" applyBorder="1"/>
    <xf numFmtId="44" fontId="51" fillId="14" borderId="89" xfId="2" applyFont="1" applyFill="1" applyBorder="1"/>
    <xf numFmtId="44" fontId="172" fillId="31" borderId="89" xfId="2" applyFont="1" applyFill="1" applyBorder="1"/>
    <xf numFmtId="0" fontId="173" fillId="0" borderId="90" xfId="0" applyFont="1" applyBorder="1" applyAlignment="1">
      <alignment vertical="center"/>
    </xf>
    <xf numFmtId="0" fontId="173" fillId="0" borderId="91" xfId="3" applyFont="1" applyBorder="1"/>
    <xf numFmtId="44" fontId="172" fillId="0" borderId="91" xfId="2" applyFont="1" applyBorder="1"/>
    <xf numFmtId="44" fontId="51" fillId="14" borderId="91" xfId="2" applyFont="1" applyFill="1" applyBorder="1"/>
    <xf numFmtId="44" fontId="47" fillId="31" borderId="92" xfId="2" applyFont="1" applyFill="1" applyBorder="1"/>
    <xf numFmtId="0" fontId="173" fillId="0" borderId="93" xfId="0" applyFont="1" applyBorder="1" applyAlignment="1">
      <alignment vertical="center"/>
    </xf>
    <xf numFmtId="44" fontId="47" fillId="31" borderId="94" xfId="2" applyFont="1" applyFill="1" applyBorder="1"/>
    <xf numFmtId="0" fontId="171" fillId="0" borderId="93" xfId="0" applyFont="1" applyBorder="1" applyAlignment="1">
      <alignment vertical="center"/>
    </xf>
    <xf numFmtId="0" fontId="174" fillId="0" borderId="93" xfId="0" applyFont="1" applyBorder="1" applyAlignment="1">
      <alignment vertical="center"/>
    </xf>
    <xf numFmtId="0" fontId="176" fillId="0" borderId="93" xfId="0" applyFont="1" applyBorder="1" applyAlignment="1">
      <alignment vertical="center"/>
    </xf>
    <xf numFmtId="0" fontId="177" fillId="0" borderId="93" xfId="0" applyFont="1" applyBorder="1" applyAlignment="1">
      <alignment vertical="center"/>
    </xf>
    <xf numFmtId="0" fontId="178" fillId="0" borderId="93" xfId="0" applyFont="1" applyBorder="1" applyAlignment="1">
      <alignment vertical="center"/>
    </xf>
    <xf numFmtId="0" fontId="179" fillId="0" borderId="93" xfId="0" applyFont="1" applyBorder="1" applyAlignment="1">
      <alignment vertical="center"/>
    </xf>
    <xf numFmtId="0" fontId="180" fillId="0" borderId="93" xfId="0" applyFont="1" applyBorder="1" applyAlignment="1">
      <alignment vertical="center"/>
    </xf>
    <xf numFmtId="0" fontId="181" fillId="0" borderId="95" xfId="0" applyFont="1" applyBorder="1" applyAlignment="1">
      <alignment vertical="center"/>
    </xf>
    <xf numFmtId="0" fontId="181" fillId="0" borderId="96" xfId="3" applyFont="1" applyBorder="1"/>
    <xf numFmtId="44" fontId="172" fillId="0" borderId="96" xfId="2" applyFont="1" applyBorder="1"/>
    <xf numFmtId="44" fontId="51" fillId="14" borderId="96" xfId="2" applyFont="1" applyFill="1" applyBorder="1"/>
    <xf numFmtId="44" fontId="47" fillId="31" borderId="97" xfId="2" applyFont="1" applyFill="1" applyBorder="1"/>
    <xf numFmtId="44" fontId="172" fillId="0" borderId="98" xfId="2" applyFont="1" applyBorder="1"/>
    <xf numFmtId="44" fontId="172" fillId="0" borderId="99" xfId="2" applyFont="1" applyBorder="1"/>
    <xf numFmtId="44" fontId="172" fillId="0" borderId="100" xfId="2" applyFont="1" applyBorder="1"/>
    <xf numFmtId="44" fontId="47" fillId="13" borderId="101" xfId="2" applyFont="1" applyFill="1" applyBorder="1"/>
    <xf numFmtId="44" fontId="47" fillId="13" borderId="102" xfId="2" applyFont="1" applyFill="1" applyBorder="1"/>
    <xf numFmtId="44" fontId="47" fillId="13" borderId="103" xfId="2" applyFont="1" applyFill="1" applyBorder="1"/>
    <xf numFmtId="44" fontId="184" fillId="0" borderId="59" xfId="2" applyFont="1" applyBorder="1" applyAlignment="1"/>
    <xf numFmtId="44" fontId="184" fillId="31" borderId="86" xfId="2" applyFont="1" applyFill="1" applyBorder="1"/>
    <xf numFmtId="0" fontId="79" fillId="0" borderId="0" xfId="0" applyFont="1" applyAlignment="1">
      <alignment horizontal="left" vertical="center"/>
    </xf>
    <xf numFmtId="44" fontId="42" fillId="24" borderId="45" xfId="0" applyNumberFormat="1" applyFont="1" applyFill="1" applyBorder="1" applyAlignment="1">
      <alignment horizontal="center"/>
    </xf>
    <xf numFmtId="0" fontId="185" fillId="0" borderId="0" xfId="0" applyFont="1"/>
    <xf numFmtId="0" fontId="59" fillId="0" borderId="45" xfId="0" applyFont="1" applyBorder="1"/>
    <xf numFmtId="44" fontId="42" fillId="24" borderId="48" xfId="0" applyNumberFormat="1" applyFont="1" applyFill="1" applyBorder="1" applyAlignment="1">
      <alignment horizontal="center"/>
    </xf>
    <xf numFmtId="174" fontId="64" fillId="2" borderId="41" xfId="0" applyNumberFormat="1" applyFont="1" applyFill="1" applyBorder="1" applyAlignment="1">
      <alignment vertical="center"/>
    </xf>
    <xf numFmtId="174" fontId="64" fillId="2" borderId="28" xfId="0" applyNumberFormat="1" applyFont="1" applyFill="1" applyBorder="1" applyAlignment="1">
      <alignment vertical="center"/>
    </xf>
    <xf numFmtId="174" fontId="64" fillId="2" borderId="9" xfId="0" applyNumberFormat="1" applyFont="1" applyFill="1" applyBorder="1" applyAlignment="1">
      <alignment vertical="center"/>
    </xf>
    <xf numFmtId="174" fontId="64" fillId="2" borderId="20" xfId="0" applyNumberFormat="1" applyFont="1" applyFill="1" applyBorder="1" applyAlignment="1">
      <alignment vertical="center"/>
    </xf>
    <xf numFmtId="14" fontId="186" fillId="0" borderId="0" xfId="0" applyNumberFormat="1" applyFont="1" applyAlignment="1">
      <alignment horizontal="left" vertical="center"/>
    </xf>
    <xf numFmtId="0" fontId="186" fillId="0" borderId="0" xfId="0" applyFont="1" applyAlignment="1">
      <alignment vertical="center"/>
    </xf>
    <xf numFmtId="44" fontId="186" fillId="0" borderId="0" xfId="0" applyNumberFormat="1" applyFont="1" applyAlignment="1">
      <alignment vertical="center"/>
    </xf>
    <xf numFmtId="44" fontId="187" fillId="0" borderId="0" xfId="0" applyNumberFormat="1" applyFont="1" applyAlignment="1">
      <alignment vertical="center"/>
    </xf>
    <xf numFmtId="0" fontId="188" fillId="0" borderId="0" xfId="0" applyFont="1"/>
    <xf numFmtId="0" fontId="189" fillId="0" borderId="0" xfId="0" applyFont="1"/>
    <xf numFmtId="44" fontId="187" fillId="0" borderId="14" xfId="0" applyNumberFormat="1" applyFont="1" applyBorder="1" applyAlignment="1">
      <alignment horizontal="center" vertical="center"/>
    </xf>
    <xf numFmtId="0" fontId="188" fillId="0" borderId="14" xfId="0" applyFont="1" applyBorder="1"/>
    <xf numFmtId="165" fontId="186" fillId="0" borderId="0" xfId="0" applyNumberFormat="1" applyFont="1" applyAlignment="1">
      <alignment vertical="center"/>
    </xf>
    <xf numFmtId="44" fontId="186" fillId="0" borderId="0" xfId="2" applyFont="1" applyAlignment="1">
      <alignment vertical="center"/>
    </xf>
    <xf numFmtId="14" fontId="186" fillId="0" borderId="35" xfId="0" applyNumberFormat="1" applyFont="1" applyBorder="1" applyAlignment="1">
      <alignment horizontal="left" vertical="center"/>
    </xf>
    <xf numFmtId="14" fontId="186" fillId="0" borderId="35" xfId="0" applyNumberFormat="1" applyFont="1" applyBorder="1" applyAlignment="1">
      <alignment vertical="center"/>
    </xf>
    <xf numFmtId="44" fontId="186" fillId="0" borderId="35" xfId="0" applyNumberFormat="1" applyFont="1" applyBorder="1" applyAlignment="1">
      <alignment vertical="center"/>
    </xf>
    <xf numFmtId="44" fontId="186" fillId="0" borderId="35" xfId="2" applyFont="1" applyBorder="1" applyAlignment="1">
      <alignment vertical="center"/>
    </xf>
    <xf numFmtId="44" fontId="186" fillId="0" borderId="0" xfId="2" applyFont="1" applyFill="1" applyAlignment="1">
      <alignment vertical="center"/>
    </xf>
    <xf numFmtId="43" fontId="190" fillId="0" borderId="0" xfId="4" applyFont="1"/>
    <xf numFmtId="0" fontId="192" fillId="0" borderId="0" xfId="0" applyFont="1"/>
    <xf numFmtId="44" fontId="175" fillId="14" borderId="40" xfId="2" applyFont="1" applyFill="1" applyBorder="1"/>
    <xf numFmtId="0" fontId="175" fillId="14" borderId="40" xfId="0" applyFont="1" applyFill="1" applyBorder="1"/>
    <xf numFmtId="0" fontId="193" fillId="0" borderId="0" xfId="0" applyFont="1"/>
    <xf numFmtId="44" fontId="175" fillId="14" borderId="46" xfId="2" applyFont="1" applyFill="1" applyBorder="1"/>
    <xf numFmtId="0" fontId="175" fillId="14" borderId="46" xfId="0" applyFont="1" applyFill="1" applyBorder="1"/>
    <xf numFmtId="44" fontId="191" fillId="24" borderId="48" xfId="0" applyNumberFormat="1" applyFont="1" applyFill="1" applyBorder="1" applyAlignment="1">
      <alignment horizontal="center"/>
    </xf>
    <xf numFmtId="44" fontId="191" fillId="24" borderId="45" xfId="0" applyNumberFormat="1" applyFont="1" applyFill="1" applyBorder="1" applyAlignment="1">
      <alignment horizontal="center"/>
    </xf>
    <xf numFmtId="44" fontId="191" fillId="24" borderId="57" xfId="0" applyNumberFormat="1" applyFont="1" applyFill="1" applyBorder="1" applyAlignment="1">
      <alignment horizontal="center"/>
    </xf>
    <xf numFmtId="0" fontId="32" fillId="24" borderId="45" xfId="0" applyFont="1" applyFill="1" applyBorder="1"/>
    <xf numFmtId="44" fontId="57" fillId="24" borderId="57" xfId="0" applyNumberFormat="1" applyFont="1" applyFill="1" applyBorder="1" applyAlignment="1">
      <alignment horizontal="center"/>
    </xf>
    <xf numFmtId="44" fontId="49" fillId="0" borderId="45" xfId="0" applyNumberFormat="1" applyFont="1" applyBorder="1" applyAlignment="1">
      <alignment horizontal="center"/>
    </xf>
    <xf numFmtId="44" fontId="191" fillId="32" borderId="47" xfId="0" applyNumberFormat="1" applyFont="1" applyFill="1" applyBorder="1" applyAlignment="1">
      <alignment horizontal="center"/>
    </xf>
    <xf numFmtId="44" fontId="191" fillId="32" borderId="48" xfId="0" applyNumberFormat="1" applyFont="1" applyFill="1" applyBorder="1" applyAlignment="1">
      <alignment horizontal="center"/>
    </xf>
    <xf numFmtId="44" fontId="191" fillId="32" borderId="45" xfId="0" applyNumberFormat="1" applyFont="1" applyFill="1" applyBorder="1" applyAlignment="1">
      <alignment horizontal="center"/>
    </xf>
    <xf numFmtId="0" fontId="192" fillId="32" borderId="0" xfId="0" applyFont="1" applyFill="1"/>
    <xf numFmtId="44" fontId="191" fillId="32" borderId="57" xfId="0" applyNumberFormat="1" applyFont="1" applyFill="1" applyBorder="1" applyAlignment="1">
      <alignment horizontal="center"/>
    </xf>
    <xf numFmtId="44" fontId="191" fillId="32" borderId="84" xfId="0" applyNumberFormat="1" applyFont="1" applyFill="1" applyBorder="1" applyAlignment="1">
      <alignment horizontal="center"/>
    </xf>
    <xf numFmtId="0" fontId="32" fillId="32" borderId="45" xfId="0" applyFont="1" applyFill="1" applyBorder="1"/>
    <xf numFmtId="0" fontId="32" fillId="32" borderId="14" xfId="0" applyFont="1" applyFill="1" applyBorder="1"/>
    <xf numFmtId="44" fontId="42" fillId="33" borderId="106" xfId="0" applyNumberFormat="1" applyFont="1" applyFill="1" applyBorder="1" applyAlignment="1">
      <alignment horizontal="center"/>
    </xf>
    <xf numFmtId="44" fontId="194" fillId="34" borderId="55" xfId="0" applyNumberFormat="1" applyFont="1" applyFill="1" applyBorder="1" applyAlignment="1">
      <alignment horizontal="center"/>
    </xf>
    <xf numFmtId="44" fontId="42" fillId="0" borderId="58" xfId="0" applyNumberFormat="1" applyFont="1" applyBorder="1" applyAlignment="1">
      <alignment horizontal="center"/>
    </xf>
    <xf numFmtId="14" fontId="131" fillId="21" borderId="40" xfId="3" applyNumberFormat="1" applyFont="1" applyFill="1" applyBorder="1" applyAlignment="1">
      <alignment horizontal="center"/>
    </xf>
    <xf numFmtId="14" fontId="131" fillId="21" borderId="43" xfId="3" applyNumberFormat="1" applyFont="1" applyFill="1" applyBorder="1" applyAlignment="1">
      <alignment horizontal="center"/>
    </xf>
    <xf numFmtId="14" fontId="131" fillId="21" borderId="46" xfId="3" applyNumberFormat="1" applyFont="1" applyFill="1" applyBorder="1" applyAlignment="1">
      <alignment horizontal="center"/>
    </xf>
    <xf numFmtId="14" fontId="133" fillId="30" borderId="43" xfId="0" applyNumberFormat="1" applyFont="1" applyFill="1" applyBorder="1" applyAlignment="1">
      <alignment horizontal="center"/>
    </xf>
    <xf numFmtId="14" fontId="133" fillId="30" borderId="46" xfId="0" applyNumberFormat="1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0" fontId="30" fillId="0" borderId="14" xfId="0" applyFont="1" applyBorder="1" applyAlignment="1">
      <alignment horizontal="center"/>
    </xf>
    <xf numFmtId="4" fontId="62" fillId="0" borderId="25" xfId="0" applyNumberFormat="1" applyFont="1" applyBorder="1" applyAlignment="1">
      <alignment horizontal="right" vertical="center"/>
    </xf>
    <xf numFmtId="0" fontId="62" fillId="0" borderId="26" xfId="0" applyFont="1" applyBorder="1" applyAlignment="1">
      <alignment horizontal="right" vertical="center"/>
    </xf>
    <xf numFmtId="174" fontId="64" fillId="6" borderId="30" xfId="0" applyNumberFormat="1" applyFont="1" applyFill="1" applyBorder="1" applyAlignment="1">
      <alignment horizontal="center" vertical="center"/>
    </xf>
    <xf numFmtId="174" fontId="64" fillId="6" borderId="14" xfId="0" applyNumberFormat="1" applyFont="1" applyFill="1" applyBorder="1" applyAlignment="1">
      <alignment horizontal="center" vertical="center"/>
    </xf>
    <xf numFmtId="174" fontId="64" fillId="6" borderId="11" xfId="0" applyNumberFormat="1" applyFont="1" applyFill="1" applyBorder="1" applyAlignment="1">
      <alignment horizontal="center" vertical="center"/>
    </xf>
    <xf numFmtId="174" fontId="64" fillId="6" borderId="36" xfId="0" applyNumberFormat="1" applyFont="1" applyFill="1" applyBorder="1" applyAlignment="1">
      <alignment horizontal="center" vertical="center"/>
    </xf>
    <xf numFmtId="174" fontId="64" fillId="6" borderId="20" xfId="0" applyNumberFormat="1" applyFont="1" applyFill="1" applyBorder="1" applyAlignment="1">
      <alignment horizontal="center" vertical="center"/>
    </xf>
    <xf numFmtId="174" fontId="64" fillId="6" borderId="10" xfId="0" applyNumberFormat="1" applyFont="1" applyFill="1" applyBorder="1" applyAlignment="1">
      <alignment horizontal="center" vertical="center"/>
    </xf>
    <xf numFmtId="174" fontId="64" fillId="7" borderId="41" xfId="0" applyNumberFormat="1" applyFont="1" applyFill="1" applyBorder="1" applyAlignment="1">
      <alignment horizontal="center" vertical="center"/>
    </xf>
    <xf numFmtId="174" fontId="64" fillId="7" borderId="28" xfId="0" applyNumberFormat="1" applyFont="1" applyFill="1" applyBorder="1" applyAlignment="1">
      <alignment horizontal="center" vertical="center"/>
    </xf>
    <xf numFmtId="174" fontId="64" fillId="7" borderId="42" xfId="0" applyNumberFormat="1" applyFont="1" applyFill="1" applyBorder="1" applyAlignment="1">
      <alignment horizontal="center" vertical="center"/>
    </xf>
    <xf numFmtId="174" fontId="64" fillId="7" borderId="9" xfId="0" applyNumberFormat="1" applyFont="1" applyFill="1" applyBorder="1" applyAlignment="1">
      <alignment horizontal="center" vertical="center"/>
    </xf>
    <xf numFmtId="174" fontId="64" fillId="7" borderId="20" xfId="0" applyNumberFormat="1" applyFont="1" applyFill="1" applyBorder="1" applyAlignment="1">
      <alignment horizontal="center" vertical="center"/>
    </xf>
    <xf numFmtId="174" fontId="64" fillId="7" borderId="10" xfId="0" applyNumberFormat="1" applyFont="1" applyFill="1" applyBorder="1" applyAlignment="1">
      <alignment horizontal="center" vertical="center"/>
    </xf>
    <xf numFmtId="0" fontId="51" fillId="14" borderId="14" xfId="0" applyFont="1" applyFill="1" applyBorder="1" applyAlignment="1">
      <alignment horizontal="center"/>
    </xf>
    <xf numFmtId="0" fontId="62" fillId="0" borderId="44" xfId="0" applyFont="1" applyBorder="1" applyAlignment="1">
      <alignment horizontal="right" vertical="center"/>
    </xf>
    <xf numFmtId="0" fontId="63" fillId="0" borderId="30" xfId="0" applyFont="1" applyBorder="1" applyAlignment="1">
      <alignment horizontal="center" vertical="center"/>
    </xf>
    <xf numFmtId="0" fontId="63" fillId="0" borderId="14" xfId="0" applyFont="1" applyBorder="1" applyAlignment="1">
      <alignment horizontal="center" vertical="center"/>
    </xf>
    <xf numFmtId="0" fontId="63" fillId="0" borderId="31" xfId="0" applyFont="1" applyBorder="1" applyAlignment="1">
      <alignment horizontal="center" vertical="center"/>
    </xf>
    <xf numFmtId="0" fontId="63" fillId="0" borderId="32" xfId="0" applyFont="1" applyBorder="1" applyAlignment="1">
      <alignment horizontal="center" vertical="center"/>
    </xf>
    <xf numFmtId="0" fontId="63" fillId="0" borderId="33" xfId="0" applyFont="1" applyBorder="1" applyAlignment="1">
      <alignment horizontal="center" vertical="center"/>
    </xf>
    <xf numFmtId="0" fontId="63" fillId="0" borderId="34" xfId="0" applyFont="1" applyBorder="1" applyAlignment="1">
      <alignment horizontal="center" vertical="center"/>
    </xf>
    <xf numFmtId="44" fontId="119" fillId="0" borderId="25" xfId="0" applyNumberFormat="1" applyFont="1" applyBorder="1" applyAlignment="1">
      <alignment horizontal="center" vertical="center"/>
    </xf>
    <xf numFmtId="0" fontId="119" fillId="0" borderId="26" xfId="0" applyFont="1" applyBorder="1" applyAlignment="1">
      <alignment horizontal="center" vertical="center"/>
    </xf>
    <xf numFmtId="0" fontId="63" fillId="0" borderId="104" xfId="0" applyFont="1" applyBorder="1" applyAlignment="1">
      <alignment horizontal="center" vertical="center"/>
    </xf>
    <xf numFmtId="0" fontId="63" fillId="0" borderId="39" xfId="0" applyFont="1" applyBorder="1" applyAlignment="1">
      <alignment horizontal="center" vertical="center"/>
    </xf>
    <xf numFmtId="0" fontId="63" fillId="0" borderId="105" xfId="0" applyFont="1" applyBorder="1" applyAlignment="1">
      <alignment horizontal="center" vertical="center"/>
    </xf>
    <xf numFmtId="174" fontId="64" fillId="2" borderId="28" xfId="0" applyNumberFormat="1" applyFont="1" applyFill="1" applyBorder="1" applyAlignment="1">
      <alignment horizontal="center" vertical="center"/>
    </xf>
    <xf numFmtId="174" fontId="64" fillId="2" borderId="20" xfId="0" applyNumberFormat="1" applyFont="1" applyFill="1" applyBorder="1" applyAlignment="1">
      <alignment horizontal="center" vertical="center"/>
    </xf>
    <xf numFmtId="44" fontId="69" fillId="0" borderId="81" xfId="2" applyFont="1" applyBorder="1" applyAlignment="1">
      <alignment horizontal="center" vertical="center"/>
    </xf>
    <xf numFmtId="44" fontId="69" fillId="0" borderId="83" xfId="2" applyFont="1" applyBorder="1" applyAlignment="1">
      <alignment horizontal="center" vertical="center"/>
    </xf>
    <xf numFmtId="10" fontId="117" fillId="0" borderId="25" xfId="1" applyNumberFormat="1" applyFont="1" applyBorder="1" applyAlignment="1">
      <alignment horizontal="center" vertical="center"/>
    </xf>
    <xf numFmtId="10" fontId="117" fillId="0" borderId="26" xfId="1" applyNumberFormat="1" applyFont="1" applyBorder="1" applyAlignment="1">
      <alignment horizontal="center" vertical="center"/>
    </xf>
    <xf numFmtId="44" fontId="69" fillId="0" borderId="80" xfId="2" applyFont="1" applyBorder="1" applyAlignment="1">
      <alignment horizontal="center" vertical="center"/>
    </xf>
    <xf numFmtId="44" fontId="69" fillId="0" borderId="82" xfId="2" applyFont="1" applyBorder="1" applyAlignment="1">
      <alignment horizontal="center" vertical="center"/>
    </xf>
    <xf numFmtId="174" fontId="69" fillId="0" borderId="81" xfId="2" applyNumberFormat="1" applyFont="1" applyBorder="1" applyAlignment="1">
      <alignment horizontal="center" vertical="center"/>
    </xf>
    <xf numFmtId="174" fontId="69" fillId="0" borderId="83" xfId="2" applyNumberFormat="1" applyFont="1" applyBorder="1" applyAlignment="1">
      <alignment horizontal="center" vertical="center"/>
    </xf>
    <xf numFmtId="174" fontId="69" fillId="0" borderId="80" xfId="2" applyNumberFormat="1" applyFont="1" applyBorder="1" applyAlignment="1">
      <alignment horizontal="center" vertical="center"/>
    </xf>
    <xf numFmtId="174" fontId="69" fillId="0" borderId="82" xfId="2" applyNumberFormat="1" applyFont="1" applyBorder="1" applyAlignment="1">
      <alignment horizontal="center" vertical="center"/>
    </xf>
    <xf numFmtId="165" fontId="71" fillId="0" borderId="25" xfId="0" applyNumberFormat="1" applyFont="1" applyBorder="1" applyAlignment="1">
      <alignment horizontal="center" vertical="center" textRotation="90" wrapText="1"/>
    </xf>
    <xf numFmtId="165" fontId="71" fillId="0" borderId="44" xfId="0" applyNumberFormat="1" applyFont="1" applyBorder="1" applyAlignment="1">
      <alignment horizontal="center" vertical="center" textRotation="90" wrapText="1"/>
    </xf>
    <xf numFmtId="165" fontId="71" fillId="0" borderId="26" xfId="0" applyNumberFormat="1" applyFont="1" applyBorder="1" applyAlignment="1">
      <alignment horizontal="center" vertical="center" textRotation="90" wrapText="1"/>
    </xf>
    <xf numFmtId="165" fontId="71" fillId="0" borderId="25" xfId="0" applyNumberFormat="1" applyFont="1" applyBorder="1" applyAlignment="1">
      <alignment horizontal="center" vertical="center" textRotation="90"/>
    </xf>
    <xf numFmtId="165" fontId="71" fillId="0" borderId="44" xfId="0" applyNumberFormat="1" applyFont="1" applyBorder="1" applyAlignment="1">
      <alignment horizontal="center" vertical="center" textRotation="90"/>
    </xf>
    <xf numFmtId="165" fontId="71" fillId="0" borderId="26" xfId="0" applyNumberFormat="1" applyFont="1" applyBorder="1" applyAlignment="1">
      <alignment horizontal="center" vertical="center" textRotation="90"/>
    </xf>
    <xf numFmtId="0" fontId="45" fillId="15" borderId="63" xfId="0" applyFont="1" applyFill="1" applyBorder="1" applyAlignment="1">
      <alignment horizontal="center" vertical="center"/>
    </xf>
    <xf numFmtId="0" fontId="71" fillId="17" borderId="64" xfId="0" applyFont="1" applyFill="1" applyBorder="1"/>
    <xf numFmtId="0" fontId="74" fillId="18" borderId="65" xfId="0" applyFont="1" applyFill="1" applyBorder="1" applyAlignment="1">
      <alignment horizontal="center"/>
    </xf>
    <xf numFmtId="0" fontId="74" fillId="18" borderId="66" xfId="0" applyFont="1" applyFill="1" applyBorder="1" applyAlignment="1">
      <alignment horizontal="center"/>
    </xf>
    <xf numFmtId="0" fontId="74" fillId="18" borderId="67" xfId="0" applyFont="1" applyFill="1" applyBorder="1" applyAlignment="1">
      <alignment horizontal="center"/>
    </xf>
    <xf numFmtId="0" fontId="151" fillId="17" borderId="0" xfId="0" applyFont="1" applyFill="1" applyAlignment="1">
      <alignment horizontal="center"/>
    </xf>
    <xf numFmtId="0" fontId="80" fillId="0" borderId="20" xfId="0" applyFont="1" applyBorder="1" applyAlignment="1">
      <alignment horizontal="center" vertical="center"/>
    </xf>
    <xf numFmtId="0" fontId="80" fillId="0" borderId="27" xfId="0" applyFont="1" applyBorder="1" applyAlignment="1">
      <alignment horizontal="center"/>
    </xf>
    <xf numFmtId="0" fontId="80" fillId="0" borderId="28" xfId="0" applyFont="1" applyBorder="1" applyAlignment="1">
      <alignment horizontal="center"/>
    </xf>
    <xf numFmtId="0" fontId="80" fillId="0" borderId="42" xfId="0" applyFont="1" applyBorder="1" applyAlignment="1">
      <alignment horizontal="center"/>
    </xf>
    <xf numFmtId="0" fontId="80" fillId="0" borderId="14" xfId="0" applyFont="1" applyBorder="1" applyAlignment="1">
      <alignment horizontal="center"/>
    </xf>
    <xf numFmtId="0" fontId="87" fillId="4" borderId="3" xfId="0" applyFont="1" applyFill="1" applyBorder="1" applyAlignment="1">
      <alignment horizontal="center" vertical="center"/>
    </xf>
    <xf numFmtId="0" fontId="107" fillId="0" borderId="4" xfId="0" applyFont="1" applyBorder="1"/>
    <xf numFmtId="0" fontId="107" fillId="0" borderId="5" xfId="0" applyFont="1" applyBorder="1"/>
    <xf numFmtId="0" fontId="30" fillId="0" borderId="0" xfId="0" applyFont="1" applyAlignment="1">
      <alignment horizontal="center"/>
    </xf>
    <xf numFmtId="0" fontId="115" fillId="28" borderId="14" xfId="0" applyFont="1" applyFill="1" applyBorder="1" applyAlignment="1">
      <alignment horizontal="center"/>
    </xf>
    <xf numFmtId="44" fontId="30" fillId="0" borderId="0" xfId="0" quotePrefix="1" applyNumberFormat="1" applyFont="1" applyAlignment="1">
      <alignment horizontal="right"/>
    </xf>
    <xf numFmtId="44" fontId="30" fillId="0" borderId="0" xfId="2" applyFont="1" applyAlignment="1"/>
    <xf numFmtId="44" fontId="44" fillId="0" borderId="57" xfId="0" applyNumberFormat="1" applyFont="1" applyFill="1" applyBorder="1" applyAlignment="1">
      <alignment horizontal="center"/>
    </xf>
    <xf numFmtId="0" fontId="42" fillId="0" borderId="53" xfId="0" applyFont="1" applyFill="1" applyBorder="1" applyAlignment="1">
      <alignment horizontal="right"/>
    </xf>
  </cellXfs>
  <cellStyles count="5">
    <cellStyle name="Milliers" xfId="4" builtinId="3"/>
    <cellStyle name="Monétaire" xfId="2" builtinId="4"/>
    <cellStyle name="Normal" xfId="0" builtinId="0"/>
    <cellStyle name="Normal 2" xfId="3" xr:uid="{191F132A-FB0E-4FCA-9A2F-F5A5689C1D2B}"/>
    <cellStyle name="Pourcentage" xfId="1" builtinId="5"/>
  </cellStyles>
  <dxfs count="4">
    <dxf>
      <fill>
        <patternFill>
          <bgColor rgb="FFFF5F5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D9E2F2"/>
        </patternFill>
      </fill>
    </dxf>
  </dxfs>
  <tableStyles count="0" defaultTableStyle="TableStyleMedium2" defaultPivotStyle="PivotStyleLight16"/>
  <colors>
    <mruColors>
      <color rgb="FF567B96"/>
      <color rgb="FFFF5F5F"/>
      <color rgb="FFD9E2F2"/>
      <color rgb="FFB8D7ED"/>
      <color rgb="FFDAE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CA</a:t>
            </a:r>
            <a:r>
              <a:rPr lang="fr-FR" baseline="0"/>
              <a:t> - VOLETMAT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6413778304336151E-2"/>
          <c:y val="0.17314814814814813"/>
          <c:w val="0.87300711659539565"/>
          <c:h val="0.7204629629629629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CA!$B$5:$M$5</c:f>
              <c:numCache>
                <c:formatCode>_("€"* #,##0.00_);_("€"* \(#,##0.00\);_("€"* "-"??_);_(@_)</c:formatCode>
                <c:ptCount val="12"/>
                <c:pt idx="0">
                  <c:v>63978</c:v>
                </c:pt>
                <c:pt idx="1">
                  <c:v>73620</c:v>
                </c:pt>
                <c:pt idx="2">
                  <c:v>72325</c:v>
                </c:pt>
                <c:pt idx="3">
                  <c:v>93621</c:v>
                </c:pt>
                <c:pt idx="4">
                  <c:v>72989.930000000008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1-8745-8F2D-5F958DA9AFE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04971920"/>
        <c:axId val="1005069632"/>
      </c:barChart>
      <c:catAx>
        <c:axId val="1004971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5069632"/>
        <c:crosses val="autoZero"/>
        <c:auto val="1"/>
        <c:lblAlgn val="ctr"/>
        <c:lblOffset val="100"/>
        <c:noMultiLvlLbl val="0"/>
      </c:catAx>
      <c:valAx>
        <c:axId val="100506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497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15874</xdr:colOff>
      <xdr:row>6</xdr:row>
      <xdr:rowOff>188120</xdr:rowOff>
    </xdr:from>
    <xdr:to>
      <xdr:col>13</xdr:col>
      <xdr:colOff>936624</xdr:colOff>
      <xdr:row>20</xdr:row>
      <xdr:rowOff>42070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1B5098A-4023-50E0-9FAE-FF9D1C2B41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Volumes/web/voletmat_gestion/aides/_gestion_n4_24-25.xlsm" TargetMode="External"/><Relationship Id="rId1" Type="http://schemas.openxmlformats.org/officeDocument/2006/relationships/externalLinkPath" Target="_gestion_n4_24-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"/>
      <sheetName val="Planning facturation 24-25"/>
      <sheetName val="facturation 24-25"/>
      <sheetName val="Prévisionnel 24-25"/>
      <sheetName val="Suivi BQ 24-25"/>
      <sheetName val="Pointage BQ 24-25"/>
      <sheetName val="Prospect"/>
      <sheetName val="calcul salaire"/>
      <sheetName val="prévi SL LD"/>
    </sheetNames>
    <sheetDataSet>
      <sheetData sheetId="0"/>
      <sheetData sheetId="1"/>
      <sheetData sheetId="2">
        <row r="5">
          <cell r="F5">
            <v>48979.990000000005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Sabine LOMEDICO" id="{E4A942CD-8C9A-EF49-B70B-A9569A6A21E9}" userId="09daa88fb6ff9b60" providerId="Windows Live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6" dT="2025-09-22T13:03:16.46" personId="{E4A942CD-8C9A-EF49-B70B-A9569A6A21E9}" id="{668C6DBA-B556-804C-A985-0442776B312A}">
    <text>FAIT ET ENVOYÉ AU CLIENT LE 22/09/2025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98F95-3B12-B348-86DD-F98078F2336B}">
  <sheetPr codeName="Feuil1"/>
  <dimension ref="B2:O37"/>
  <sheetViews>
    <sheetView zoomScale="160" zoomScaleNormal="160" workbookViewId="0">
      <selection activeCell="H26" sqref="H26"/>
    </sheetView>
  </sheetViews>
  <sheetFormatPr baseColWidth="10" defaultColWidth="10.7109375" defaultRowHeight="17"/>
  <cols>
    <col min="1" max="1" width="10.7109375" style="52"/>
    <col min="2" max="4" width="11.7109375" style="52" bestFit="1" customWidth="1"/>
    <col min="5" max="5" width="11.85546875" style="52" bestFit="1" customWidth="1"/>
    <col min="6" max="6" width="11.42578125" style="52" bestFit="1" customWidth="1"/>
    <col min="7" max="7" width="13.85546875" style="52" customWidth="1"/>
    <col min="8" max="8" width="12.85546875" style="52" customWidth="1"/>
    <col min="9" max="9" width="13" style="52" customWidth="1"/>
    <col min="10" max="10" width="11.140625" style="52" customWidth="1"/>
    <col min="11" max="11" width="12.5703125" style="52" customWidth="1"/>
    <col min="12" max="12" width="10.7109375" style="52" customWidth="1"/>
    <col min="13" max="13" width="9.42578125" style="52" customWidth="1"/>
    <col min="14" max="16384" width="10.7109375" style="52"/>
  </cols>
  <sheetData>
    <row r="2" spans="2:15">
      <c r="B2" s="643" t="s">
        <v>126</v>
      </c>
      <c r="C2" s="643"/>
      <c r="D2" s="643"/>
      <c r="E2" s="643"/>
      <c r="F2" s="643"/>
      <c r="G2" s="643"/>
      <c r="H2" s="643"/>
      <c r="I2" s="643"/>
    </row>
    <row r="3" spans="2:15">
      <c r="F3" s="52" t="s">
        <v>699</v>
      </c>
    </row>
    <row r="4" spans="2:15">
      <c r="B4" s="82" t="s">
        <v>200</v>
      </c>
      <c r="C4" s="82" t="s">
        <v>201</v>
      </c>
      <c r="D4" s="82" t="s">
        <v>202</v>
      </c>
      <c r="E4" s="82" t="s">
        <v>209</v>
      </c>
      <c r="F4" s="82" t="s">
        <v>210</v>
      </c>
      <c r="G4" s="706" t="s">
        <v>700</v>
      </c>
      <c r="I4" s="56"/>
    </row>
    <row r="5" spans="2:15">
      <c r="B5" s="56">
        <f>24973+D26</f>
        <v>63978</v>
      </c>
      <c r="C5" s="56">
        <f>E26+D27</f>
        <v>73620</v>
      </c>
      <c r="D5" s="56">
        <f>D28+E27</f>
        <v>72325</v>
      </c>
      <c r="E5" s="56">
        <f>E28+D29</f>
        <v>93621</v>
      </c>
      <c r="F5" s="56">
        <f>E29+D30</f>
        <v>72989.930000000008</v>
      </c>
    </row>
    <row r="6" spans="2:15">
      <c r="B6" s="56"/>
      <c r="C6" s="67">
        <f>C5/B5</f>
        <v>1.1507080558942135</v>
      </c>
      <c r="D6" s="67">
        <f>D5/C5</f>
        <v>0.98240967128497692</v>
      </c>
      <c r="E6" s="67">
        <f>E5/D5</f>
        <v>1.2944486692015209</v>
      </c>
      <c r="F6" s="67">
        <f>F5/E5</f>
        <v>0.77963202700248879</v>
      </c>
    </row>
    <row r="10" spans="2:15">
      <c r="K10" s="82"/>
      <c r="L10" s="82"/>
    </row>
    <row r="11" spans="2:15">
      <c r="L11" s="66"/>
      <c r="O11" s="73"/>
    </row>
    <row r="12" spans="2:15">
      <c r="K12" s="83"/>
    </row>
    <row r="13" spans="2:15">
      <c r="N13" s="66"/>
      <c r="O13" s="66"/>
    </row>
    <row r="14" spans="2:15">
      <c r="K14" s="83"/>
      <c r="L14" s="66"/>
      <c r="N14" s="66"/>
      <c r="O14" s="56"/>
    </row>
    <row r="15" spans="2:15">
      <c r="O15" s="56"/>
    </row>
    <row r="24" spans="3:15">
      <c r="D24" s="84" t="s">
        <v>262</v>
      </c>
      <c r="E24" s="84" t="s">
        <v>263</v>
      </c>
      <c r="F24" s="84" t="s">
        <v>264</v>
      </c>
      <c r="L24" s="85"/>
      <c r="M24" s="85"/>
      <c r="N24" s="85"/>
      <c r="O24" s="85"/>
    </row>
    <row r="25" spans="3:15">
      <c r="C25" s="52" t="s">
        <v>269</v>
      </c>
      <c r="D25" s="66">
        <v>0</v>
      </c>
      <c r="E25" s="66">
        <v>24973</v>
      </c>
      <c r="F25" s="66">
        <f>D25+E25</f>
        <v>24973</v>
      </c>
      <c r="L25" s="85"/>
      <c r="M25" s="85"/>
      <c r="N25" s="85"/>
      <c r="O25" s="85"/>
    </row>
    <row r="26" spans="3:15">
      <c r="C26" s="52" t="s">
        <v>268</v>
      </c>
      <c r="D26" s="66">
        <v>39005</v>
      </c>
      <c r="E26" s="66">
        <v>26238</v>
      </c>
      <c r="F26" s="80">
        <f>SUM(D26+E26)</f>
        <v>65243</v>
      </c>
      <c r="L26" s="85"/>
      <c r="M26" s="644"/>
      <c r="N26" s="644"/>
      <c r="O26" s="85"/>
    </row>
    <row r="27" spans="3:15">
      <c r="C27" s="52" t="s">
        <v>259</v>
      </c>
      <c r="D27" s="80">
        <v>47382</v>
      </c>
      <c r="E27" s="80">
        <v>28314</v>
      </c>
      <c r="F27" s="80">
        <f>SUM(D27+E27)</f>
        <v>75696</v>
      </c>
      <c r="L27" s="85"/>
      <c r="M27" s="85"/>
      <c r="N27" s="85"/>
      <c r="O27" s="85"/>
    </row>
    <row r="28" spans="3:15">
      <c r="C28" s="52" t="s">
        <v>260</v>
      </c>
      <c r="D28" s="86">
        <v>44011</v>
      </c>
      <c r="E28" s="86">
        <v>44641</v>
      </c>
      <c r="F28" s="80">
        <f>SUM(D28+E28)</f>
        <v>88652</v>
      </c>
      <c r="H28" s="56"/>
      <c r="K28" s="56"/>
      <c r="L28" s="87"/>
      <c r="M28" s="87"/>
      <c r="N28" s="85"/>
      <c r="O28" s="85"/>
    </row>
    <row r="29" spans="3:15">
      <c r="C29" s="52" t="s">
        <v>261</v>
      </c>
      <c r="D29" s="80">
        <f>6650+42330</f>
        <v>48980</v>
      </c>
      <c r="E29" s="80">
        <f>'facturation 25-26'!C1</f>
        <v>23446.080000000005</v>
      </c>
      <c r="F29" s="80">
        <f>SUM(D29+E29)</f>
        <v>72426.080000000002</v>
      </c>
      <c r="L29" s="83"/>
      <c r="M29" s="83"/>
      <c r="N29" s="85"/>
      <c r="O29" s="85"/>
    </row>
    <row r="30" spans="3:15">
      <c r="C30" s="52" t="s">
        <v>267</v>
      </c>
      <c r="D30" s="707">
        <f>'facturation 25-26'!F5</f>
        <v>49543.850000000006</v>
      </c>
      <c r="E30" s="707"/>
      <c r="F30" s="66">
        <f>E30+D30</f>
        <v>49543.850000000006</v>
      </c>
      <c r="I30" s="56"/>
      <c r="L30" s="88"/>
      <c r="M30" s="88"/>
      <c r="N30" s="85"/>
      <c r="O30" s="85"/>
    </row>
    <row r="31" spans="3:15">
      <c r="C31" s="52" t="s">
        <v>676</v>
      </c>
      <c r="D31" s="66"/>
      <c r="E31" s="66"/>
      <c r="F31" s="66"/>
      <c r="L31" s="89"/>
      <c r="M31" s="90"/>
      <c r="N31" s="85"/>
      <c r="O31" s="85"/>
    </row>
    <row r="32" spans="3:15">
      <c r="C32" s="52" t="s">
        <v>677</v>
      </c>
      <c r="L32" s="89"/>
      <c r="M32" s="87"/>
      <c r="N32" s="85"/>
      <c r="O32" s="85"/>
    </row>
    <row r="33" spans="3:15">
      <c r="C33" s="52" t="s">
        <v>678</v>
      </c>
      <c r="K33" s="56"/>
      <c r="L33" s="91"/>
      <c r="M33" s="85"/>
      <c r="N33" s="85"/>
      <c r="O33" s="85"/>
    </row>
    <row r="34" spans="3:15">
      <c r="L34" s="85"/>
      <c r="M34" s="85"/>
      <c r="N34" s="85"/>
      <c r="O34" s="85"/>
    </row>
    <row r="35" spans="3:15">
      <c r="L35" s="85"/>
      <c r="M35" s="85"/>
      <c r="N35" s="85"/>
      <c r="O35" s="85"/>
    </row>
    <row r="36" spans="3:15">
      <c r="L36" s="85"/>
      <c r="M36" s="85"/>
      <c r="N36" s="85"/>
      <c r="O36" s="85"/>
    </row>
    <row r="37" spans="3:15">
      <c r="L37" s="85"/>
      <c r="M37" s="85"/>
      <c r="N37" s="85"/>
      <c r="O37" s="85"/>
    </row>
  </sheetData>
  <mergeCells count="3">
    <mergeCell ref="B2:I2"/>
    <mergeCell ref="M26:N26"/>
    <mergeCell ref="D30:E30"/>
  </mergeCells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E895-4DE6-439B-AAFD-53FA638ED939}">
  <sheetPr>
    <tabColor rgb="FFFFC000"/>
  </sheetPr>
  <dimension ref="A1:AE91"/>
  <sheetViews>
    <sheetView tabSelected="1" zoomScale="60" zoomScaleNormal="60" workbookViewId="0">
      <pane xSplit="8" ySplit="4" topLeftCell="I5" activePane="bottomRight" state="frozen"/>
      <selection pane="topRight" activeCell="I1" sqref="I1"/>
      <selection pane="bottomLeft" activeCell="A5" sqref="A5"/>
      <selection pane="bottomRight" activeCell="I17" sqref="I17:I18"/>
    </sheetView>
  </sheetViews>
  <sheetFormatPr baseColWidth="10" defaultRowHeight="16"/>
  <cols>
    <col min="1" max="1" width="7.7109375" customWidth="1"/>
    <col min="2" max="2" width="29" customWidth="1"/>
    <col min="3" max="3" width="38.42578125" bestFit="1" customWidth="1"/>
    <col min="4" max="4" width="18.140625" bestFit="1" customWidth="1"/>
    <col min="5" max="5" width="24.42578125" customWidth="1"/>
    <col min="6" max="6" width="18.140625" customWidth="1"/>
    <col min="7" max="7" width="19.140625" customWidth="1"/>
    <col min="8" max="8" width="17.42578125" bestFit="1" customWidth="1"/>
    <col min="9" max="9" width="21.140625" customWidth="1"/>
    <col min="10" max="10" width="17.85546875" customWidth="1"/>
    <col min="11" max="11" width="18" bestFit="1" customWidth="1"/>
    <col min="12" max="12" width="15.42578125" customWidth="1"/>
    <col min="13" max="13" width="15.5703125" customWidth="1"/>
    <col min="14" max="14" width="17.7109375" customWidth="1"/>
    <col min="15" max="15" width="20.42578125" customWidth="1"/>
    <col min="16" max="16" width="20.7109375" customWidth="1"/>
    <col min="17" max="17" width="21.140625" customWidth="1"/>
    <col min="18" max="18" width="18.7109375" customWidth="1"/>
    <col min="19" max="19" width="21.7109375" customWidth="1"/>
    <col min="20" max="26" width="18.42578125" customWidth="1"/>
    <col min="27" max="27" width="23.42578125" bestFit="1" customWidth="1"/>
    <col min="28" max="28" width="14.7109375" customWidth="1"/>
    <col min="29" max="29" width="19.5703125" bestFit="1" customWidth="1"/>
    <col min="30" max="30" width="13.42578125" bestFit="1" customWidth="1"/>
    <col min="31" max="31" width="77.7109375" customWidth="1"/>
  </cols>
  <sheetData>
    <row r="1" spans="1:31" ht="34">
      <c r="B1" s="99"/>
      <c r="C1" s="99"/>
      <c r="D1" s="99"/>
      <c r="E1" s="99"/>
      <c r="F1" s="99"/>
      <c r="G1" s="99"/>
      <c r="H1" s="99"/>
      <c r="I1" s="99"/>
      <c r="J1" s="99"/>
      <c r="K1" s="99"/>
      <c r="L1" s="100" t="s">
        <v>114</v>
      </c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52"/>
      <c r="AB1" s="52"/>
      <c r="AC1" s="1"/>
      <c r="AD1" s="156" t="s">
        <v>5</v>
      </c>
      <c r="AE1" s="157" t="s">
        <v>6</v>
      </c>
    </row>
    <row r="2" spans="1:31" ht="24" thickBot="1">
      <c r="A2" s="22"/>
      <c r="B2" s="101"/>
      <c r="C2" s="102"/>
      <c r="D2" s="102"/>
      <c r="E2" s="103"/>
      <c r="F2" s="103"/>
      <c r="G2" s="103"/>
      <c r="H2" s="103"/>
      <c r="I2" s="103"/>
      <c r="J2" s="103"/>
      <c r="K2" s="103"/>
      <c r="L2" s="103"/>
      <c r="M2" s="103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2"/>
      <c r="AD2" s="159" t="s">
        <v>7</v>
      </c>
      <c r="AE2" s="160" t="s">
        <v>8</v>
      </c>
    </row>
    <row r="3" spans="1:31" ht="24">
      <c r="A3" s="22"/>
      <c r="B3" s="104"/>
      <c r="C3" s="105"/>
      <c r="D3" s="106" t="s">
        <v>203</v>
      </c>
      <c r="E3" s="106" t="s">
        <v>3</v>
      </c>
      <c r="F3" s="106" t="s">
        <v>244</v>
      </c>
      <c r="G3" s="107" t="s">
        <v>270</v>
      </c>
      <c r="H3" s="106" t="s">
        <v>271</v>
      </c>
      <c r="I3" s="108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659" t="s">
        <v>109</v>
      </c>
      <c r="AB3" s="659"/>
      <c r="AD3" s="162" t="s">
        <v>186</v>
      </c>
      <c r="AE3" s="163" t="s">
        <v>9</v>
      </c>
    </row>
    <row r="4" spans="1:31" ht="24" thickBot="1">
      <c r="A4" s="22"/>
      <c r="B4" s="110"/>
      <c r="C4" s="111"/>
      <c r="D4" s="112"/>
      <c r="E4" s="113"/>
      <c r="F4" s="113"/>
      <c r="G4" s="114"/>
      <c r="H4" s="115"/>
      <c r="I4" s="116" t="s">
        <v>101</v>
      </c>
      <c r="J4" s="117" t="s">
        <v>100</v>
      </c>
      <c r="K4" s="117" t="s">
        <v>86</v>
      </c>
      <c r="L4" s="118" t="s">
        <v>75</v>
      </c>
      <c r="M4" s="118" t="s">
        <v>76</v>
      </c>
      <c r="N4" s="118" t="s">
        <v>77</v>
      </c>
      <c r="O4" s="118" t="s">
        <v>79</v>
      </c>
      <c r="P4" s="118" t="s">
        <v>80</v>
      </c>
      <c r="Q4" s="119" t="s">
        <v>81</v>
      </c>
      <c r="R4" s="118" t="s">
        <v>82</v>
      </c>
      <c r="S4" s="118" t="s">
        <v>83</v>
      </c>
      <c r="T4" s="118" t="s">
        <v>84</v>
      </c>
      <c r="U4" s="118" t="s">
        <v>101</v>
      </c>
      <c r="V4" s="118" t="s">
        <v>100</v>
      </c>
      <c r="W4" s="118" t="s">
        <v>86</v>
      </c>
      <c r="X4" s="118" t="s">
        <v>75</v>
      </c>
      <c r="Y4" s="118" t="s">
        <v>76</v>
      </c>
      <c r="Z4" s="118" t="s">
        <v>77</v>
      </c>
      <c r="AA4" s="120"/>
      <c r="AB4" s="102"/>
      <c r="AD4" s="165" t="s">
        <v>87</v>
      </c>
      <c r="AE4" s="166" t="s">
        <v>85</v>
      </c>
    </row>
    <row r="5" spans="1:31" s="615" customFormat="1" ht="23">
      <c r="A5" s="614"/>
      <c r="B5" s="93" t="s">
        <v>189</v>
      </c>
      <c r="C5" s="121" t="s">
        <v>94</v>
      </c>
      <c r="D5" s="95"/>
      <c r="E5" s="96">
        <f>21900*0.9</f>
        <v>19710</v>
      </c>
      <c r="F5" s="96">
        <f>1800*0.9+1620</f>
        <v>3240</v>
      </c>
      <c r="G5" s="92">
        <f>SUM(I5:Z5 )</f>
        <v>0</v>
      </c>
      <c r="H5" s="122">
        <v>0</v>
      </c>
      <c r="I5" s="628"/>
      <c r="J5" s="629"/>
      <c r="K5" s="629"/>
      <c r="L5" s="629"/>
      <c r="M5" s="630"/>
      <c r="N5" s="629"/>
      <c r="O5" s="629"/>
      <c r="P5" s="629"/>
      <c r="Q5" s="629"/>
      <c r="R5" s="629"/>
      <c r="S5" s="629"/>
      <c r="T5" s="629"/>
      <c r="U5" s="631"/>
      <c r="V5" s="631"/>
      <c r="W5" s="629"/>
      <c r="X5" s="629"/>
      <c r="Y5" s="631"/>
      <c r="Z5" s="631"/>
      <c r="AA5" s="616"/>
      <c r="AB5" s="617"/>
      <c r="AC5" s="618"/>
    </row>
    <row r="6" spans="1:31" ht="23">
      <c r="A6" s="25"/>
      <c r="B6" s="93" t="s">
        <v>102</v>
      </c>
      <c r="C6" s="121" t="s">
        <v>95</v>
      </c>
      <c r="D6" s="95"/>
      <c r="E6" s="96">
        <f>16900*0.85</f>
        <v>14365</v>
      </c>
      <c r="F6" s="96">
        <f>8450+0</f>
        <v>8450</v>
      </c>
      <c r="G6" s="92">
        <f t="shared" ref="G6:G70" si="0">SUM(I6:Z6 )</f>
        <v>4000</v>
      </c>
      <c r="H6" s="122">
        <f>E6-F6-G6</f>
        <v>1915</v>
      </c>
      <c r="I6" s="98"/>
      <c r="J6" s="127"/>
      <c r="K6" s="127"/>
      <c r="L6" s="127"/>
      <c r="M6" s="592"/>
      <c r="N6" s="127"/>
      <c r="O6" s="127"/>
      <c r="P6" s="127"/>
      <c r="Q6" s="127"/>
      <c r="R6" s="123"/>
      <c r="S6" s="123"/>
      <c r="T6" s="123"/>
      <c r="U6" s="411"/>
      <c r="V6" s="411"/>
      <c r="W6" s="123"/>
      <c r="X6" s="123"/>
      <c r="Y6" s="411">
        <v>2000</v>
      </c>
      <c r="Z6" s="411">
        <v>2000</v>
      </c>
      <c r="AA6" s="414"/>
      <c r="AB6" s="125"/>
      <c r="AC6" s="21"/>
    </row>
    <row r="7" spans="1:31" s="615" customFormat="1" ht="23">
      <c r="A7" s="614"/>
      <c r="B7" s="93" t="s">
        <v>104</v>
      </c>
      <c r="C7" s="121" t="s">
        <v>105</v>
      </c>
      <c r="D7" s="95"/>
      <c r="E7" s="96">
        <f>10935+3200</f>
        <v>14135</v>
      </c>
      <c r="F7" s="96">
        <v>12865</v>
      </c>
      <c r="G7" s="92">
        <f t="shared" si="0"/>
        <v>1270</v>
      </c>
      <c r="H7" s="122">
        <f t="shared" ref="H7:H10" si="1">E7-F7-G7</f>
        <v>0</v>
      </c>
      <c r="I7" s="628">
        <f>640+630</f>
        <v>1270</v>
      </c>
      <c r="J7" s="629"/>
      <c r="K7" s="632"/>
      <c r="L7" s="633"/>
      <c r="M7" s="633"/>
      <c r="N7" s="629"/>
      <c r="O7" s="629"/>
      <c r="P7" s="634"/>
      <c r="Q7" s="634"/>
      <c r="R7" s="629"/>
      <c r="S7" s="629"/>
      <c r="T7" s="627"/>
      <c r="U7" s="631"/>
      <c r="V7" s="631"/>
      <c r="W7" s="631"/>
      <c r="X7" s="631"/>
      <c r="Y7" s="631"/>
      <c r="Z7" s="631"/>
      <c r="AA7" s="616"/>
      <c r="AB7" s="619"/>
      <c r="AC7" s="618"/>
    </row>
    <row r="8" spans="1:31" s="615" customFormat="1" ht="23">
      <c r="A8" s="614"/>
      <c r="B8" s="93" t="s">
        <v>118</v>
      </c>
      <c r="C8" s="121" t="s">
        <v>241</v>
      </c>
      <c r="D8" s="95"/>
      <c r="E8" s="96">
        <f>10230.75</f>
        <v>10230.75</v>
      </c>
      <c r="F8" s="96">
        <v>11025</v>
      </c>
      <c r="G8" s="92">
        <f t="shared" si="0"/>
        <v>-794.23999999999978</v>
      </c>
      <c r="H8" s="122">
        <f>E8-F8-G8</f>
        <v>-1.0000000000218279E-2</v>
      </c>
      <c r="I8" s="630"/>
      <c r="J8" s="631">
        <f>-4375</f>
        <v>-4375</v>
      </c>
      <c r="K8" s="631">
        <v>3580.76</v>
      </c>
      <c r="L8" s="627"/>
      <c r="M8" s="633"/>
      <c r="N8" s="633"/>
      <c r="O8" s="627"/>
      <c r="P8" s="633"/>
      <c r="Q8" s="633"/>
      <c r="R8" s="633"/>
      <c r="S8" s="627"/>
      <c r="T8" s="629"/>
      <c r="U8" s="631"/>
      <c r="V8" s="631"/>
      <c r="W8" s="631"/>
      <c r="X8" s="631"/>
      <c r="Y8" s="631"/>
      <c r="Z8" s="631"/>
      <c r="AA8" s="616">
        <v>2000</v>
      </c>
      <c r="AB8" s="619" t="s">
        <v>245</v>
      </c>
      <c r="AC8" s="618"/>
    </row>
    <row r="9" spans="1:31" s="543" customFormat="1" ht="23">
      <c r="A9" s="25"/>
      <c r="B9" s="93" t="s">
        <v>199</v>
      </c>
      <c r="C9" s="121" t="s">
        <v>103</v>
      </c>
      <c r="D9" s="95"/>
      <c r="E9" s="96">
        <v>12900</v>
      </c>
      <c r="F9" s="96">
        <v>900</v>
      </c>
      <c r="G9" s="92">
        <f t="shared" si="0"/>
        <v>0</v>
      </c>
      <c r="H9" s="122">
        <v>0</v>
      </c>
      <c r="I9" s="592"/>
      <c r="J9" s="544"/>
      <c r="K9" s="544"/>
      <c r="L9" s="96"/>
      <c r="M9" s="593"/>
      <c r="N9" s="593"/>
      <c r="O9" s="593"/>
      <c r="P9" s="593"/>
      <c r="Q9" s="593"/>
      <c r="R9" s="545"/>
      <c r="S9" s="52"/>
      <c r="T9" s="127"/>
      <c r="U9" s="411"/>
      <c r="V9" s="411"/>
      <c r="W9" s="411"/>
      <c r="X9" s="411"/>
      <c r="Y9" s="411"/>
      <c r="Z9" s="411"/>
      <c r="AA9" s="414"/>
      <c r="AB9" s="124"/>
      <c r="AC9" s="21"/>
    </row>
    <row r="10" spans="1:31" ht="23">
      <c r="A10" s="25"/>
      <c r="B10" s="93" t="s">
        <v>230</v>
      </c>
      <c r="C10" s="121" t="s">
        <v>229</v>
      </c>
      <c r="D10" s="95"/>
      <c r="E10" s="96">
        <v>12000</v>
      </c>
      <c r="F10" s="96">
        <v>10500</v>
      </c>
      <c r="G10" s="92">
        <f>SUM(I10:Z10 )</f>
        <v>1500</v>
      </c>
      <c r="H10" s="122">
        <f t="shared" si="1"/>
        <v>0</v>
      </c>
      <c r="I10" s="98"/>
      <c r="J10" s="127"/>
      <c r="K10" s="127"/>
      <c r="L10" s="127"/>
      <c r="M10" s="127"/>
      <c r="N10" s="127"/>
      <c r="O10" s="127"/>
      <c r="P10" s="127"/>
      <c r="Q10" s="127"/>
      <c r="R10" s="123"/>
      <c r="S10" s="130"/>
      <c r="T10" s="131"/>
      <c r="U10" s="411"/>
      <c r="V10" s="411"/>
      <c r="W10" s="411"/>
      <c r="Y10" s="411"/>
      <c r="Z10" s="411">
        <v>1500</v>
      </c>
      <c r="AA10" s="414"/>
      <c r="AB10" s="132"/>
      <c r="AC10" s="21"/>
    </row>
    <row r="11" spans="1:31" s="615" customFormat="1" ht="23">
      <c r="A11" s="614"/>
      <c r="B11" s="93" t="s">
        <v>242</v>
      </c>
      <c r="C11" s="121" t="s">
        <v>243</v>
      </c>
      <c r="D11" s="95"/>
      <c r="E11" s="96"/>
      <c r="F11" s="96"/>
      <c r="G11" s="92">
        <f t="shared" si="0"/>
        <v>0</v>
      </c>
      <c r="H11" s="122"/>
      <c r="I11" s="628"/>
      <c r="J11" s="629"/>
      <c r="K11" s="629"/>
      <c r="L11" s="629"/>
      <c r="M11" s="629"/>
      <c r="N11" s="629"/>
      <c r="O11" s="629"/>
      <c r="P11" s="629"/>
      <c r="Q11" s="629"/>
      <c r="R11" s="629"/>
      <c r="S11" s="629"/>
      <c r="T11" s="629"/>
      <c r="U11" s="631"/>
      <c r="V11" s="631"/>
      <c r="W11" s="631"/>
      <c r="X11" s="631"/>
      <c r="Y11" s="631"/>
      <c r="Z11" s="631"/>
      <c r="AA11" s="616"/>
      <c r="AB11" s="620"/>
      <c r="AC11" s="618"/>
    </row>
    <row r="12" spans="1:31" s="615" customFormat="1" ht="23">
      <c r="A12" s="614"/>
      <c r="B12" s="93" t="s">
        <v>304</v>
      </c>
      <c r="C12" s="121" t="s">
        <v>277</v>
      </c>
      <c r="D12" s="95"/>
      <c r="E12" s="96">
        <f>3350-900</f>
        <v>2450</v>
      </c>
      <c r="F12" s="96">
        <v>0</v>
      </c>
      <c r="G12" s="92">
        <f t="shared" si="0"/>
        <v>2450</v>
      </c>
      <c r="H12" s="122">
        <f>E12-F12-G12</f>
        <v>0</v>
      </c>
      <c r="I12" s="628"/>
      <c r="J12" s="629"/>
      <c r="K12" s="629">
        <v>550</v>
      </c>
      <c r="L12" s="629"/>
      <c r="M12" s="630"/>
      <c r="N12" s="629">
        <v>1900</v>
      </c>
      <c r="O12" s="629"/>
      <c r="P12" s="629"/>
      <c r="Q12" s="629"/>
      <c r="R12" s="629"/>
      <c r="S12" s="629"/>
      <c r="T12" s="629"/>
      <c r="U12" s="631"/>
      <c r="V12" s="631"/>
      <c r="W12" s="631"/>
      <c r="X12" s="631"/>
      <c r="Y12" s="631"/>
      <c r="Z12" s="631"/>
      <c r="AA12" s="616"/>
      <c r="AB12" s="620"/>
      <c r="AC12" s="618"/>
    </row>
    <row r="13" spans="1:31" ht="23">
      <c r="A13" s="25"/>
      <c r="B13" s="93" t="s">
        <v>514</v>
      </c>
      <c r="C13" s="121" t="s">
        <v>443</v>
      </c>
      <c r="D13" s="95"/>
      <c r="E13" s="96">
        <v>9000</v>
      </c>
      <c r="F13" s="96">
        <v>0</v>
      </c>
      <c r="G13" s="92">
        <f t="shared" si="0"/>
        <v>9000</v>
      </c>
      <c r="H13" s="122">
        <f t="shared" ref="H13" si="2">E13-F13-G13</f>
        <v>0</v>
      </c>
      <c r="I13" s="98"/>
      <c r="J13" s="127"/>
      <c r="K13" s="127"/>
      <c r="L13" s="127"/>
      <c r="M13" s="127"/>
      <c r="N13" s="127"/>
      <c r="O13" s="127"/>
      <c r="P13" s="127"/>
      <c r="Q13" s="127"/>
      <c r="R13" s="127">
        <v>2762.5</v>
      </c>
      <c r="S13" s="127">
        <f>7650/4</f>
        <v>1912.5</v>
      </c>
      <c r="T13" s="127">
        <v>3600</v>
      </c>
      <c r="V13" s="123"/>
      <c r="W13" s="123">
        <v>725</v>
      </c>
      <c r="X13" s="123"/>
      <c r="Y13" s="123"/>
      <c r="Z13" s="123"/>
      <c r="AA13" s="414"/>
      <c r="AB13" s="132"/>
      <c r="AC13" s="21"/>
    </row>
    <row r="14" spans="1:31" ht="23">
      <c r="A14" s="25"/>
      <c r="B14" s="93">
        <v>2602</v>
      </c>
      <c r="C14" s="121" t="s">
        <v>620</v>
      </c>
      <c r="D14" s="95"/>
      <c r="E14" s="96">
        <v>1200</v>
      </c>
      <c r="F14" s="96">
        <v>0</v>
      </c>
      <c r="G14" s="92">
        <f t="shared" si="0"/>
        <v>1200</v>
      </c>
      <c r="H14" s="122">
        <f t="shared" ref="H14" si="3">E14-F14-G14</f>
        <v>0</v>
      </c>
      <c r="I14" s="98"/>
      <c r="J14" s="127"/>
      <c r="K14" s="127"/>
      <c r="L14" s="127"/>
      <c r="M14" s="127"/>
      <c r="N14" s="127"/>
      <c r="O14" s="127">
        <v>600</v>
      </c>
      <c r="P14" s="127"/>
      <c r="Q14" s="127"/>
      <c r="R14" s="123"/>
      <c r="S14" s="123"/>
      <c r="V14" s="123"/>
      <c r="W14" s="123"/>
      <c r="X14" s="123"/>
      <c r="Y14" s="123">
        <v>600</v>
      </c>
      <c r="Z14" s="123"/>
      <c r="AA14" s="414"/>
      <c r="AB14" s="132"/>
      <c r="AC14" s="21"/>
    </row>
    <row r="15" spans="1:31" s="615" customFormat="1" ht="23">
      <c r="A15" s="614"/>
      <c r="B15" s="93">
        <v>2605</v>
      </c>
      <c r="C15" s="121" t="s">
        <v>621</v>
      </c>
      <c r="D15" s="95"/>
      <c r="E15" s="96">
        <v>2391.67</v>
      </c>
      <c r="F15" s="96">
        <v>0</v>
      </c>
      <c r="G15" s="92">
        <f t="shared" si="0"/>
        <v>2391.67</v>
      </c>
      <c r="H15" s="122">
        <f t="shared" ref="H15" si="4">E15-F15-G15</f>
        <v>0</v>
      </c>
      <c r="I15" s="628"/>
      <c r="J15" s="629"/>
      <c r="K15" s="629"/>
      <c r="L15" s="629"/>
      <c r="M15" s="629"/>
      <c r="N15" s="629"/>
      <c r="O15" s="629"/>
      <c r="P15" s="629"/>
      <c r="Q15" s="629">
        <v>991.67</v>
      </c>
      <c r="R15" s="629"/>
      <c r="S15" s="630"/>
      <c r="T15" s="629">
        <v>1400</v>
      </c>
      <c r="U15" s="630"/>
      <c r="V15" s="631"/>
      <c r="W15" s="631"/>
      <c r="X15" s="631"/>
      <c r="Y15" s="631"/>
      <c r="Z15" s="631"/>
      <c r="AA15" s="616"/>
      <c r="AB15" s="620"/>
      <c r="AC15" s="618"/>
    </row>
    <row r="16" spans="1:31" ht="23">
      <c r="A16" s="25"/>
      <c r="B16" s="93">
        <v>2615</v>
      </c>
      <c r="C16" s="121" t="s">
        <v>515</v>
      </c>
      <c r="D16" s="95"/>
      <c r="E16" s="96">
        <v>7150</v>
      </c>
      <c r="F16" s="96">
        <v>0</v>
      </c>
      <c r="G16" s="92">
        <f t="shared" si="0"/>
        <v>3250</v>
      </c>
      <c r="H16" s="122">
        <f>E16-F16-G16</f>
        <v>3900</v>
      </c>
      <c r="I16" s="98"/>
      <c r="J16" s="127"/>
      <c r="K16" s="127"/>
      <c r="L16" s="127"/>
      <c r="M16" s="127"/>
      <c r="N16" s="127"/>
      <c r="O16" s="127"/>
      <c r="P16" s="127"/>
      <c r="Q16" s="127"/>
      <c r="R16" s="123"/>
      <c r="S16" s="123"/>
      <c r="U16" s="123"/>
      <c r="V16" s="626">
        <v>2250</v>
      </c>
      <c r="W16" s="411"/>
      <c r="X16" s="411">
        <v>1000</v>
      </c>
      <c r="Y16" s="411"/>
      <c r="Z16" s="411"/>
      <c r="AA16" s="414"/>
      <c r="AB16" s="132"/>
      <c r="AC16" s="21"/>
    </row>
    <row r="17" spans="1:31" ht="23">
      <c r="A17" s="25"/>
      <c r="B17" s="93">
        <v>2601</v>
      </c>
      <c r="C17" s="121" t="s">
        <v>651</v>
      </c>
      <c r="D17" s="95"/>
      <c r="E17" s="96">
        <v>2700</v>
      </c>
      <c r="F17" s="96">
        <v>0</v>
      </c>
      <c r="G17" s="92">
        <f t="shared" si="0"/>
        <v>2700</v>
      </c>
      <c r="H17" s="122">
        <f t="shared" ref="H17" si="5">E17-F17-G17</f>
        <v>0</v>
      </c>
      <c r="I17" s="98"/>
      <c r="J17" s="127"/>
      <c r="K17" s="127"/>
      <c r="L17" s="127"/>
      <c r="M17" s="127"/>
      <c r="N17" s="127"/>
      <c r="O17" s="127"/>
      <c r="P17" s="127"/>
      <c r="Q17" s="127"/>
      <c r="R17" s="127">
        <v>2700</v>
      </c>
      <c r="S17" s="123"/>
      <c r="T17" s="123"/>
      <c r="U17" s="123"/>
      <c r="V17" s="411"/>
      <c r="W17" s="411"/>
      <c r="X17" s="411"/>
      <c r="Y17" s="411"/>
      <c r="Z17" s="411"/>
      <c r="AA17" s="414"/>
      <c r="AB17" s="132"/>
      <c r="AC17" s="21"/>
    </row>
    <row r="18" spans="1:31" ht="23">
      <c r="A18" s="25"/>
      <c r="B18" s="93">
        <v>2616</v>
      </c>
      <c r="C18" s="121" t="s">
        <v>655</v>
      </c>
      <c r="D18" s="95"/>
      <c r="E18" s="96">
        <f>1500*4</f>
        <v>6000</v>
      </c>
      <c r="F18" s="96">
        <v>0</v>
      </c>
      <c r="G18" s="92">
        <f t="shared" ref="G18" si="6">SUM(I18:Z18 )</f>
        <v>6000</v>
      </c>
      <c r="H18" s="122">
        <f t="shared" ref="H18" si="7">E18-F18-G18</f>
        <v>0</v>
      </c>
      <c r="I18" s="98"/>
      <c r="J18" s="127"/>
      <c r="K18" s="127"/>
      <c r="L18" s="127"/>
      <c r="M18" s="127"/>
      <c r="N18" s="127"/>
      <c r="O18" s="127"/>
      <c r="P18" s="127"/>
      <c r="Q18" s="127"/>
      <c r="R18" s="127"/>
      <c r="S18" s="123"/>
      <c r="T18" s="127">
        <f>6000*30/100</f>
        <v>1800</v>
      </c>
      <c r="U18" s="411"/>
      <c r="V18" s="411"/>
      <c r="W18" s="411">
        <v>1800</v>
      </c>
      <c r="X18" s="411"/>
      <c r="Y18" s="411">
        <f>E18-T18-W18</f>
        <v>2400</v>
      </c>
      <c r="Z18" s="411"/>
      <c r="AA18" s="414"/>
      <c r="AB18" s="132"/>
      <c r="AC18" s="21"/>
    </row>
    <row r="19" spans="1:31" ht="23">
      <c r="A19" s="25"/>
      <c r="B19" s="93">
        <v>2610</v>
      </c>
      <c r="C19" s="121" t="s">
        <v>666</v>
      </c>
      <c r="D19" s="95"/>
      <c r="E19" s="96">
        <v>2250</v>
      </c>
      <c r="F19" s="96">
        <v>0</v>
      </c>
      <c r="G19" s="92">
        <f t="shared" ref="G19:G20" si="8">SUM(I19:Z19 )</f>
        <v>2250</v>
      </c>
      <c r="H19" s="122">
        <f t="shared" ref="H19" si="9">E19-F19-G19</f>
        <v>0</v>
      </c>
      <c r="I19" s="628"/>
      <c r="J19" s="629"/>
      <c r="K19" s="629"/>
      <c r="L19" s="629"/>
      <c r="M19" s="629"/>
      <c r="N19" s="629"/>
      <c r="O19" s="629"/>
      <c r="P19" s="629"/>
      <c r="Q19" s="629">
        <v>750</v>
      </c>
      <c r="R19" s="629"/>
      <c r="S19" s="629">
        <v>1500</v>
      </c>
      <c r="T19" s="629"/>
      <c r="U19" s="630"/>
      <c r="V19" s="631"/>
      <c r="W19" s="631"/>
      <c r="X19" s="631"/>
      <c r="Y19" s="631"/>
      <c r="Z19" s="631"/>
      <c r="AA19" s="414"/>
      <c r="AB19" s="132"/>
      <c r="AC19" s="21"/>
    </row>
    <row r="20" spans="1:31" ht="23">
      <c r="A20" s="25"/>
      <c r="B20" s="93">
        <v>2623</v>
      </c>
      <c r="C20" s="121" t="s">
        <v>687</v>
      </c>
      <c r="D20" s="95"/>
      <c r="E20" s="96">
        <v>2500</v>
      </c>
      <c r="F20" s="96">
        <v>0</v>
      </c>
      <c r="G20" s="92">
        <f t="shared" si="8"/>
        <v>2500</v>
      </c>
      <c r="H20" s="122">
        <f>E20-F20-G20</f>
        <v>0</v>
      </c>
      <c r="I20" s="98"/>
      <c r="J20" s="127"/>
      <c r="K20" s="127"/>
      <c r="L20" s="127"/>
      <c r="M20" s="127"/>
      <c r="N20" s="127"/>
      <c r="O20" s="127"/>
      <c r="P20" s="127"/>
      <c r="Q20" s="127"/>
      <c r="R20" s="127"/>
      <c r="S20" s="123"/>
      <c r="T20" s="123"/>
      <c r="U20" s="411"/>
      <c r="V20" s="411">
        <v>1500</v>
      </c>
      <c r="W20" s="411"/>
      <c r="X20" s="411">
        <v>1000</v>
      </c>
      <c r="Y20" s="411"/>
      <c r="Z20" s="411"/>
      <c r="AA20" s="414"/>
      <c r="AB20" s="132"/>
      <c r="AC20" s="21"/>
    </row>
    <row r="21" spans="1:31" ht="23">
      <c r="A21" s="25"/>
      <c r="B21" s="93"/>
      <c r="C21" s="121"/>
      <c r="D21" s="95"/>
      <c r="E21" s="96"/>
      <c r="F21" s="96"/>
      <c r="G21" s="92"/>
      <c r="H21" s="122"/>
      <c r="I21" s="98"/>
      <c r="J21" s="127"/>
      <c r="K21" s="127"/>
      <c r="L21" s="127"/>
      <c r="M21" s="127"/>
      <c r="N21" s="127"/>
      <c r="O21" s="127"/>
      <c r="P21" s="127"/>
      <c r="Q21" s="127"/>
      <c r="R21" s="127"/>
      <c r="S21" s="123"/>
      <c r="T21" s="123"/>
      <c r="U21" s="411"/>
      <c r="V21" s="411"/>
      <c r="W21" s="411"/>
      <c r="X21" s="411"/>
      <c r="Y21" s="411"/>
      <c r="Z21" s="411"/>
      <c r="AA21" s="414"/>
      <c r="AB21" s="132"/>
      <c r="AC21" s="21"/>
    </row>
    <row r="22" spans="1:31" ht="23">
      <c r="A22" s="25"/>
      <c r="B22" s="93"/>
      <c r="C22" s="121"/>
      <c r="D22" s="95"/>
      <c r="E22" s="96"/>
      <c r="F22" s="96"/>
      <c r="G22" s="92">
        <f t="shared" si="0"/>
        <v>0</v>
      </c>
      <c r="H22" s="122"/>
      <c r="I22" s="98"/>
      <c r="J22" s="127"/>
      <c r="K22" s="127"/>
      <c r="L22" s="127"/>
      <c r="M22" s="127"/>
      <c r="N22" s="127"/>
      <c r="O22" s="127"/>
      <c r="P22" s="127"/>
      <c r="Q22" s="127"/>
      <c r="R22" s="123"/>
      <c r="S22" s="123"/>
      <c r="T22" s="123"/>
      <c r="U22" s="411"/>
      <c r="V22" s="411"/>
      <c r="W22" s="411"/>
      <c r="X22" s="411"/>
      <c r="Y22" s="411"/>
      <c r="Z22" s="411"/>
      <c r="AA22" s="414"/>
      <c r="AB22" s="132"/>
      <c r="AC22" s="21"/>
    </row>
    <row r="23" spans="1:31" ht="23">
      <c r="A23" s="25"/>
      <c r="B23" s="93"/>
      <c r="C23" s="121"/>
      <c r="D23" s="95"/>
      <c r="E23" s="96"/>
      <c r="F23" s="96"/>
      <c r="G23" s="92">
        <f t="shared" si="0"/>
        <v>0</v>
      </c>
      <c r="H23" s="122"/>
      <c r="I23" s="98"/>
      <c r="J23" s="127"/>
      <c r="K23" s="127"/>
      <c r="L23" s="127"/>
      <c r="M23" s="127"/>
      <c r="N23" s="127"/>
      <c r="O23" s="127"/>
      <c r="P23" s="127"/>
      <c r="Q23" s="127"/>
      <c r="R23" s="123"/>
      <c r="S23" s="123"/>
      <c r="T23" s="123"/>
      <c r="U23" s="411"/>
      <c r="V23" s="411"/>
      <c r="W23" s="411"/>
      <c r="X23" s="411"/>
      <c r="Y23" s="411"/>
      <c r="Z23" s="411"/>
      <c r="AA23" s="414"/>
      <c r="AB23" s="132"/>
      <c r="AC23" s="21"/>
    </row>
    <row r="24" spans="1:31" s="615" customFormat="1" ht="23">
      <c r="A24" s="614"/>
      <c r="B24" s="709" t="s">
        <v>106</v>
      </c>
      <c r="C24" s="121" t="s">
        <v>107</v>
      </c>
      <c r="D24" s="95"/>
      <c r="E24" s="96">
        <f>(2324)/1.2</f>
        <v>1936.6666666666667</v>
      </c>
      <c r="F24" s="96">
        <v>833.33</v>
      </c>
      <c r="G24" s="92">
        <f t="shared" si="0"/>
        <v>1103.3399999999999</v>
      </c>
      <c r="H24" s="122">
        <f>E24-F24-G24</f>
        <v>-3.3333333333303017E-3</v>
      </c>
      <c r="I24" s="621"/>
      <c r="J24" s="622"/>
      <c r="K24" s="622"/>
      <c r="L24" s="622"/>
      <c r="M24" s="622"/>
      <c r="N24" s="622">
        <v>1103.3399999999999</v>
      </c>
      <c r="O24" s="622"/>
      <c r="P24" s="622"/>
      <c r="Q24" s="622"/>
      <c r="R24" s="622"/>
      <c r="S24" s="622"/>
      <c r="T24" s="622"/>
      <c r="U24" s="623"/>
      <c r="V24" s="623"/>
      <c r="W24" s="623"/>
      <c r="X24" s="623"/>
      <c r="Y24" s="623"/>
      <c r="Z24" s="623"/>
      <c r="AA24" s="616"/>
      <c r="AB24" s="619"/>
      <c r="AC24" s="618"/>
    </row>
    <row r="25" spans="1:31" s="615" customFormat="1" ht="23">
      <c r="A25" s="614"/>
      <c r="B25" s="709" t="s">
        <v>116</v>
      </c>
      <c r="C25" s="121" t="s">
        <v>113</v>
      </c>
      <c r="D25" s="95"/>
      <c r="E25" s="96">
        <v>1958.33</v>
      </c>
      <c r="F25" s="96">
        <v>1500</v>
      </c>
      <c r="G25" s="92">
        <f t="shared" si="0"/>
        <v>458.33</v>
      </c>
      <c r="H25" s="122">
        <f>E25-F25-G25</f>
        <v>0</v>
      </c>
      <c r="I25" s="621">
        <v>458.33</v>
      </c>
      <c r="J25" s="622"/>
      <c r="K25" s="622"/>
      <c r="L25" s="622"/>
      <c r="M25" s="622"/>
      <c r="N25" s="622"/>
      <c r="O25" s="622"/>
      <c r="P25" s="622"/>
      <c r="Q25" s="622"/>
      <c r="R25" s="622"/>
      <c r="S25" s="622"/>
      <c r="T25" s="622"/>
      <c r="U25" s="623"/>
      <c r="V25" s="623"/>
      <c r="W25" s="623"/>
      <c r="X25" s="623"/>
      <c r="Y25" s="623"/>
      <c r="Z25" s="623"/>
      <c r="AA25" s="616"/>
      <c r="AB25" s="619"/>
      <c r="AC25" s="618"/>
    </row>
    <row r="26" spans="1:31" s="615" customFormat="1" ht="23">
      <c r="A26" s="614"/>
      <c r="B26" s="709" t="s">
        <v>117</v>
      </c>
      <c r="C26" s="121" t="s">
        <v>112</v>
      </c>
      <c r="D26" s="95"/>
      <c r="E26" s="96">
        <v>1958.33</v>
      </c>
      <c r="F26" s="96">
        <v>1500</v>
      </c>
      <c r="G26" s="92">
        <f t="shared" si="0"/>
        <v>458.33</v>
      </c>
      <c r="H26" s="122">
        <f t="shared" ref="H26" si="10">E26-F26-G26</f>
        <v>0</v>
      </c>
      <c r="I26" s="621"/>
      <c r="J26" s="622"/>
      <c r="K26" s="622">
        <v>458.33</v>
      </c>
      <c r="L26" s="622"/>
      <c r="M26" s="622"/>
      <c r="N26" s="622"/>
      <c r="O26" s="622"/>
      <c r="P26" s="622"/>
      <c r="Q26" s="622"/>
      <c r="R26" s="622"/>
      <c r="S26" s="622"/>
      <c r="T26" s="622"/>
      <c r="U26" s="623"/>
      <c r="V26" s="623"/>
      <c r="W26" s="623"/>
      <c r="X26" s="623"/>
      <c r="Y26" s="623"/>
      <c r="Z26" s="623"/>
      <c r="AA26" s="616"/>
      <c r="AB26" s="619"/>
      <c r="AC26" s="618"/>
      <c r="AE26" s="615">
        <f>6650+4375</f>
        <v>11025</v>
      </c>
    </row>
    <row r="27" spans="1:31" ht="23">
      <c r="A27" s="25"/>
      <c r="B27" s="709" t="s">
        <v>119</v>
      </c>
      <c r="C27" s="121" t="s">
        <v>182</v>
      </c>
      <c r="D27" s="95"/>
      <c r="E27" s="96">
        <v>2125</v>
      </c>
      <c r="F27" s="96">
        <v>1500</v>
      </c>
      <c r="G27" s="92">
        <f t="shared" si="0"/>
        <v>625</v>
      </c>
      <c r="H27" s="122">
        <f>E27-F27-G27</f>
        <v>0</v>
      </c>
      <c r="I27" s="594"/>
      <c r="J27" s="591"/>
      <c r="K27" s="591"/>
      <c r="L27" s="591"/>
      <c r="M27" s="591"/>
      <c r="N27" s="591"/>
      <c r="O27" s="591"/>
      <c r="P27" s="591"/>
      <c r="Q27" s="591"/>
      <c r="R27" s="94"/>
      <c r="S27" s="94"/>
      <c r="T27" s="94"/>
      <c r="U27" s="412"/>
      <c r="V27" s="412"/>
      <c r="W27" s="94"/>
      <c r="X27" s="412">
        <v>625</v>
      </c>
      <c r="Y27" s="412"/>
      <c r="Z27" s="412"/>
      <c r="AA27" s="414"/>
      <c r="AB27" s="124"/>
      <c r="AC27" s="21"/>
    </row>
    <row r="28" spans="1:31" ht="23">
      <c r="A28" s="25"/>
      <c r="B28" s="709" t="s">
        <v>120</v>
      </c>
      <c r="C28" s="121" t="s">
        <v>123</v>
      </c>
      <c r="D28" s="95"/>
      <c r="E28" s="96">
        <v>1500</v>
      </c>
      <c r="F28" s="96">
        <v>1166.67</v>
      </c>
      <c r="G28" s="92">
        <f t="shared" si="0"/>
        <v>333.33</v>
      </c>
      <c r="H28" s="122">
        <f t="shared" ref="H28:H42" si="11">E28-F28-G28</f>
        <v>0</v>
      </c>
      <c r="I28" s="594"/>
      <c r="J28" s="591"/>
      <c r="K28" s="591"/>
      <c r="L28" s="591"/>
      <c r="M28" s="591"/>
      <c r="N28" s="591"/>
      <c r="O28" s="591"/>
      <c r="P28" s="591"/>
      <c r="Q28" s="591"/>
      <c r="R28" s="94"/>
      <c r="S28" s="94"/>
      <c r="T28" s="94"/>
      <c r="U28" s="412"/>
      <c r="V28" s="412"/>
      <c r="W28" s="412">
        <v>333.33</v>
      </c>
      <c r="X28" s="412"/>
      <c r="Y28" s="412"/>
      <c r="Z28" s="412"/>
      <c r="AA28" s="414"/>
      <c r="AB28" s="124"/>
      <c r="AC28" s="21"/>
    </row>
    <row r="29" spans="1:31" s="615" customFormat="1" ht="23">
      <c r="A29" s="614"/>
      <c r="B29" s="709" t="s">
        <v>121</v>
      </c>
      <c r="C29" s="121" t="s">
        <v>181</v>
      </c>
      <c r="D29" s="95"/>
      <c r="E29" s="96">
        <v>2041.67</v>
      </c>
      <c r="F29" s="96">
        <v>833.33</v>
      </c>
      <c r="G29" s="92">
        <f t="shared" si="0"/>
        <v>0</v>
      </c>
      <c r="H29" s="122">
        <f t="shared" si="11"/>
        <v>1208.3400000000001</v>
      </c>
      <c r="I29" s="621"/>
      <c r="J29" s="622"/>
      <c r="K29" s="622"/>
      <c r="L29" s="622"/>
      <c r="M29" s="622"/>
      <c r="N29" s="622"/>
      <c r="O29" s="622"/>
      <c r="P29" s="622"/>
      <c r="Q29" s="622"/>
      <c r="R29" s="622"/>
      <c r="S29" s="622"/>
      <c r="T29" s="622"/>
      <c r="U29" s="623"/>
      <c r="V29" s="623"/>
      <c r="W29" s="623"/>
      <c r="X29" s="623"/>
      <c r="Y29" s="623"/>
      <c r="Z29" s="623"/>
      <c r="AA29" s="616"/>
      <c r="AB29" s="619"/>
      <c r="AC29" s="618"/>
    </row>
    <row r="30" spans="1:31" ht="23">
      <c r="A30" s="25"/>
      <c r="B30" s="709" t="s">
        <v>122</v>
      </c>
      <c r="C30" s="121" t="s">
        <v>183</v>
      </c>
      <c r="D30" s="95"/>
      <c r="E30" s="96">
        <v>2041.67</v>
      </c>
      <c r="F30" s="96">
        <v>1500</v>
      </c>
      <c r="G30" s="92">
        <f t="shared" si="0"/>
        <v>541.66999999999996</v>
      </c>
      <c r="H30" s="122">
        <f t="shared" si="11"/>
        <v>0</v>
      </c>
      <c r="I30" s="594"/>
      <c r="J30" s="591"/>
      <c r="K30" s="591"/>
      <c r="L30" s="591"/>
      <c r="M30" s="591"/>
      <c r="N30" s="591"/>
      <c r="O30" s="591"/>
      <c r="P30" s="591"/>
      <c r="Q30" s="591"/>
      <c r="R30" s="94"/>
      <c r="S30" s="133"/>
      <c r="T30" s="94"/>
      <c r="U30" s="412"/>
      <c r="V30" s="412"/>
      <c r="W30" s="412">
        <v>541.66999999999996</v>
      </c>
      <c r="X30" s="412"/>
      <c r="Y30" s="412"/>
      <c r="Z30" s="412"/>
      <c r="AA30" s="414"/>
      <c r="AB30" s="124"/>
      <c r="AC30" s="21"/>
    </row>
    <row r="31" spans="1:31" ht="23">
      <c r="A31" s="25"/>
      <c r="B31" s="709" t="s">
        <v>124</v>
      </c>
      <c r="C31" s="121" t="s">
        <v>184</v>
      </c>
      <c r="D31" s="95"/>
      <c r="E31" s="96">
        <v>1833.33</v>
      </c>
      <c r="F31" s="96">
        <v>1500</v>
      </c>
      <c r="G31" s="92">
        <f t="shared" si="0"/>
        <v>333.33</v>
      </c>
      <c r="H31" s="122">
        <f t="shared" si="11"/>
        <v>0</v>
      </c>
      <c r="I31" s="594"/>
      <c r="J31" s="591"/>
      <c r="K31" s="591"/>
      <c r="L31" s="591"/>
      <c r="M31" s="591"/>
      <c r="N31" s="591"/>
      <c r="O31" s="591"/>
      <c r="P31" s="591"/>
      <c r="Q31" s="591"/>
      <c r="R31" s="94"/>
      <c r="S31" s="133"/>
      <c r="T31" s="94"/>
      <c r="U31" s="412"/>
      <c r="V31" s="412"/>
      <c r="W31" s="412">
        <v>333.33</v>
      </c>
      <c r="X31" s="412"/>
      <c r="Y31" s="412"/>
      <c r="Z31" s="412"/>
      <c r="AA31" s="414"/>
      <c r="AB31" s="124"/>
      <c r="AC31" s="21"/>
    </row>
    <row r="32" spans="1:31" ht="23">
      <c r="A32" s="25"/>
      <c r="B32" s="709" t="s">
        <v>127</v>
      </c>
      <c r="C32" s="121" t="s">
        <v>180</v>
      </c>
      <c r="D32" s="95"/>
      <c r="E32" s="96">
        <v>1500</v>
      </c>
      <c r="F32" s="96">
        <v>1166.67</v>
      </c>
      <c r="G32" s="92">
        <f t="shared" si="0"/>
        <v>333.33</v>
      </c>
      <c r="H32" s="122">
        <f t="shared" si="11"/>
        <v>0</v>
      </c>
      <c r="I32" s="594"/>
      <c r="J32" s="591"/>
      <c r="K32" s="591"/>
      <c r="L32" s="591"/>
      <c r="M32" s="591"/>
      <c r="N32" s="591"/>
      <c r="O32" s="591"/>
      <c r="P32" s="591"/>
      <c r="Q32" s="591"/>
      <c r="R32" s="94"/>
      <c r="S32" s="94"/>
      <c r="T32" s="94"/>
      <c r="U32" s="412"/>
      <c r="V32" s="412"/>
      <c r="W32" s="94"/>
      <c r="X32" s="412"/>
      <c r="Y32" s="412">
        <v>333.33</v>
      </c>
      <c r="Z32" s="412"/>
      <c r="AA32" s="414"/>
      <c r="AB32" s="124"/>
      <c r="AC32" s="21"/>
    </row>
    <row r="33" spans="1:29" s="615" customFormat="1" ht="23">
      <c r="A33" s="614"/>
      <c r="B33" s="709" t="s">
        <v>128</v>
      </c>
      <c r="C33" s="121" t="s">
        <v>179</v>
      </c>
      <c r="D33" s="95"/>
      <c r="E33" s="96">
        <v>1958.33</v>
      </c>
      <c r="F33" s="96">
        <v>1500</v>
      </c>
      <c r="G33" s="92">
        <f t="shared" si="0"/>
        <v>458.33</v>
      </c>
      <c r="H33" s="122">
        <f t="shared" si="11"/>
        <v>0</v>
      </c>
      <c r="I33" s="621"/>
      <c r="J33" s="622"/>
      <c r="K33" s="624"/>
      <c r="L33" s="624"/>
      <c r="M33" s="624"/>
      <c r="N33" s="622">
        <v>458.33</v>
      </c>
      <c r="O33" s="624"/>
      <c r="P33" s="624"/>
      <c r="Q33" s="624"/>
      <c r="R33" s="624"/>
      <c r="S33" s="622"/>
      <c r="T33" s="622"/>
      <c r="U33" s="623"/>
      <c r="V33" s="623"/>
      <c r="W33" s="622"/>
      <c r="X33" s="623"/>
      <c r="Y33" s="623"/>
      <c r="Z33" s="623"/>
      <c r="AA33" s="616"/>
      <c r="AB33" s="619"/>
      <c r="AC33" s="618"/>
    </row>
    <row r="34" spans="1:29" ht="23">
      <c r="A34" s="26"/>
      <c r="B34" s="709" t="s">
        <v>190</v>
      </c>
      <c r="C34" s="121" t="s">
        <v>191</v>
      </c>
      <c r="D34" s="95"/>
      <c r="E34" s="96">
        <v>2166.67</v>
      </c>
      <c r="F34" s="96">
        <v>1500</v>
      </c>
      <c r="G34" s="92">
        <f t="shared" si="0"/>
        <v>666.67</v>
      </c>
      <c r="H34" s="122">
        <f t="shared" si="11"/>
        <v>0</v>
      </c>
      <c r="I34" s="594"/>
      <c r="J34" s="591"/>
      <c r="K34" s="591"/>
      <c r="L34" s="591"/>
      <c r="M34" s="591"/>
      <c r="N34" s="591"/>
      <c r="O34" s="591"/>
      <c r="P34" s="591"/>
      <c r="Q34" s="591"/>
      <c r="R34" s="94"/>
      <c r="S34" s="94"/>
      <c r="T34" s="94"/>
      <c r="U34" s="412"/>
      <c r="V34" s="412"/>
      <c r="W34" s="94"/>
      <c r="X34" s="412">
        <v>666.67</v>
      </c>
      <c r="Y34" s="412"/>
      <c r="Z34" s="412"/>
      <c r="AA34" s="414"/>
      <c r="AB34" s="124"/>
      <c r="AC34" s="21"/>
    </row>
    <row r="35" spans="1:29" ht="21" customHeight="1">
      <c r="A35" s="25"/>
      <c r="B35" s="709" t="s">
        <v>197</v>
      </c>
      <c r="C35" s="121" t="s">
        <v>198</v>
      </c>
      <c r="D35" s="95"/>
      <c r="E35" s="96">
        <f>2550/1.2</f>
        <v>2125</v>
      </c>
      <c r="F35" s="96">
        <v>1500</v>
      </c>
      <c r="G35" s="92">
        <f t="shared" si="0"/>
        <v>625</v>
      </c>
      <c r="H35" s="122">
        <f t="shared" si="11"/>
        <v>0</v>
      </c>
      <c r="I35" s="594"/>
      <c r="J35" s="591"/>
      <c r="K35" s="591"/>
      <c r="L35" s="591"/>
      <c r="M35" s="591"/>
      <c r="N35" s="591"/>
      <c r="O35" s="591">
        <v>625</v>
      </c>
      <c r="P35" s="591"/>
      <c r="Q35" s="591"/>
      <c r="R35" s="94"/>
      <c r="S35" s="94"/>
      <c r="T35" s="94"/>
      <c r="U35" s="412"/>
      <c r="V35" s="412"/>
      <c r="W35" s="94"/>
      <c r="X35" s="412"/>
      <c r="Y35" s="412"/>
      <c r="Z35" s="412"/>
      <c r="AA35" s="414"/>
      <c r="AB35" s="124"/>
      <c r="AC35" s="21"/>
    </row>
    <row r="36" spans="1:29" ht="23">
      <c r="A36" s="25"/>
      <c r="B36" s="709" t="s">
        <v>227</v>
      </c>
      <c r="C36" s="121" t="s">
        <v>228</v>
      </c>
      <c r="D36" s="95"/>
      <c r="E36" s="96">
        <v>2125</v>
      </c>
      <c r="F36" s="96">
        <v>1500</v>
      </c>
      <c r="G36" s="92">
        <f t="shared" si="0"/>
        <v>625</v>
      </c>
      <c r="H36" s="122">
        <f t="shared" si="11"/>
        <v>0</v>
      </c>
      <c r="I36" s="594"/>
      <c r="J36" s="591"/>
      <c r="K36" s="591"/>
      <c r="L36" s="591"/>
      <c r="M36" s="591"/>
      <c r="N36" s="591"/>
      <c r="O36" s="591"/>
      <c r="P36" s="591"/>
      <c r="Q36" s="591"/>
      <c r="R36" s="94"/>
      <c r="S36" s="94"/>
      <c r="T36" s="94"/>
      <c r="U36" s="412"/>
      <c r="V36" s="625">
        <v>625</v>
      </c>
      <c r="W36" s="94"/>
      <c r="X36" s="412"/>
      <c r="Y36" s="412"/>
      <c r="Z36" s="412"/>
      <c r="AA36" s="414"/>
      <c r="AB36" s="125"/>
      <c r="AC36" s="21"/>
    </row>
    <row r="37" spans="1:29" ht="23">
      <c r="A37" s="25"/>
      <c r="B37" s="709" t="s">
        <v>232</v>
      </c>
      <c r="C37" s="121" t="s">
        <v>231</v>
      </c>
      <c r="D37" s="95">
        <v>45776</v>
      </c>
      <c r="E37" s="96">
        <v>2041.67</v>
      </c>
      <c r="F37" s="96">
        <v>1500</v>
      </c>
      <c r="G37" s="92">
        <f t="shared" si="0"/>
        <v>541.66999999999996</v>
      </c>
      <c r="H37" s="122">
        <f t="shared" si="11"/>
        <v>0</v>
      </c>
      <c r="I37" s="594"/>
      <c r="J37" s="591"/>
      <c r="K37" s="591"/>
      <c r="L37" s="591"/>
      <c r="M37" s="591"/>
      <c r="N37" s="591"/>
      <c r="O37" s="591"/>
      <c r="P37" s="591"/>
      <c r="Q37" s="591"/>
      <c r="R37" s="94"/>
      <c r="S37" s="94"/>
      <c r="T37" s="94"/>
      <c r="U37" s="412"/>
      <c r="V37" s="412"/>
      <c r="W37" s="94">
        <v>541.66999999999996</v>
      </c>
      <c r="X37" s="412"/>
      <c r="Y37" s="412"/>
      <c r="Z37" s="412"/>
      <c r="AA37" s="414"/>
      <c r="AB37" s="125"/>
      <c r="AC37" s="21"/>
    </row>
    <row r="38" spans="1:29" ht="23">
      <c r="A38" s="25"/>
      <c r="B38" s="709" t="s">
        <v>233</v>
      </c>
      <c r="C38" s="121" t="s">
        <v>234</v>
      </c>
      <c r="D38" s="95">
        <v>45789</v>
      </c>
      <c r="E38" s="96">
        <v>2041.67</v>
      </c>
      <c r="F38" s="96">
        <v>833.33</v>
      </c>
      <c r="G38" s="92">
        <f t="shared" si="0"/>
        <v>0</v>
      </c>
      <c r="H38" s="122">
        <f>E38-F38-G38</f>
        <v>1208.3400000000001</v>
      </c>
      <c r="I38" s="591"/>
      <c r="J38" s="591"/>
      <c r="K38" s="591"/>
      <c r="L38" s="591"/>
      <c r="M38" s="591"/>
      <c r="N38" s="591"/>
      <c r="O38" s="591"/>
      <c r="P38" s="591"/>
      <c r="Q38" s="591"/>
      <c r="R38" s="94"/>
      <c r="S38" s="94"/>
      <c r="T38" s="94"/>
      <c r="U38" s="412"/>
      <c r="V38" s="412"/>
      <c r="W38" s="94"/>
      <c r="X38" s="412"/>
      <c r="Y38" s="412"/>
      <c r="Z38" s="412"/>
      <c r="AA38" s="414"/>
      <c r="AB38" s="125"/>
      <c r="AC38" s="21"/>
    </row>
    <row r="39" spans="1:29" s="615" customFormat="1" ht="23">
      <c r="A39" s="614"/>
      <c r="B39" s="709" t="s">
        <v>235</v>
      </c>
      <c r="C39" s="121" t="s">
        <v>238</v>
      </c>
      <c r="D39" s="95"/>
      <c r="E39" s="96">
        <v>2041.67</v>
      </c>
      <c r="F39" s="96">
        <v>833.33</v>
      </c>
      <c r="G39" s="92">
        <f t="shared" si="0"/>
        <v>0</v>
      </c>
      <c r="H39" s="122">
        <f t="shared" si="11"/>
        <v>1208.3400000000001</v>
      </c>
      <c r="I39" s="622"/>
      <c r="J39" s="622"/>
      <c r="K39" s="622"/>
      <c r="L39" s="622"/>
      <c r="M39" s="622"/>
      <c r="N39" s="622"/>
      <c r="O39" s="622"/>
      <c r="P39" s="622"/>
      <c r="Q39" s="622"/>
      <c r="R39" s="622"/>
      <c r="S39" s="622"/>
      <c r="T39" s="622"/>
      <c r="U39" s="623"/>
      <c r="V39" s="623"/>
      <c r="W39" s="622"/>
      <c r="X39" s="623"/>
      <c r="Y39" s="623"/>
      <c r="Z39" s="623"/>
      <c r="AA39" s="616"/>
      <c r="AB39" s="617"/>
      <c r="AC39" s="618"/>
    </row>
    <row r="40" spans="1:29" ht="23">
      <c r="A40" s="25"/>
      <c r="B40" s="709" t="s">
        <v>236</v>
      </c>
      <c r="C40" s="121" t="s">
        <v>237</v>
      </c>
      <c r="D40" s="95">
        <v>45800</v>
      </c>
      <c r="E40" s="96">
        <v>2083.35</v>
      </c>
      <c r="F40" s="96">
        <v>833.33</v>
      </c>
      <c r="G40" s="92">
        <f t="shared" si="0"/>
        <v>1250.02</v>
      </c>
      <c r="H40" s="122">
        <f>E40-F40-G40</f>
        <v>0</v>
      </c>
      <c r="I40" s="591"/>
      <c r="J40" s="591"/>
      <c r="K40" s="591"/>
      <c r="L40" s="591"/>
      <c r="M40" s="591"/>
      <c r="N40" s="591"/>
      <c r="O40" s="591"/>
      <c r="P40" s="591"/>
      <c r="Q40" s="591"/>
      <c r="R40" s="591">
        <v>666.67</v>
      </c>
      <c r="S40" s="94"/>
      <c r="T40" s="94"/>
      <c r="U40" s="412"/>
      <c r="V40" s="412"/>
      <c r="W40" s="94"/>
      <c r="X40" s="412">
        <v>583.35</v>
      </c>
      <c r="Y40" s="412"/>
      <c r="Z40" s="412"/>
      <c r="AA40" s="414"/>
      <c r="AB40" s="125"/>
      <c r="AC40" s="21"/>
    </row>
    <row r="41" spans="1:29" ht="23">
      <c r="A41" s="25"/>
      <c r="B41" s="709" t="s">
        <v>278</v>
      </c>
      <c r="C41" s="121" t="s">
        <v>277</v>
      </c>
      <c r="D41" s="95">
        <v>45868</v>
      </c>
      <c r="E41" s="96">
        <v>2825</v>
      </c>
      <c r="F41" s="96"/>
      <c r="G41" s="92">
        <f t="shared" si="0"/>
        <v>2825</v>
      </c>
      <c r="H41" s="122">
        <f t="shared" si="11"/>
        <v>0</v>
      </c>
      <c r="I41" s="369">
        <v>833.33</v>
      </c>
      <c r="J41" s="410"/>
      <c r="K41" s="410"/>
      <c r="L41" s="410"/>
      <c r="M41" s="410"/>
      <c r="N41" s="410"/>
      <c r="O41" s="410"/>
      <c r="P41" s="410"/>
      <c r="Q41" s="410"/>
      <c r="R41" s="410">
        <v>666.67</v>
      </c>
      <c r="S41" s="370"/>
      <c r="T41" s="370"/>
      <c r="U41" s="413"/>
      <c r="V41" s="413"/>
      <c r="W41" s="370"/>
      <c r="X41" s="413">
        <v>1325</v>
      </c>
      <c r="Y41" s="413"/>
      <c r="Z41" s="413"/>
      <c r="AA41" s="414">
        <f>850/1.2</f>
        <v>708.33333333333337</v>
      </c>
      <c r="AB41" s="125" t="s">
        <v>316</v>
      </c>
      <c r="AC41" s="21"/>
    </row>
    <row r="42" spans="1:29" ht="23">
      <c r="A42" s="25"/>
      <c r="B42" s="709" t="s">
        <v>322</v>
      </c>
      <c r="C42" s="121" t="s">
        <v>315</v>
      </c>
      <c r="D42" s="95">
        <v>45906</v>
      </c>
      <c r="E42" s="96">
        <v>2250</v>
      </c>
      <c r="F42" s="96"/>
      <c r="G42" s="92">
        <f t="shared" si="0"/>
        <v>2250</v>
      </c>
      <c r="H42" s="122">
        <f t="shared" si="11"/>
        <v>0</v>
      </c>
      <c r="I42" s="369"/>
      <c r="J42" s="410"/>
      <c r="K42" s="410">
        <v>833.33</v>
      </c>
      <c r="L42" s="410"/>
      <c r="M42" s="410"/>
      <c r="N42" s="410">
        <v>666.67</v>
      </c>
      <c r="O42" s="410"/>
      <c r="P42" s="410"/>
      <c r="Q42" s="410"/>
      <c r="R42" s="370"/>
      <c r="S42" s="370"/>
      <c r="T42" s="370"/>
      <c r="U42" s="413"/>
      <c r="V42" s="413"/>
      <c r="W42" s="370"/>
      <c r="X42" s="413"/>
      <c r="Y42" s="413"/>
      <c r="Z42" s="413">
        <v>750</v>
      </c>
      <c r="AA42" s="414"/>
      <c r="AB42" s="125" t="s">
        <v>316</v>
      </c>
      <c r="AC42" s="21"/>
    </row>
    <row r="43" spans="1:29" ht="23">
      <c r="A43" s="25"/>
      <c r="B43" s="709" t="s">
        <v>619</v>
      </c>
      <c r="C43" s="121" t="s">
        <v>517</v>
      </c>
      <c r="D43" s="95"/>
      <c r="E43" s="96"/>
      <c r="F43" s="96"/>
      <c r="G43" s="92">
        <f t="shared" si="0"/>
        <v>666.67</v>
      </c>
      <c r="H43" s="122"/>
      <c r="I43" s="369"/>
      <c r="J43" s="410"/>
      <c r="K43" s="410"/>
      <c r="L43" s="410"/>
      <c r="M43" s="410"/>
      <c r="N43" s="410">
        <v>666.67</v>
      </c>
      <c r="O43" s="410"/>
      <c r="P43" s="410"/>
      <c r="Q43" s="410"/>
      <c r="R43" s="370"/>
      <c r="S43" s="370"/>
      <c r="T43" s="370"/>
      <c r="U43" s="413"/>
      <c r="V43" s="413"/>
      <c r="W43" s="413"/>
      <c r="X43" s="413"/>
      <c r="Y43" s="413"/>
      <c r="Z43" s="413"/>
      <c r="AA43" s="414"/>
      <c r="AB43" s="125"/>
      <c r="AC43" s="21"/>
    </row>
    <row r="44" spans="1:29" ht="23">
      <c r="A44" s="25"/>
      <c r="B44" s="709" t="s">
        <v>653</v>
      </c>
      <c r="C44" s="121" t="s">
        <v>654</v>
      </c>
      <c r="D44" s="95">
        <v>46188</v>
      </c>
      <c r="E44" s="96">
        <v>2333.33</v>
      </c>
      <c r="F44" s="96">
        <v>0</v>
      </c>
      <c r="G44" s="92"/>
      <c r="H44" s="122"/>
      <c r="I44" s="369"/>
      <c r="J44" s="410"/>
      <c r="K44" s="410"/>
      <c r="L44" s="410"/>
      <c r="M44" s="410"/>
      <c r="N44" s="410"/>
      <c r="O44" s="410"/>
      <c r="P44" s="410"/>
      <c r="Q44" s="410"/>
      <c r="R44" s="370"/>
      <c r="S44" s="370"/>
      <c r="T44" s="410">
        <v>833.33</v>
      </c>
      <c r="U44" s="413"/>
      <c r="V44" s="413"/>
      <c r="W44" s="413"/>
      <c r="X44" s="413"/>
      <c r="Y44" s="413"/>
      <c r="Z44" s="413"/>
      <c r="AA44" s="414"/>
      <c r="AB44" s="125"/>
      <c r="AC44" s="21"/>
    </row>
    <row r="45" spans="1:29" ht="23">
      <c r="A45" s="25"/>
      <c r="B45" s="93"/>
      <c r="C45" s="126"/>
      <c r="D45" s="95"/>
      <c r="E45" s="96"/>
      <c r="F45" s="96"/>
      <c r="G45" s="92">
        <f t="shared" si="0"/>
        <v>0</v>
      </c>
      <c r="H45" s="97"/>
      <c r="I45" s="98"/>
      <c r="J45" s="127"/>
      <c r="K45" s="127"/>
      <c r="L45" s="127"/>
      <c r="M45" s="127"/>
      <c r="N45" s="127"/>
      <c r="O45" s="127"/>
      <c r="P45" s="127"/>
      <c r="Q45" s="127"/>
      <c r="R45" s="123"/>
      <c r="S45" s="123"/>
      <c r="T45" s="123"/>
      <c r="U45" s="411"/>
      <c r="V45" s="411"/>
      <c r="W45" s="411"/>
      <c r="X45" s="411"/>
      <c r="Y45" s="411"/>
      <c r="Z45" s="411"/>
      <c r="AA45" s="414"/>
      <c r="AB45" s="125"/>
      <c r="AC45" s="21"/>
    </row>
    <row r="46" spans="1:29" ht="23">
      <c r="A46" s="25"/>
      <c r="B46" s="93"/>
      <c r="C46" s="126"/>
      <c r="D46" s="95"/>
      <c r="E46" s="96"/>
      <c r="F46" s="96"/>
      <c r="G46" s="92">
        <f t="shared" si="0"/>
        <v>0</v>
      </c>
      <c r="H46" s="97"/>
      <c r="I46" s="98"/>
      <c r="J46" s="127"/>
      <c r="K46" s="127"/>
      <c r="L46" s="127"/>
      <c r="M46" s="127"/>
      <c r="N46" s="127"/>
      <c r="O46" s="127"/>
      <c r="P46" s="127"/>
      <c r="Q46" s="127"/>
      <c r="R46" s="123"/>
      <c r="S46" s="123"/>
      <c r="T46" s="411"/>
      <c r="U46" s="411"/>
      <c r="V46" s="411"/>
      <c r="W46" s="411"/>
      <c r="X46" s="411"/>
      <c r="Y46" s="411"/>
      <c r="Z46" s="411"/>
      <c r="AA46" s="414"/>
      <c r="AB46" s="125"/>
      <c r="AC46" s="21"/>
    </row>
    <row r="47" spans="1:29" ht="23">
      <c r="A47" s="25"/>
      <c r="B47" s="93" t="s">
        <v>99</v>
      </c>
      <c r="C47" s="126" t="s">
        <v>447</v>
      </c>
      <c r="D47" s="347">
        <v>45870</v>
      </c>
      <c r="E47" s="96">
        <v>250</v>
      </c>
      <c r="F47" s="96"/>
      <c r="G47" s="92">
        <f t="shared" si="0"/>
        <v>250</v>
      </c>
      <c r="H47" s="348">
        <f t="shared" ref="H47" si="12">E47-F47-G47</f>
        <v>0</v>
      </c>
      <c r="I47" s="127"/>
      <c r="J47" s="127">
        <v>250</v>
      </c>
      <c r="K47" s="127"/>
      <c r="L47" s="127"/>
      <c r="M47" s="127"/>
      <c r="N47" s="127"/>
      <c r="O47" s="134"/>
      <c r="P47" s="127"/>
      <c r="Q47" s="127"/>
      <c r="R47" s="123"/>
      <c r="S47" s="123"/>
      <c r="T47" s="411"/>
      <c r="U47" s="411"/>
      <c r="V47" s="411"/>
      <c r="W47" s="411"/>
      <c r="X47" s="411"/>
      <c r="Y47" s="411"/>
      <c r="Z47" s="411"/>
      <c r="AA47" s="414"/>
      <c r="AB47" s="125"/>
      <c r="AC47" s="21"/>
    </row>
    <row r="48" spans="1:29" ht="23">
      <c r="A48" s="25"/>
      <c r="B48" s="93" t="s">
        <v>99</v>
      </c>
      <c r="C48" s="126" t="s">
        <v>446</v>
      </c>
      <c r="D48" s="347">
        <v>45970</v>
      </c>
      <c r="E48" s="135">
        <v>250</v>
      </c>
      <c r="F48" s="96"/>
      <c r="G48" s="92">
        <f t="shared" si="0"/>
        <v>250</v>
      </c>
      <c r="H48" s="97"/>
      <c r="I48" s="98"/>
      <c r="J48" s="127"/>
      <c r="K48" s="127"/>
      <c r="L48" s="127"/>
      <c r="M48" s="127">
        <v>250</v>
      </c>
      <c r="N48" s="127"/>
      <c r="O48" s="127"/>
      <c r="P48" s="127"/>
      <c r="Q48" s="127"/>
      <c r="R48" s="123"/>
      <c r="S48" s="123"/>
      <c r="T48" s="411"/>
      <c r="U48" s="411"/>
      <c r="V48" s="411"/>
      <c r="W48" s="411"/>
      <c r="X48" s="411"/>
      <c r="Y48" s="411"/>
      <c r="Z48" s="411"/>
      <c r="AA48" s="414"/>
      <c r="AB48" s="125"/>
      <c r="AC48" s="21"/>
    </row>
    <row r="49" spans="1:29" ht="23">
      <c r="A49" s="25"/>
      <c r="B49" s="93" t="s">
        <v>99</v>
      </c>
      <c r="C49" s="126" t="s">
        <v>448</v>
      </c>
      <c r="D49" s="347">
        <v>45973</v>
      </c>
      <c r="E49" s="96">
        <v>250</v>
      </c>
      <c r="F49" s="96"/>
      <c r="G49" s="92">
        <f t="shared" si="0"/>
        <v>250</v>
      </c>
      <c r="H49" s="97"/>
      <c r="I49" s="98"/>
      <c r="J49" s="127"/>
      <c r="K49" s="127"/>
      <c r="L49" s="127"/>
      <c r="M49" s="127">
        <v>250</v>
      </c>
      <c r="N49" s="127"/>
      <c r="O49" s="127"/>
      <c r="P49" s="127"/>
      <c r="Q49" s="127"/>
      <c r="R49" s="123"/>
      <c r="S49" s="127"/>
      <c r="T49" s="411"/>
      <c r="U49" s="411"/>
      <c r="V49" s="411"/>
      <c r="W49" s="411"/>
      <c r="X49" s="411"/>
      <c r="Y49" s="411"/>
      <c r="Z49" s="411"/>
      <c r="AA49" s="414"/>
      <c r="AB49" s="125"/>
      <c r="AC49" s="21"/>
    </row>
    <row r="50" spans="1:29" ht="23">
      <c r="A50" s="25"/>
      <c r="B50" s="93" t="s">
        <v>99</v>
      </c>
      <c r="C50" s="126" t="s">
        <v>449</v>
      </c>
      <c r="D50" s="347">
        <v>45979</v>
      </c>
      <c r="E50" s="96">
        <v>250</v>
      </c>
      <c r="F50" s="96"/>
      <c r="G50" s="92">
        <f t="shared" si="0"/>
        <v>250</v>
      </c>
      <c r="H50" s="97"/>
      <c r="I50" s="98"/>
      <c r="J50" s="127"/>
      <c r="K50" s="127"/>
      <c r="L50" s="127"/>
      <c r="M50" s="127">
        <v>250</v>
      </c>
      <c r="N50" s="127"/>
      <c r="O50" s="127"/>
      <c r="P50" s="127"/>
      <c r="Q50" s="127"/>
      <c r="R50" s="123"/>
      <c r="S50" s="127"/>
      <c r="T50" s="411"/>
      <c r="U50" s="411"/>
      <c r="V50" s="411"/>
      <c r="W50" s="411"/>
      <c r="X50" s="411"/>
      <c r="Y50" s="411"/>
      <c r="Z50" s="411"/>
      <c r="AA50" s="414"/>
      <c r="AB50" s="125"/>
      <c r="AC50" s="21"/>
    </row>
    <row r="51" spans="1:29" ht="23">
      <c r="A51" s="25"/>
      <c r="B51" s="93" t="s">
        <v>99</v>
      </c>
      <c r="C51" s="126" t="s">
        <v>650</v>
      </c>
      <c r="D51" s="347"/>
      <c r="E51" s="96">
        <v>250</v>
      </c>
      <c r="F51" s="96"/>
      <c r="G51" s="92">
        <f t="shared" si="0"/>
        <v>250</v>
      </c>
      <c r="H51" s="97"/>
      <c r="I51" s="98"/>
      <c r="J51" s="127"/>
      <c r="K51" s="127"/>
      <c r="L51" s="127"/>
      <c r="M51" s="127"/>
      <c r="N51" s="127"/>
      <c r="O51" s="127"/>
      <c r="P51" s="127"/>
      <c r="Q51" s="127">
        <v>250</v>
      </c>
      <c r="R51" s="123"/>
      <c r="S51" s="127"/>
      <c r="T51" s="411"/>
      <c r="U51" s="411"/>
      <c r="V51" s="411"/>
      <c r="W51" s="411"/>
      <c r="X51" s="411"/>
      <c r="Y51" s="411"/>
      <c r="Z51" s="411"/>
      <c r="AA51" s="414"/>
      <c r="AB51" s="125"/>
      <c r="AC51" s="21"/>
    </row>
    <row r="52" spans="1:29" ht="23">
      <c r="A52" s="25"/>
      <c r="B52" s="93"/>
      <c r="C52" s="126"/>
      <c r="D52" s="347"/>
      <c r="E52" s="96"/>
      <c r="F52" s="96"/>
      <c r="G52" s="92">
        <f t="shared" si="0"/>
        <v>0</v>
      </c>
      <c r="H52" s="97"/>
      <c r="I52" s="98"/>
      <c r="J52" s="127"/>
      <c r="K52" s="127"/>
      <c r="L52" s="127"/>
      <c r="M52" s="127"/>
      <c r="N52" s="127"/>
      <c r="O52" s="127"/>
      <c r="P52" s="127"/>
      <c r="Q52" s="127"/>
      <c r="R52" s="123"/>
      <c r="S52" s="127"/>
      <c r="T52" s="544"/>
      <c r="U52" s="411"/>
      <c r="V52" s="411"/>
      <c r="W52" s="411"/>
      <c r="X52" s="411"/>
      <c r="Y52" s="411"/>
      <c r="Z52" s="411"/>
      <c r="AA52" s="414"/>
      <c r="AB52" s="125"/>
      <c r="AC52" s="21"/>
    </row>
    <row r="53" spans="1:29" ht="23">
      <c r="A53" s="25"/>
      <c r="B53" s="93" t="s">
        <v>691</v>
      </c>
      <c r="C53" s="126" t="s">
        <v>690</v>
      </c>
      <c r="D53" s="347"/>
      <c r="E53" s="129">
        <v>500</v>
      </c>
      <c r="F53" s="96">
        <v>0</v>
      </c>
      <c r="G53" s="92">
        <f t="shared" si="0"/>
        <v>500</v>
      </c>
      <c r="H53" s="122">
        <f>E53-F53-G53</f>
        <v>0</v>
      </c>
      <c r="I53" s="98"/>
      <c r="J53" s="127"/>
      <c r="K53" s="127"/>
      <c r="L53" s="127"/>
      <c r="M53" s="127"/>
      <c r="N53" s="127"/>
      <c r="O53" s="127"/>
      <c r="P53" s="127"/>
      <c r="Q53" s="127"/>
      <c r="R53" s="123"/>
      <c r="S53" s="127"/>
      <c r="T53" s="544"/>
      <c r="U53" s="544">
        <v>500</v>
      </c>
      <c r="V53" s="411"/>
      <c r="W53" s="411"/>
      <c r="X53" s="411"/>
      <c r="Y53" s="411"/>
      <c r="Z53" s="411"/>
      <c r="AA53" s="414"/>
      <c r="AB53" s="125"/>
      <c r="AC53" s="21"/>
    </row>
    <row r="54" spans="1:29" ht="23">
      <c r="A54" s="25"/>
      <c r="B54" s="93" t="s">
        <v>691</v>
      </c>
      <c r="C54" s="126" t="s">
        <v>692</v>
      </c>
      <c r="D54" s="347"/>
      <c r="E54" s="129">
        <v>500</v>
      </c>
      <c r="F54" s="96">
        <v>0</v>
      </c>
      <c r="G54" s="92">
        <f t="shared" ref="G54" si="13">SUM(I54:Z54 )</f>
        <v>0</v>
      </c>
      <c r="H54" s="122">
        <f>E54-F54-G54</f>
        <v>500</v>
      </c>
      <c r="I54" s="98"/>
      <c r="J54" s="127"/>
      <c r="K54" s="127"/>
      <c r="L54" s="127"/>
      <c r="M54" s="127"/>
      <c r="N54" s="127"/>
      <c r="O54" s="127"/>
      <c r="P54" s="127"/>
      <c r="Q54" s="127"/>
      <c r="R54" s="123"/>
      <c r="S54" s="127"/>
      <c r="T54" s="544"/>
      <c r="U54" s="411"/>
      <c r="V54" s="411"/>
      <c r="W54" s="411"/>
      <c r="X54" s="411"/>
      <c r="Y54" s="411"/>
      <c r="Z54" s="411"/>
      <c r="AA54" s="414"/>
      <c r="AB54" s="125"/>
      <c r="AC54" s="21"/>
    </row>
    <row r="55" spans="1:29" ht="23">
      <c r="A55" s="25"/>
      <c r="B55" s="93" t="s">
        <v>695</v>
      </c>
      <c r="C55" s="126" t="s">
        <v>696</v>
      </c>
      <c r="D55" s="347"/>
      <c r="E55" s="635">
        <v>500</v>
      </c>
      <c r="F55" s="96" t="s">
        <v>693</v>
      </c>
      <c r="G55" s="636">
        <v>500</v>
      </c>
      <c r="H55" s="637" t="s">
        <v>694</v>
      </c>
      <c r="I55" s="98"/>
      <c r="J55" s="127"/>
      <c r="K55" s="127"/>
      <c r="L55" s="127"/>
      <c r="M55" s="127"/>
      <c r="N55" s="127"/>
      <c r="O55" s="127"/>
      <c r="P55" s="127"/>
      <c r="Q55" s="127"/>
      <c r="R55" s="123"/>
      <c r="S55" s="127"/>
      <c r="T55" s="544"/>
      <c r="U55" s="411"/>
      <c r="V55" s="411"/>
      <c r="W55" s="411"/>
      <c r="X55" s="411"/>
      <c r="Y55" s="411"/>
      <c r="Z55" s="411"/>
      <c r="AA55" s="414"/>
      <c r="AB55" s="125"/>
      <c r="AC55" s="21"/>
    </row>
    <row r="56" spans="1:29" ht="23">
      <c r="A56" s="25"/>
      <c r="B56" s="93" t="s">
        <v>697</v>
      </c>
      <c r="C56" s="126" t="s">
        <v>698</v>
      </c>
      <c r="D56" s="347"/>
      <c r="E56" s="635">
        <v>500</v>
      </c>
      <c r="F56" s="96" t="s">
        <v>693</v>
      </c>
      <c r="G56" s="636">
        <v>500</v>
      </c>
      <c r="H56" s="637" t="s">
        <v>694</v>
      </c>
      <c r="I56" s="98"/>
      <c r="J56" s="127"/>
      <c r="K56" s="127"/>
      <c r="L56" s="127"/>
      <c r="M56" s="127"/>
      <c r="N56" s="127"/>
      <c r="O56" s="127"/>
      <c r="P56" s="127"/>
      <c r="Q56" s="127"/>
      <c r="R56" s="123"/>
      <c r="S56" s="127"/>
      <c r="T56" s="544"/>
      <c r="U56" s="411"/>
      <c r="V56" s="411"/>
      <c r="W56" s="411"/>
      <c r="X56" s="411"/>
      <c r="Y56" s="411"/>
      <c r="Z56" s="411"/>
      <c r="AA56" s="414"/>
      <c r="AB56" s="125"/>
      <c r="AC56" s="21"/>
    </row>
    <row r="57" spans="1:29" ht="23">
      <c r="A57" s="25"/>
      <c r="B57" s="93"/>
      <c r="C57" s="126"/>
      <c r="D57" s="347"/>
      <c r="E57" s="635"/>
      <c r="F57" s="96"/>
      <c r="G57" s="636"/>
      <c r="H57" s="637"/>
      <c r="I57" s="98"/>
      <c r="J57" s="127"/>
      <c r="K57" s="127"/>
      <c r="L57" s="127"/>
      <c r="M57" s="127"/>
      <c r="N57" s="127"/>
      <c r="O57" s="127"/>
      <c r="P57" s="127"/>
      <c r="Q57" s="127"/>
      <c r="R57" s="123"/>
      <c r="S57" s="127"/>
      <c r="T57" s="544"/>
      <c r="U57" s="411"/>
      <c r="V57" s="411"/>
      <c r="W57" s="411"/>
      <c r="X57" s="411"/>
      <c r="Y57" s="411"/>
      <c r="Z57" s="411"/>
      <c r="AA57" s="414"/>
      <c r="AB57" s="125"/>
      <c r="AC57" s="21"/>
    </row>
    <row r="58" spans="1:29" ht="23">
      <c r="A58" s="25"/>
      <c r="B58" s="93"/>
      <c r="C58" s="126"/>
      <c r="D58" s="347"/>
      <c r="E58" s="635"/>
      <c r="F58" s="96"/>
      <c r="G58" s="92"/>
      <c r="H58" s="122"/>
      <c r="I58" s="98"/>
      <c r="J58" s="127"/>
      <c r="K58" s="127"/>
      <c r="L58" s="127"/>
      <c r="M58" s="127"/>
      <c r="N58" s="127"/>
      <c r="O58" s="127"/>
      <c r="P58" s="127"/>
      <c r="Q58" s="127"/>
      <c r="R58" s="123"/>
      <c r="S58" s="127"/>
      <c r="T58" s="544"/>
      <c r="U58" s="411"/>
      <c r="V58" s="411"/>
      <c r="W58" s="411"/>
      <c r="X58" s="411"/>
      <c r="Y58" s="411"/>
      <c r="Z58" s="411"/>
      <c r="AA58" s="414"/>
      <c r="AB58" s="125"/>
      <c r="AC58" s="21"/>
    </row>
    <row r="59" spans="1:29" ht="23">
      <c r="A59" s="25"/>
      <c r="B59" s="93"/>
      <c r="C59" s="126"/>
      <c r="D59" s="95"/>
      <c r="E59" s="96"/>
      <c r="F59" s="96"/>
      <c r="G59" s="92">
        <f t="shared" si="0"/>
        <v>0</v>
      </c>
      <c r="H59" s="97"/>
      <c r="I59" s="98"/>
      <c r="J59" s="127"/>
      <c r="K59" s="127"/>
      <c r="L59" s="127"/>
      <c r="M59" s="127"/>
      <c r="N59" s="127"/>
      <c r="O59" s="127"/>
      <c r="P59" s="127"/>
      <c r="Q59" s="127"/>
      <c r="R59" s="123"/>
      <c r="S59" s="123"/>
      <c r="T59" s="544"/>
      <c r="U59" s="411"/>
      <c r="V59" s="411"/>
      <c r="W59" s="411"/>
      <c r="X59" s="411"/>
      <c r="Y59" s="411"/>
      <c r="Z59" s="411"/>
      <c r="AA59" s="414"/>
      <c r="AB59" s="125"/>
      <c r="AC59" s="21"/>
    </row>
    <row r="60" spans="1:29" ht="23">
      <c r="A60" s="25"/>
      <c r="B60" s="93">
        <v>2429</v>
      </c>
      <c r="C60" s="126" t="s">
        <v>701</v>
      </c>
      <c r="D60" s="95"/>
      <c r="E60" s="96">
        <v>20000</v>
      </c>
      <c r="F60" s="96">
        <v>0</v>
      </c>
      <c r="G60" s="92">
        <f t="shared" si="0"/>
        <v>16707.600000000002</v>
      </c>
      <c r="H60" s="122">
        <f t="shared" ref="H60:H67" si="14">E60-F60-G60</f>
        <v>3292.3999999999978</v>
      </c>
      <c r="I60" s="98">
        <v>3000</v>
      </c>
      <c r="J60" s="134"/>
      <c r="K60" s="127"/>
      <c r="L60" s="127"/>
      <c r="M60" s="127"/>
      <c r="N60" s="127"/>
      <c r="O60" s="127"/>
      <c r="P60" s="127"/>
      <c r="Q60" s="127">
        <v>3720</v>
      </c>
      <c r="R60" s="127">
        <v>3234</v>
      </c>
      <c r="S60" s="123"/>
      <c r="T60" s="544">
        <v>1500</v>
      </c>
      <c r="U60" s="411"/>
      <c r="V60" s="411"/>
      <c r="W60" s="708">
        <v>912</v>
      </c>
      <c r="X60" s="708">
        <f>14472/10</f>
        <v>1447.2</v>
      </c>
      <c r="Y60" s="708">
        <f>14472/10</f>
        <v>1447.2</v>
      </c>
      <c r="Z60" s="708">
        <f>14472/10</f>
        <v>1447.2</v>
      </c>
      <c r="AA60" s="414"/>
      <c r="AB60" s="125"/>
      <c r="AC60" s="21"/>
    </row>
    <row r="61" spans="1:29" ht="23">
      <c r="A61" s="25"/>
      <c r="B61" s="93">
        <v>2506</v>
      </c>
      <c r="C61" s="126" t="s">
        <v>702</v>
      </c>
      <c r="D61" s="95"/>
      <c r="E61" s="96">
        <v>8472</v>
      </c>
      <c r="F61" s="96">
        <v>0</v>
      </c>
      <c r="G61" s="92">
        <f t="shared" si="0"/>
        <v>8472</v>
      </c>
      <c r="H61" s="122">
        <f t="shared" si="14"/>
        <v>0</v>
      </c>
      <c r="I61" s="592"/>
      <c r="J61" s="592"/>
      <c r="K61" s="127">
        <v>2000</v>
      </c>
      <c r="L61" s="127">
        <v>1500</v>
      </c>
      <c r="M61" s="127"/>
      <c r="N61" s="127">
        <v>2572</v>
      </c>
      <c r="O61" s="127">
        <v>2400</v>
      </c>
      <c r="P61" s="127"/>
      <c r="Q61" s="127"/>
      <c r="R61" s="127"/>
      <c r="S61" s="123"/>
      <c r="T61" s="544"/>
      <c r="U61" s="411"/>
      <c r="V61" s="411"/>
      <c r="W61" s="708"/>
      <c r="X61" s="708"/>
      <c r="Y61" s="708"/>
      <c r="Z61" s="708"/>
      <c r="AA61" s="414"/>
      <c r="AB61" s="125"/>
      <c r="AC61" s="21"/>
    </row>
    <row r="62" spans="1:29" ht="23">
      <c r="A62" s="25"/>
      <c r="B62" s="93">
        <v>2505</v>
      </c>
      <c r="C62" s="126" t="s">
        <v>703</v>
      </c>
      <c r="D62" s="95"/>
      <c r="E62" s="96">
        <v>3795</v>
      </c>
      <c r="F62" s="96"/>
      <c r="G62" s="92">
        <f t="shared" si="0"/>
        <v>3795</v>
      </c>
      <c r="H62" s="122">
        <f t="shared" si="14"/>
        <v>0</v>
      </c>
      <c r="I62" s="98"/>
      <c r="J62" s="127"/>
      <c r="K62" s="127">
        <v>1000</v>
      </c>
      <c r="L62" s="127">
        <v>500</v>
      </c>
      <c r="M62" s="127"/>
      <c r="N62" s="127">
        <v>1320</v>
      </c>
      <c r="O62" s="127">
        <v>975</v>
      </c>
      <c r="P62" s="127"/>
      <c r="Q62" s="127"/>
      <c r="R62" s="127"/>
      <c r="S62" s="123"/>
      <c r="T62" s="544"/>
      <c r="U62" s="411"/>
      <c r="V62" s="411"/>
      <c r="W62" s="708"/>
      <c r="X62" s="708"/>
      <c r="Y62" s="708"/>
      <c r="Z62" s="708"/>
      <c r="AA62" s="414"/>
      <c r="AB62" s="125"/>
      <c r="AC62" s="21"/>
    </row>
    <row r="63" spans="1:29" ht="23">
      <c r="A63" s="25"/>
      <c r="B63" s="93">
        <v>2421</v>
      </c>
      <c r="C63" s="126" t="s">
        <v>704</v>
      </c>
      <c r="D63" s="95"/>
      <c r="E63" s="96">
        <v>1488</v>
      </c>
      <c r="F63" s="96"/>
      <c r="G63" s="92">
        <f t="shared" si="0"/>
        <v>1488</v>
      </c>
      <c r="H63" s="122">
        <f t="shared" si="14"/>
        <v>0</v>
      </c>
      <c r="I63" s="98"/>
      <c r="J63" s="127"/>
      <c r="K63" s="127"/>
      <c r="L63" s="127"/>
      <c r="M63" s="127"/>
      <c r="N63" s="127"/>
      <c r="O63" s="127">
        <v>1488</v>
      </c>
      <c r="P63" s="127"/>
      <c r="Q63" s="127"/>
      <c r="R63" s="127"/>
      <c r="S63" s="123"/>
      <c r="T63" s="544"/>
      <c r="U63" s="411"/>
      <c r="V63" s="411"/>
      <c r="W63" s="708"/>
      <c r="X63" s="708"/>
      <c r="Y63" s="708"/>
      <c r="Z63" s="708"/>
      <c r="AA63" s="414"/>
      <c r="AB63" s="125"/>
      <c r="AC63" s="21"/>
    </row>
    <row r="64" spans="1:29" ht="23">
      <c r="A64" s="25"/>
      <c r="B64" s="93">
        <v>2426</v>
      </c>
      <c r="C64" s="126" t="s">
        <v>648</v>
      </c>
      <c r="D64" s="95"/>
      <c r="E64" s="96">
        <v>411.3</v>
      </c>
      <c r="F64" s="96"/>
      <c r="G64" s="92">
        <f t="shared" si="0"/>
        <v>411.3</v>
      </c>
      <c r="H64" s="122">
        <f t="shared" si="14"/>
        <v>0</v>
      </c>
      <c r="I64" s="98"/>
      <c r="J64" s="127"/>
      <c r="K64" s="127"/>
      <c r="L64" s="127"/>
      <c r="M64" s="127"/>
      <c r="N64" s="127"/>
      <c r="O64" s="127"/>
      <c r="P64" s="127"/>
      <c r="Q64" s="127">
        <v>411.3</v>
      </c>
      <c r="R64" s="127"/>
      <c r="S64" s="123"/>
      <c r="T64" s="544"/>
      <c r="U64" s="411"/>
      <c r="V64" s="411"/>
      <c r="W64" s="708"/>
      <c r="X64" s="708"/>
      <c r="Y64" s="708"/>
      <c r="Z64" s="708"/>
      <c r="AA64" s="414"/>
      <c r="AB64" s="125"/>
      <c r="AC64" s="21"/>
    </row>
    <row r="65" spans="1:31" ht="23">
      <c r="A65" s="25"/>
      <c r="B65" s="93">
        <v>2604</v>
      </c>
      <c r="C65" s="126" t="s">
        <v>649</v>
      </c>
      <c r="D65" s="95"/>
      <c r="E65" s="96">
        <v>20000</v>
      </c>
      <c r="F65" s="96"/>
      <c r="G65" s="92">
        <f t="shared" si="0"/>
        <v>17542.989999999998</v>
      </c>
      <c r="H65" s="122">
        <f t="shared" ref="H65:H66" si="15">E65-F65-G65</f>
        <v>2457.010000000002</v>
      </c>
      <c r="I65" s="98"/>
      <c r="J65" s="127"/>
      <c r="K65" s="127"/>
      <c r="L65" s="127"/>
      <c r="M65" s="127"/>
      <c r="N65" s="127"/>
      <c r="O65" s="127"/>
      <c r="P65" s="127"/>
      <c r="Q65" s="127">
        <v>400</v>
      </c>
      <c r="R65" s="127">
        <v>2000</v>
      </c>
      <c r="S65" s="123"/>
      <c r="T65" s="544">
        <v>3232.71</v>
      </c>
      <c r="U65" s="544">
        <v>1910.28</v>
      </c>
      <c r="V65" s="411"/>
      <c r="W65" s="708">
        <v>2500</v>
      </c>
      <c r="X65" s="708">
        <v>2500</v>
      </c>
      <c r="Y65" s="708">
        <v>2500</v>
      </c>
      <c r="Z65" s="708">
        <v>2500</v>
      </c>
      <c r="AA65" s="414"/>
      <c r="AB65" s="125"/>
      <c r="AC65" s="21"/>
    </row>
    <row r="66" spans="1:31" ht="23">
      <c r="A66" s="25"/>
      <c r="B66" s="93">
        <v>2509</v>
      </c>
      <c r="C66" s="126" t="s">
        <v>652</v>
      </c>
      <c r="D66" s="95"/>
      <c r="E66" s="96">
        <v>10000</v>
      </c>
      <c r="F66" s="96"/>
      <c r="G66" s="92">
        <f t="shared" si="0"/>
        <v>997.56</v>
      </c>
      <c r="H66" s="122">
        <f t="shared" si="15"/>
        <v>9002.44</v>
      </c>
      <c r="I66" s="98"/>
      <c r="J66" s="127"/>
      <c r="K66" s="127"/>
      <c r="L66" s="127"/>
      <c r="M66" s="127"/>
      <c r="N66" s="127"/>
      <c r="O66" s="127"/>
      <c r="P66" s="127"/>
      <c r="Q66" s="127"/>
      <c r="R66" s="123"/>
      <c r="S66" s="123"/>
      <c r="T66" s="544"/>
      <c r="U66" s="544">
        <v>997.56</v>
      </c>
      <c r="V66" s="411"/>
      <c r="W66" s="411"/>
      <c r="X66" s="411"/>
      <c r="Y66" s="411"/>
      <c r="Z66" s="411"/>
      <c r="AA66" s="414"/>
      <c r="AB66" s="125"/>
      <c r="AC66" s="21"/>
    </row>
    <row r="67" spans="1:31" ht="23">
      <c r="A67" s="25"/>
      <c r="B67" s="93" t="s">
        <v>706</v>
      </c>
      <c r="C67" s="126" t="s">
        <v>705</v>
      </c>
      <c r="D67" s="95"/>
      <c r="E67" s="96">
        <v>150</v>
      </c>
      <c r="F67" s="96"/>
      <c r="G67" s="92">
        <f t="shared" si="0"/>
        <v>150</v>
      </c>
      <c r="H67" s="122">
        <f t="shared" si="14"/>
        <v>0</v>
      </c>
      <c r="I67" s="98"/>
      <c r="J67" s="127"/>
      <c r="K67" s="127">
        <v>150</v>
      </c>
      <c r="L67" s="127"/>
      <c r="M67" s="127"/>
      <c r="N67" s="127"/>
      <c r="O67" s="127"/>
      <c r="P67" s="127"/>
      <c r="Q67" s="127"/>
      <c r="R67" s="123"/>
      <c r="S67" s="123"/>
      <c r="T67" s="411"/>
      <c r="U67" s="411"/>
      <c r="V67" s="411"/>
      <c r="W67" s="411"/>
      <c r="X67" s="411"/>
      <c r="Y67" s="411"/>
      <c r="Z67" s="411"/>
      <c r="AA67" s="414"/>
      <c r="AB67" s="125"/>
      <c r="AC67" s="21"/>
    </row>
    <row r="68" spans="1:31" ht="23">
      <c r="A68" s="25"/>
      <c r="B68" s="93" t="s">
        <v>706</v>
      </c>
      <c r="C68" s="126" t="s">
        <v>513</v>
      </c>
      <c r="D68" s="95"/>
      <c r="E68" s="96">
        <v>1500</v>
      </c>
      <c r="F68" s="96"/>
      <c r="G68" s="92">
        <f>SUM(I68:Z68 )</f>
        <v>1500</v>
      </c>
      <c r="H68" s="122">
        <f>E68-F68-G68</f>
        <v>0</v>
      </c>
      <c r="I68" s="98"/>
      <c r="J68" s="127"/>
      <c r="K68" s="127"/>
      <c r="L68" s="127">
        <v>1500</v>
      </c>
      <c r="M68" s="127"/>
      <c r="N68" s="127"/>
      <c r="O68" s="127"/>
      <c r="P68" s="127"/>
      <c r="Q68" s="127"/>
      <c r="R68" s="127"/>
      <c r="S68" s="123"/>
      <c r="T68" s="544"/>
      <c r="U68" s="411"/>
      <c r="V68" s="411"/>
      <c r="W68" s="411"/>
      <c r="X68" s="411"/>
      <c r="Y68" s="411"/>
      <c r="Z68" s="411"/>
      <c r="AA68" s="414"/>
      <c r="AB68" s="125"/>
      <c r="AC68" s="21"/>
    </row>
    <row r="69" spans="1:31" ht="23">
      <c r="A69" s="25"/>
      <c r="B69" s="93" t="s">
        <v>706</v>
      </c>
      <c r="C69" s="126" t="s">
        <v>626</v>
      </c>
      <c r="D69" s="347"/>
      <c r="E69" s="96">
        <v>850</v>
      </c>
      <c r="F69" s="96"/>
      <c r="G69" s="92">
        <f>SUM(I69:Z69 )</f>
        <v>850</v>
      </c>
      <c r="H69" s="97"/>
      <c r="I69" s="98"/>
      <c r="J69" s="127"/>
      <c r="K69" s="127"/>
      <c r="L69" s="127"/>
      <c r="M69" s="127"/>
      <c r="N69" s="127"/>
      <c r="O69" s="127">
        <v>850</v>
      </c>
      <c r="P69" s="127"/>
      <c r="Q69" s="127"/>
      <c r="R69" s="123"/>
      <c r="S69" s="127"/>
      <c r="T69" s="411"/>
      <c r="U69" s="411"/>
      <c r="V69" s="411"/>
      <c r="W69" s="411"/>
      <c r="X69" s="411"/>
      <c r="Y69" s="411"/>
      <c r="Z69" s="411"/>
      <c r="AA69" s="414"/>
      <c r="AB69" s="125"/>
      <c r="AC69" s="21"/>
    </row>
    <row r="70" spans="1:31" ht="24" thickBot="1">
      <c r="A70" s="25"/>
      <c r="B70" s="93"/>
      <c r="C70" s="136"/>
      <c r="D70" s="95"/>
      <c r="E70" s="128"/>
      <c r="F70" s="128"/>
      <c r="G70" s="92">
        <f t="shared" si="0"/>
        <v>0</v>
      </c>
      <c r="H70" s="137"/>
      <c r="I70" s="138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414"/>
      <c r="AB70" s="125"/>
      <c r="AC70" s="21"/>
    </row>
    <row r="71" spans="1:31" ht="29" thickBot="1">
      <c r="A71" s="25"/>
      <c r="B71" s="139"/>
      <c r="C71" s="349" t="s">
        <v>246</v>
      </c>
      <c r="D71" s="140"/>
      <c r="E71" s="141">
        <f>SUM(E4:E70)</f>
        <v>229785.40666666668</v>
      </c>
      <c r="F71" s="142">
        <f>SUM(F4:F70)</f>
        <v>68479.990000000005</v>
      </c>
      <c r="G71" s="142">
        <f>SUM(G4:G70)</f>
        <v>106476.9</v>
      </c>
      <c r="H71" s="143">
        <f>SUM(H4:H70)</f>
        <v>24691.856666666667</v>
      </c>
      <c r="I71" s="144">
        <f t="shared" ref="I71:Z71" si="16">SUM(I5:I70)</f>
        <v>5561.66</v>
      </c>
      <c r="J71" s="145">
        <f t="shared" si="16"/>
        <v>-4125</v>
      </c>
      <c r="K71" s="145">
        <f t="shared" si="16"/>
        <v>8572.42</v>
      </c>
      <c r="L71" s="145">
        <f t="shared" si="16"/>
        <v>3500</v>
      </c>
      <c r="M71" s="145">
        <f t="shared" si="16"/>
        <v>750</v>
      </c>
      <c r="N71" s="145">
        <f t="shared" si="16"/>
        <v>8687.01</v>
      </c>
      <c r="O71" s="145">
        <f t="shared" si="16"/>
        <v>6938</v>
      </c>
      <c r="P71" s="145">
        <f t="shared" si="16"/>
        <v>0</v>
      </c>
      <c r="Q71" s="145">
        <f t="shared" si="16"/>
        <v>6522.97</v>
      </c>
      <c r="R71" s="145">
        <f t="shared" si="16"/>
        <v>12029.84</v>
      </c>
      <c r="S71" s="145">
        <f t="shared" si="16"/>
        <v>3412.5</v>
      </c>
      <c r="T71" s="145">
        <f t="shared" si="16"/>
        <v>12366.04</v>
      </c>
      <c r="U71" s="146">
        <f>SUM(U5:U70)</f>
        <v>3407.8399999999997</v>
      </c>
      <c r="V71" s="146">
        <f>SUM(V5:V70)</f>
        <v>4375</v>
      </c>
      <c r="W71" s="146">
        <f t="shared" si="16"/>
        <v>7687</v>
      </c>
      <c r="X71" s="146">
        <f t="shared" si="16"/>
        <v>9147.2200000000012</v>
      </c>
      <c r="Y71" s="146">
        <f t="shared" si="16"/>
        <v>9280.5299999999988</v>
      </c>
      <c r="Z71" s="146">
        <f t="shared" si="16"/>
        <v>8197.2000000000007</v>
      </c>
      <c r="AA71" s="343">
        <f>SUM(AA5:AA70)</f>
        <v>2708.3333333333335</v>
      </c>
      <c r="AB71" s="52"/>
      <c r="AC71" s="1"/>
    </row>
    <row r="72" spans="1:31" ht="17" customHeight="1">
      <c r="A72" s="1"/>
      <c r="B72" s="660" t="s">
        <v>10</v>
      </c>
      <c r="C72" s="661" t="s">
        <v>317</v>
      </c>
      <c r="D72" s="662"/>
      <c r="E72" s="662"/>
      <c r="F72" s="662"/>
      <c r="G72" s="662"/>
      <c r="H72" s="663"/>
      <c r="I72" s="661" t="s">
        <v>110</v>
      </c>
      <c r="J72" s="662"/>
      <c r="K72" s="662"/>
      <c r="L72" s="662"/>
      <c r="M72" s="662"/>
      <c r="N72" s="663"/>
      <c r="O72" s="669" t="s">
        <v>4</v>
      </c>
      <c r="P72" s="670"/>
      <c r="Q72" s="670"/>
      <c r="R72" s="670"/>
      <c r="S72" s="670"/>
      <c r="T72" s="670"/>
      <c r="U72" s="670"/>
      <c r="V72" s="670"/>
      <c r="W72" s="670"/>
      <c r="X72" s="670"/>
      <c r="Y72" s="670"/>
      <c r="Z72" s="671"/>
      <c r="AA72" s="52"/>
      <c r="AB72" s="52"/>
      <c r="AC72" s="1"/>
      <c r="AE72" s="546"/>
    </row>
    <row r="73" spans="1:31" ht="18" customHeight="1" thickBot="1">
      <c r="A73" s="1"/>
      <c r="B73" s="646"/>
      <c r="C73" s="664"/>
      <c r="D73" s="665"/>
      <c r="E73" s="665"/>
      <c r="F73" s="665"/>
      <c r="G73" s="665"/>
      <c r="H73" s="666"/>
      <c r="I73" s="664"/>
      <c r="J73" s="665"/>
      <c r="K73" s="665"/>
      <c r="L73" s="665"/>
      <c r="M73" s="665"/>
      <c r="N73" s="666"/>
      <c r="O73" s="664"/>
      <c r="P73" s="665"/>
      <c r="Q73" s="665"/>
      <c r="R73" s="665"/>
      <c r="S73" s="665"/>
      <c r="T73" s="665"/>
      <c r="U73" s="665"/>
      <c r="V73" s="665"/>
      <c r="W73" s="665"/>
      <c r="X73" s="665"/>
      <c r="Y73" s="665"/>
      <c r="Z73" s="666"/>
      <c r="AA73" s="52"/>
      <c r="AB73" s="52"/>
      <c r="AC73" s="1"/>
    </row>
    <row r="74" spans="1:31" ht="17" customHeight="1">
      <c r="A74" s="10"/>
      <c r="B74" s="645">
        <f>Prospect!F16</f>
        <v>0</v>
      </c>
      <c r="C74" s="647">
        <f>G71</f>
        <v>106476.9</v>
      </c>
      <c r="D74" s="648"/>
      <c r="E74" s="648"/>
      <c r="F74" s="648"/>
      <c r="G74" s="648"/>
      <c r="H74" s="649"/>
      <c r="I74" s="653">
        <f>SUM(I71:V71)</f>
        <v>71998.28</v>
      </c>
      <c r="J74" s="654"/>
      <c r="K74" s="654"/>
      <c r="L74" s="654"/>
      <c r="M74" s="654"/>
      <c r="N74" s="655"/>
      <c r="O74" s="595"/>
      <c r="P74" s="596"/>
      <c r="Q74" s="596"/>
      <c r="R74" s="596"/>
      <c r="S74" s="596"/>
      <c r="T74" s="596"/>
      <c r="U74" s="672">
        <f>SUM(W71:Z71)</f>
        <v>34311.949999999997</v>
      </c>
      <c r="V74" s="596"/>
      <c r="W74" s="596"/>
      <c r="X74" s="596"/>
      <c r="Y74" s="596"/>
      <c r="Z74" s="596"/>
      <c r="AA74" s="667">
        <f>SUM(I5:Z70)</f>
        <v>106310.23</v>
      </c>
      <c r="AB74" s="52"/>
      <c r="AC74" s="1"/>
    </row>
    <row r="75" spans="1:31" ht="18" customHeight="1" thickBot="1">
      <c r="B75" s="646"/>
      <c r="C75" s="650"/>
      <c r="D75" s="651"/>
      <c r="E75" s="651"/>
      <c r="F75" s="651"/>
      <c r="G75" s="651"/>
      <c r="H75" s="652"/>
      <c r="I75" s="656"/>
      <c r="J75" s="657"/>
      <c r="K75" s="657"/>
      <c r="L75" s="657"/>
      <c r="M75" s="657"/>
      <c r="N75" s="658"/>
      <c r="O75" s="597"/>
      <c r="P75" s="598"/>
      <c r="Q75" s="598"/>
      <c r="R75" s="598"/>
      <c r="S75" s="598"/>
      <c r="T75" s="598"/>
      <c r="U75" s="673"/>
      <c r="V75" s="598"/>
      <c r="W75" s="598"/>
      <c r="X75" s="598"/>
      <c r="Y75" s="598"/>
      <c r="Z75" s="598"/>
      <c r="AA75" s="668"/>
      <c r="AB75" s="52"/>
      <c r="AC75" s="1"/>
    </row>
    <row r="76" spans="1:31" ht="17">
      <c r="B76" s="52"/>
      <c r="C76" s="82"/>
      <c r="D76" s="82"/>
      <c r="E76" s="147"/>
      <c r="F76" s="147"/>
      <c r="G76" s="147"/>
      <c r="H76" s="147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1"/>
    </row>
    <row r="77" spans="1:31" ht="18" thickBot="1">
      <c r="B77" s="52"/>
      <c r="C77" s="52"/>
      <c r="D77" s="147"/>
      <c r="E77" s="147"/>
      <c r="F77" s="52"/>
      <c r="G77" s="52"/>
      <c r="H77" s="52"/>
      <c r="I77" s="52"/>
      <c r="J77" s="52"/>
      <c r="K77" s="52"/>
      <c r="L77" s="52"/>
      <c r="M77" s="56"/>
      <c r="N77" s="52"/>
      <c r="O77" s="52"/>
      <c r="P77" s="52"/>
      <c r="Q77" s="52"/>
      <c r="R77" s="52"/>
      <c r="S77" s="52"/>
      <c r="T77" s="152"/>
      <c r="U77" s="152"/>
      <c r="V77" s="152"/>
      <c r="W77" s="152"/>
      <c r="X77" s="152"/>
      <c r="Y77" s="152"/>
      <c r="Z77" s="152"/>
      <c r="AA77" s="52"/>
      <c r="AB77" s="52"/>
    </row>
    <row r="78" spans="1:31" ht="48" customHeight="1" thickBot="1">
      <c r="B78" s="148" t="s">
        <v>98</v>
      </c>
      <c r="C78" s="149" t="str">
        <f>IF(O74+'facturation 25-26'!C5&lt;B79,"OBJECTIF MANQUÉ","OBJECTIF ATTEINT")</f>
        <v>OBJECTIF MANQUÉ</v>
      </c>
      <c r="D78" s="150"/>
      <c r="E78" s="52"/>
      <c r="F78" s="52"/>
      <c r="G78" s="52"/>
      <c r="H78" s="52"/>
      <c r="N78" s="52"/>
      <c r="O78" s="56"/>
      <c r="P78" s="52"/>
      <c r="Q78" s="52"/>
      <c r="R78" s="52"/>
      <c r="S78" s="52"/>
      <c r="T78" s="151"/>
      <c r="U78" s="151"/>
      <c r="V78" s="151"/>
      <c r="W78" s="151"/>
      <c r="X78" s="151"/>
      <c r="Y78" s="151"/>
      <c r="Z78" s="151"/>
      <c r="AA78" s="152"/>
      <c r="AB78" s="52"/>
    </row>
    <row r="79" spans="1:31" ht="63" customHeight="1" thickBot="1">
      <c r="B79" s="337">
        <f>'Prévisionnel 25-26'!$C$50</f>
        <v>109561.65266666669</v>
      </c>
      <c r="C79" s="338">
        <f>U74+'facturation 25-26'!C5-'Planning facturation 25-26'!B79</f>
        <v>-2259.7726666666858</v>
      </c>
      <c r="D79" s="147"/>
      <c r="E79" s="56"/>
      <c r="F79" s="52"/>
      <c r="G79" s="147"/>
      <c r="H79" s="52"/>
      <c r="N79" s="52"/>
      <c r="O79" s="154"/>
      <c r="P79" s="155"/>
      <c r="Q79" s="154"/>
      <c r="R79" s="154"/>
      <c r="S79" s="52"/>
      <c r="T79" s="147"/>
      <c r="U79" s="147"/>
      <c r="V79" s="147"/>
      <c r="W79" s="147"/>
      <c r="X79" s="147"/>
      <c r="Y79" s="147"/>
      <c r="Z79" s="147"/>
      <c r="AA79" s="56"/>
      <c r="AB79" s="52"/>
    </row>
    <row r="80" spans="1:31" ht="24" customHeight="1" thickBot="1">
      <c r="D80" s="52"/>
      <c r="E80" s="52"/>
      <c r="F80" s="52"/>
      <c r="G80" s="52"/>
      <c r="H80" s="150"/>
      <c r="I80" s="52"/>
      <c r="J80" s="52"/>
      <c r="K80" s="52"/>
      <c r="L80" s="52"/>
      <c r="M80" s="52"/>
      <c r="N80" s="52"/>
      <c r="O80" s="158"/>
      <c r="P80" s="154"/>
      <c r="Q80" s="153"/>
      <c r="R80" s="154"/>
      <c r="S80" s="154"/>
      <c r="T80" s="154"/>
      <c r="U80" s="154"/>
      <c r="V80" s="154"/>
      <c r="W80" s="154"/>
      <c r="X80" s="154"/>
      <c r="Y80" s="154"/>
      <c r="Z80" s="154"/>
      <c r="AA80" s="154"/>
      <c r="AB80" s="154"/>
    </row>
    <row r="81" spans="2:29" ht="26">
      <c r="B81" s="350" t="s">
        <v>5</v>
      </c>
      <c r="C81" s="351" t="s">
        <v>6</v>
      </c>
      <c r="D81" s="161"/>
      <c r="E81" s="161"/>
      <c r="F81" s="161"/>
      <c r="G81" s="52"/>
      <c r="H81" s="52"/>
      <c r="O81" s="158"/>
      <c r="P81" s="154"/>
      <c r="Q81" s="153"/>
      <c r="R81" s="154"/>
      <c r="S81" s="154"/>
      <c r="T81" s="154"/>
      <c r="U81" s="154"/>
      <c r="V81" s="154"/>
      <c r="W81" s="154"/>
      <c r="X81" s="154"/>
      <c r="Y81" s="154"/>
      <c r="Z81" s="154"/>
      <c r="AA81" s="154"/>
      <c r="AB81" s="154"/>
      <c r="AC81" s="1"/>
    </row>
    <row r="82" spans="2:29" ht="23">
      <c r="B82" s="159" t="s">
        <v>7</v>
      </c>
      <c r="C82" s="160" t="s">
        <v>8</v>
      </c>
    </row>
    <row r="83" spans="2:29" ht="72">
      <c r="B83" s="162" t="s">
        <v>186</v>
      </c>
      <c r="C83" s="163" t="s">
        <v>9</v>
      </c>
    </row>
    <row r="84" spans="2:29" ht="24" thickBot="1">
      <c r="B84" s="165" t="s">
        <v>87</v>
      </c>
      <c r="C84" s="166" t="s">
        <v>85</v>
      </c>
    </row>
    <row r="89" spans="2:29" ht="17" thickBot="1"/>
    <row r="90" spans="2:29">
      <c r="B90" s="678" t="s">
        <v>187</v>
      </c>
      <c r="C90" s="680">
        <f>SUMIF(B5:B69,"M*",I5:I69)+SUMIF(B5:B69,"M*",J5:J69)+SUMIF(B5:B69,"M*",K5:K69)+SUMIF(B5:B69,"M*",L5:L69)+SUMIF(B5:B69,"M*",M5:M69)+SUMIF(B5:B69,"M*",N5:N69)+SUMIF(B5:B69,"M*",O5:O69)+SUMIF(B5:B69,"M*",P5:P69)+SUMIF(B5:B69,"M*",Q5:Q69)+SUMIF(B5:B69,"M*",R5:R69)+SUMIF(B5:B69,"M*",S5:S69)+SUMIF(B5:B69,"M*",T5:T69)</f>
        <v>8270</v>
      </c>
      <c r="D90" s="682">
        <f>SUMIF(B5:B69,"C*",J5:J69)+SUMIF(B5:B69,"C*",K5:K69)+SUMIF(B5:B69,"C*",L5:L69)+SUMIF(B5:B69,"C*",M5:M69)+SUMIF(B5:B69,"C*",N5:N69)+SUMIF(B5:B69,"C*",O5:O69)+SUMIF(B5:B69,"C*",P5:P69)+SUMIF(B5:B69,"C*",Q5:Q69)+SUMIF(B5:B69,"C*",R5:R69)+SUMIF(B5:B69,"C*",S5:S69)+SUMIF(B5:B69,"C*",T5:T69)+SUMIF(B5:B69,"C*",I5:I69)</f>
        <v>11200.76</v>
      </c>
      <c r="E90" s="674" t="s">
        <v>188</v>
      </c>
      <c r="F90" s="676">
        <f>C90/D90</f>
        <v>0.73834275531303228</v>
      </c>
    </row>
    <row r="91" spans="2:29" ht="17" thickBot="1">
      <c r="B91" s="679"/>
      <c r="C91" s="681"/>
      <c r="D91" s="683"/>
      <c r="E91" s="675"/>
      <c r="F91" s="677"/>
    </row>
  </sheetData>
  <mergeCells count="15">
    <mergeCell ref="E90:E91"/>
    <mergeCell ref="F90:F91"/>
    <mergeCell ref="B90:B91"/>
    <mergeCell ref="C90:C91"/>
    <mergeCell ref="D90:D91"/>
    <mergeCell ref="B74:B75"/>
    <mergeCell ref="C74:H75"/>
    <mergeCell ref="I74:N75"/>
    <mergeCell ref="AA3:AB3"/>
    <mergeCell ref="B72:B73"/>
    <mergeCell ref="C72:H73"/>
    <mergeCell ref="I72:N73"/>
    <mergeCell ref="AA74:AA75"/>
    <mergeCell ref="O72:Z73"/>
    <mergeCell ref="U74:U75"/>
  </mergeCells>
  <phoneticPr fontId="29" type="noConversion"/>
  <conditionalFormatting sqref="B5:B69">
    <cfRule type="containsText" dxfId="3" priority="6" stopIfTrue="1" operator="containsText" text="M">
      <formula>NOT(ISERROR(SEARCH("M",B5)))</formula>
    </cfRule>
  </conditionalFormatting>
  <pageMargins left="0.7" right="0.7" top="0.75" bottom="0.75" header="0.3" footer="0.3"/>
  <pageSetup paperSize="9" orientation="portrait" horizontalDpi="0" verticalDpi="0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C361B60C-8799-204F-A74C-AFBC99BA4D1E}">
            <xm:f>('facturation 25-26'!$C$5+$O$74)&lt;$B$79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C78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1F04E-051D-4E3A-904C-1817C683B110}">
  <sheetPr codeName="Feuil2">
    <tabColor rgb="FF92D050"/>
    <pageSetUpPr fitToPage="1"/>
  </sheetPr>
  <dimension ref="A1:M962"/>
  <sheetViews>
    <sheetView zoomScale="80" zoomScaleNormal="80" workbookViewId="0">
      <pane ySplit="9" topLeftCell="A21" activePane="bottomLeft" state="frozen"/>
      <selection pane="bottomLeft" activeCell="C2" sqref="C2"/>
    </sheetView>
  </sheetViews>
  <sheetFormatPr baseColWidth="10" defaultColWidth="10.140625" defaultRowHeight="15" customHeight="1"/>
  <cols>
    <col min="1" max="1" width="17.42578125" style="39" customWidth="1"/>
    <col min="2" max="2" width="23.7109375" bestFit="1" customWidth="1"/>
    <col min="3" max="3" width="37.7109375" bestFit="1" customWidth="1"/>
    <col min="4" max="4" width="22.42578125" bestFit="1" customWidth="1"/>
    <col min="5" max="5" width="19.7109375" bestFit="1" customWidth="1"/>
    <col min="6" max="6" width="21.140625" customWidth="1"/>
    <col min="7" max="7" width="12.42578125" bestFit="1" customWidth="1"/>
    <col min="8" max="8" width="22.42578125" bestFit="1" customWidth="1"/>
    <col min="9" max="9" width="12.7109375" bestFit="1" customWidth="1"/>
  </cols>
  <sheetData>
    <row r="1" spans="1:13" s="24" customFormat="1" ht="25" customHeight="1" thickBot="1">
      <c r="A1" s="684" t="s">
        <v>206</v>
      </c>
      <c r="B1" s="417" t="s">
        <v>204</v>
      </c>
      <c r="C1" s="418">
        <f>SUM(D10:D34)</f>
        <v>23446.080000000005</v>
      </c>
      <c r="D1" s="687" t="s">
        <v>205</v>
      </c>
      <c r="E1" s="423" t="s">
        <v>108</v>
      </c>
      <c r="F1" s="424">
        <f>SUM(D10:D34)+'[1]facturation 24-25'!$F$5</f>
        <v>72426.070000000007</v>
      </c>
      <c r="G1" s="32"/>
    </row>
    <row r="2" spans="1:13" s="24" customFormat="1" ht="27" thickBot="1">
      <c r="A2" s="685"/>
      <c r="B2" s="419" t="s">
        <v>240</v>
      </c>
      <c r="C2" s="420">
        <f>SUM(D35:D93)</f>
        <v>49543.850000000006</v>
      </c>
      <c r="D2" s="688"/>
      <c r="E2" s="167"/>
      <c r="F2" s="164"/>
      <c r="G2" s="23"/>
    </row>
    <row r="3" spans="1:13" s="24" customFormat="1" ht="27" thickBot="1">
      <c r="A3" s="685"/>
      <c r="B3" s="421" t="s">
        <v>88</v>
      </c>
      <c r="C3" s="422">
        <v>0</v>
      </c>
      <c r="D3" s="688"/>
      <c r="E3" s="425" t="s">
        <v>196</v>
      </c>
      <c r="F3" s="426">
        <f>D10+D14+D18+D19+D21+D25+D26+D31+D33+D34</f>
        <v>6861.66</v>
      </c>
      <c r="G3" s="427">
        <f>F3/F1</f>
        <v>9.4740195070642366E-2</v>
      </c>
    </row>
    <row r="4" spans="1:13" s="24" customFormat="1" ht="27" thickBot="1">
      <c r="A4" s="685"/>
      <c r="B4" s="153"/>
      <c r="C4" s="168"/>
      <c r="D4" s="688"/>
      <c r="E4" s="169"/>
      <c r="F4" s="170"/>
      <c r="G4" s="32"/>
      <c r="H4" s="542"/>
    </row>
    <row r="5" spans="1:13" s="24" customFormat="1" ht="35" thickBot="1">
      <c r="A5" s="686"/>
      <c r="B5" s="428" t="s">
        <v>528</v>
      </c>
      <c r="C5" s="429">
        <f>C1+C2+C3</f>
        <v>72989.930000000008</v>
      </c>
      <c r="D5" s="688"/>
      <c r="E5" s="423" t="s">
        <v>266</v>
      </c>
      <c r="F5" s="424">
        <f>SUM(D35:D85)</f>
        <v>49543.850000000006</v>
      </c>
      <c r="G5" s="32"/>
    </row>
    <row r="6" spans="1:13" s="24" customFormat="1" ht="27" thickBot="1">
      <c r="A6" s="171"/>
      <c r="B6" s="153"/>
      <c r="C6" s="172"/>
      <c r="D6" s="688"/>
      <c r="E6" s="169"/>
      <c r="F6" s="170"/>
      <c r="G6" s="32"/>
    </row>
    <row r="7" spans="1:13" s="24" customFormat="1" ht="27" thickBot="1">
      <c r="A7" s="167"/>
      <c r="B7" s="167"/>
      <c r="C7" s="167"/>
      <c r="D7" s="689"/>
      <c r="E7" s="425" t="s">
        <v>265</v>
      </c>
      <c r="F7" s="426">
        <f>D41+D48+D51+D55</f>
        <v>2791.67</v>
      </c>
      <c r="G7" s="427">
        <f>F7/F5</f>
        <v>5.6347457858038887E-2</v>
      </c>
    </row>
    <row r="8" spans="1:13" ht="34">
      <c r="A8" s="690" t="s">
        <v>239</v>
      </c>
      <c r="B8" s="691"/>
      <c r="C8" s="691"/>
      <c r="D8" s="173" t="s">
        <v>0</v>
      </c>
      <c r="E8" s="173" t="s">
        <v>1</v>
      </c>
      <c r="F8" s="174" t="s">
        <v>2</v>
      </c>
      <c r="G8" s="28">
        <v>0.1</v>
      </c>
      <c r="H8" s="1"/>
    </row>
    <row r="9" spans="1:13" ht="44" customHeight="1" thickBot="1">
      <c r="A9" s="692" t="s">
        <v>679</v>
      </c>
      <c r="B9" s="693"/>
      <c r="C9" s="693"/>
      <c r="D9" s="693"/>
      <c r="E9" s="693"/>
      <c r="F9" s="694"/>
      <c r="G9" s="28">
        <v>0.2</v>
      </c>
      <c r="H9" s="2"/>
      <c r="I9" s="2"/>
      <c r="J9" s="2"/>
      <c r="K9" s="2"/>
      <c r="L9" s="2"/>
      <c r="M9" s="2"/>
    </row>
    <row r="10" spans="1:13" ht="26">
      <c r="A10" s="599">
        <v>45842</v>
      </c>
      <c r="B10" s="607" t="s">
        <v>272</v>
      </c>
      <c r="C10" s="601" t="s">
        <v>273</v>
      </c>
      <c r="D10" s="613">
        <v>458.33</v>
      </c>
      <c r="E10" s="608">
        <f t="shared" ref="E10:E27" si="0">D10*20%</f>
        <v>91.665999999999997</v>
      </c>
      <c r="F10" s="608">
        <f t="shared" ref="F10:F27" si="1">D10+E10</f>
        <v>549.99599999999998</v>
      </c>
      <c r="G10" s="40"/>
      <c r="H10" s="46"/>
      <c r="I10" s="2"/>
      <c r="J10" s="2"/>
      <c r="K10" s="2"/>
      <c r="L10" s="2"/>
      <c r="M10" s="2"/>
    </row>
    <row r="11" spans="1:13" ht="26">
      <c r="A11" s="175">
        <v>45856</v>
      </c>
      <c r="B11" s="176" t="s">
        <v>274</v>
      </c>
      <c r="C11" s="177" t="s">
        <v>303</v>
      </c>
      <c r="D11" s="178">
        <v>-4375</v>
      </c>
      <c r="E11" s="178">
        <f t="shared" si="0"/>
        <v>-875</v>
      </c>
      <c r="F11" s="178">
        <f t="shared" si="1"/>
        <v>-5250</v>
      </c>
      <c r="G11" s="41"/>
      <c r="H11" s="45"/>
      <c r="I11" s="2"/>
      <c r="J11" s="2"/>
      <c r="K11" s="2"/>
      <c r="L11" s="2"/>
      <c r="M11" s="2"/>
    </row>
    <row r="12" spans="1:13" ht="26">
      <c r="A12" s="175">
        <v>45860</v>
      </c>
      <c r="B12" s="176" t="s">
        <v>276</v>
      </c>
      <c r="C12" s="177" t="s">
        <v>105</v>
      </c>
      <c r="D12" s="178">
        <v>1270</v>
      </c>
      <c r="E12" s="178">
        <f>D12*10%</f>
        <v>127</v>
      </c>
      <c r="F12" s="178">
        <f t="shared" si="1"/>
        <v>1397</v>
      </c>
      <c r="G12" s="42"/>
      <c r="H12" s="45"/>
      <c r="I12" s="2"/>
      <c r="J12" s="2"/>
      <c r="K12" s="2"/>
      <c r="L12" s="2"/>
      <c r="M12" s="2"/>
    </row>
    <row r="13" spans="1:13" ht="26">
      <c r="A13" s="175">
        <v>45860</v>
      </c>
      <c r="B13" s="176" t="s">
        <v>275</v>
      </c>
      <c r="C13" s="177" t="s">
        <v>105</v>
      </c>
      <c r="D13" s="178">
        <v>0</v>
      </c>
      <c r="E13" s="178">
        <v>-346.5</v>
      </c>
      <c r="F13" s="178">
        <f t="shared" si="1"/>
        <v>-346.5</v>
      </c>
      <c r="G13" s="40"/>
      <c r="H13" s="45"/>
      <c r="I13" s="2"/>
      <c r="J13" s="2"/>
      <c r="K13" s="2"/>
      <c r="L13" s="2"/>
      <c r="M13" s="2"/>
    </row>
    <row r="14" spans="1:13" ht="26">
      <c r="A14" s="599">
        <v>45868</v>
      </c>
      <c r="B14" s="607" t="s">
        <v>309</v>
      </c>
      <c r="C14" s="601" t="s">
        <v>277</v>
      </c>
      <c r="D14" s="608">
        <v>833.33</v>
      </c>
      <c r="E14" s="608">
        <f t="shared" si="0"/>
        <v>166.66600000000003</v>
      </c>
      <c r="F14" s="608">
        <f t="shared" si="1"/>
        <v>999.99600000000009</v>
      </c>
      <c r="G14" s="40"/>
      <c r="H14" s="45"/>
      <c r="I14" s="2"/>
      <c r="J14" s="2"/>
      <c r="K14" s="2"/>
      <c r="L14" s="2"/>
      <c r="M14" s="2"/>
    </row>
    <row r="15" spans="1:13" ht="26">
      <c r="A15" s="175">
        <v>45870</v>
      </c>
      <c r="B15" s="176" t="s">
        <v>310</v>
      </c>
      <c r="C15" s="177" t="s">
        <v>311</v>
      </c>
      <c r="D15" s="178">
        <v>250</v>
      </c>
      <c r="E15" s="178">
        <f t="shared" si="0"/>
        <v>50</v>
      </c>
      <c r="F15" s="178">
        <f t="shared" si="1"/>
        <v>300</v>
      </c>
      <c r="G15" s="40" t="s">
        <v>312</v>
      </c>
      <c r="H15" s="45"/>
      <c r="I15" s="2"/>
      <c r="J15" s="2"/>
      <c r="K15" s="2"/>
      <c r="L15" s="2"/>
      <c r="M15" s="2"/>
    </row>
    <row r="16" spans="1:13" ht="26">
      <c r="A16" s="175">
        <v>45870</v>
      </c>
      <c r="B16" s="176" t="s">
        <v>313</v>
      </c>
      <c r="C16" s="177" t="s">
        <v>314</v>
      </c>
      <c r="D16" s="178">
        <v>3000</v>
      </c>
      <c r="E16" s="178">
        <f t="shared" si="0"/>
        <v>600</v>
      </c>
      <c r="F16" s="178">
        <f t="shared" si="1"/>
        <v>3600</v>
      </c>
      <c r="G16" s="40"/>
      <c r="H16" s="45"/>
      <c r="J16" s="2"/>
      <c r="K16" s="2"/>
      <c r="L16" s="2"/>
      <c r="M16" s="2"/>
    </row>
    <row r="17" spans="1:13" ht="26">
      <c r="A17" s="175">
        <v>45906</v>
      </c>
      <c r="B17" s="176" t="s">
        <v>319</v>
      </c>
      <c r="C17" s="177" t="s">
        <v>314</v>
      </c>
      <c r="D17" s="178">
        <v>2000</v>
      </c>
      <c r="E17" s="178">
        <f t="shared" si="0"/>
        <v>400</v>
      </c>
      <c r="F17" s="178">
        <f t="shared" si="1"/>
        <v>2400</v>
      </c>
      <c r="G17" s="40"/>
      <c r="H17" s="45"/>
      <c r="I17" s="2"/>
      <c r="J17" s="2"/>
      <c r="K17" s="2"/>
      <c r="L17" s="2"/>
      <c r="M17" s="2"/>
    </row>
    <row r="18" spans="1:13" ht="26">
      <c r="A18" s="599">
        <v>45909</v>
      </c>
      <c r="B18" s="607" t="s">
        <v>320</v>
      </c>
      <c r="C18" s="601" t="s">
        <v>315</v>
      </c>
      <c r="D18" s="608">
        <v>833.33</v>
      </c>
      <c r="E18" s="608">
        <f t="shared" si="0"/>
        <v>166.66600000000003</v>
      </c>
      <c r="F18" s="608">
        <f t="shared" si="1"/>
        <v>999.99600000000009</v>
      </c>
      <c r="G18" s="40"/>
      <c r="H18" s="47"/>
      <c r="J18" s="2"/>
      <c r="K18" s="2"/>
      <c r="L18" s="2"/>
      <c r="M18" s="2"/>
    </row>
    <row r="19" spans="1:13" ht="26">
      <c r="A19" s="599">
        <v>45910</v>
      </c>
      <c r="B19" s="607" t="s">
        <v>321</v>
      </c>
      <c r="C19" s="601" t="s">
        <v>277</v>
      </c>
      <c r="D19" s="608">
        <v>550</v>
      </c>
      <c r="E19" s="608">
        <f t="shared" si="0"/>
        <v>110</v>
      </c>
      <c r="F19" s="608">
        <f t="shared" si="1"/>
        <v>660</v>
      </c>
      <c r="G19" s="40"/>
      <c r="H19" s="47"/>
      <c r="I19" s="2"/>
      <c r="J19" s="2"/>
      <c r="K19" s="2"/>
      <c r="L19" s="2"/>
      <c r="M19" s="2"/>
    </row>
    <row r="20" spans="1:13" ht="26">
      <c r="A20" s="175">
        <v>45915</v>
      </c>
      <c r="B20" s="176" t="s">
        <v>323</v>
      </c>
      <c r="C20" s="177" t="s">
        <v>314</v>
      </c>
      <c r="D20" s="178">
        <v>1000</v>
      </c>
      <c r="E20" s="178">
        <f t="shared" si="0"/>
        <v>200</v>
      </c>
      <c r="F20" s="178">
        <f t="shared" si="1"/>
        <v>1200</v>
      </c>
      <c r="G20" s="40"/>
      <c r="H20" s="47"/>
      <c r="I20" s="2"/>
      <c r="J20" s="2"/>
      <c r="K20" s="2"/>
      <c r="L20" s="2"/>
      <c r="M20" s="2"/>
    </row>
    <row r="21" spans="1:13" ht="26">
      <c r="A21" s="599">
        <v>45922</v>
      </c>
      <c r="B21" s="607" t="s">
        <v>330</v>
      </c>
      <c r="C21" s="601" t="s">
        <v>112</v>
      </c>
      <c r="D21" s="608">
        <v>458.33</v>
      </c>
      <c r="E21" s="608">
        <f t="shared" si="0"/>
        <v>91.665999999999997</v>
      </c>
      <c r="F21" s="608">
        <f t="shared" si="1"/>
        <v>549.99599999999998</v>
      </c>
      <c r="G21" s="40"/>
      <c r="H21" s="27"/>
      <c r="I21" s="2"/>
      <c r="J21" s="2"/>
      <c r="K21" s="2"/>
      <c r="L21" s="2"/>
      <c r="M21" s="2"/>
    </row>
    <row r="22" spans="1:13" ht="26">
      <c r="A22" s="175">
        <v>45923</v>
      </c>
      <c r="B22" s="176" t="s">
        <v>331</v>
      </c>
      <c r="C22" s="177" t="s">
        <v>332</v>
      </c>
      <c r="D22" s="178">
        <v>3580.76</v>
      </c>
      <c r="E22" s="178">
        <f t="shared" si="0"/>
        <v>716.15200000000004</v>
      </c>
      <c r="F22" s="178">
        <f t="shared" si="1"/>
        <v>4296.9120000000003</v>
      </c>
      <c r="G22" s="40"/>
      <c r="H22" s="27"/>
      <c r="I22" s="2"/>
      <c r="J22" s="2"/>
      <c r="K22" s="2"/>
      <c r="L22" s="2"/>
      <c r="M22" s="2"/>
    </row>
    <row r="23" spans="1:13" ht="26">
      <c r="A23" s="175">
        <v>45929</v>
      </c>
      <c r="B23" s="176" t="s">
        <v>333</v>
      </c>
      <c r="C23" s="177" t="s">
        <v>334</v>
      </c>
      <c r="D23" s="178">
        <v>150</v>
      </c>
      <c r="E23" s="178">
        <f t="shared" si="0"/>
        <v>30</v>
      </c>
      <c r="F23" s="178">
        <f t="shared" si="1"/>
        <v>180</v>
      </c>
      <c r="G23" s="40"/>
      <c r="H23" s="27"/>
      <c r="I23" s="2"/>
      <c r="J23" s="2"/>
      <c r="K23" s="2"/>
      <c r="L23" s="2"/>
      <c r="M23" s="2"/>
    </row>
    <row r="24" spans="1:13" ht="26">
      <c r="A24" s="175">
        <v>45937</v>
      </c>
      <c r="B24" s="539" t="s">
        <v>434</v>
      </c>
      <c r="C24" s="177" t="s">
        <v>314</v>
      </c>
      <c r="D24" s="178">
        <v>3500</v>
      </c>
      <c r="E24" s="178">
        <v>700</v>
      </c>
      <c r="F24" s="178">
        <f t="shared" si="1"/>
        <v>4200</v>
      </c>
      <c r="G24" s="40"/>
      <c r="H24" s="48"/>
      <c r="I24" s="2"/>
      <c r="J24" s="2"/>
      <c r="K24" s="2"/>
      <c r="L24" s="2"/>
      <c r="M24" s="2"/>
    </row>
    <row r="25" spans="1:13" ht="26">
      <c r="A25" s="175">
        <v>45959</v>
      </c>
      <c r="B25" s="539" t="s">
        <v>516</v>
      </c>
      <c r="C25" s="177" t="s">
        <v>517</v>
      </c>
      <c r="D25" s="178">
        <v>833.33</v>
      </c>
      <c r="E25" s="178">
        <f t="shared" si="0"/>
        <v>166.66600000000003</v>
      </c>
      <c r="F25" s="178">
        <f t="shared" si="1"/>
        <v>999.99600000000009</v>
      </c>
      <c r="G25" s="40"/>
      <c r="H25" s="27"/>
      <c r="I25" s="1"/>
      <c r="J25" s="1"/>
      <c r="K25" s="1"/>
      <c r="L25" s="1"/>
      <c r="M25" s="1"/>
    </row>
    <row r="26" spans="1:13" ht="26">
      <c r="A26" s="599">
        <v>45987</v>
      </c>
      <c r="B26" s="600" t="s">
        <v>518</v>
      </c>
      <c r="C26" s="601" t="s">
        <v>315</v>
      </c>
      <c r="D26" s="608">
        <v>666.67</v>
      </c>
      <c r="E26" s="608">
        <f t="shared" si="0"/>
        <v>133.334</v>
      </c>
      <c r="F26" s="608">
        <f t="shared" si="1"/>
        <v>800.00399999999991</v>
      </c>
      <c r="G26" s="43"/>
      <c r="H26" s="47"/>
      <c r="I26" s="1"/>
      <c r="J26" s="1"/>
      <c r="K26" s="1"/>
      <c r="L26" s="1"/>
      <c r="M26" s="1"/>
    </row>
    <row r="27" spans="1:13" ht="26">
      <c r="A27" s="175">
        <v>45992</v>
      </c>
      <c r="B27" s="539" t="s">
        <v>519</v>
      </c>
      <c r="C27" s="177" t="s">
        <v>314</v>
      </c>
      <c r="D27" s="178">
        <v>2572</v>
      </c>
      <c r="E27" s="178">
        <f t="shared" si="0"/>
        <v>514.4</v>
      </c>
      <c r="F27" s="178">
        <f t="shared" si="1"/>
        <v>3086.4</v>
      </c>
      <c r="G27" s="43"/>
      <c r="H27" s="47"/>
      <c r="I27" s="1"/>
      <c r="J27" s="1"/>
      <c r="K27" s="1"/>
      <c r="L27" s="1"/>
      <c r="M27" s="1"/>
    </row>
    <row r="28" spans="1:13" ht="26">
      <c r="A28" s="175">
        <v>45992</v>
      </c>
      <c r="B28" s="539" t="s">
        <v>520</v>
      </c>
      <c r="C28" s="177" t="s">
        <v>314</v>
      </c>
      <c r="D28" s="178">
        <v>1320</v>
      </c>
      <c r="E28" s="178">
        <f t="shared" ref="E28" si="2">D28*20%</f>
        <v>264</v>
      </c>
      <c r="F28" s="178">
        <f t="shared" ref="F28" si="3">D28+E28</f>
        <v>1584</v>
      </c>
      <c r="G28" s="44"/>
      <c r="H28" s="47"/>
    </row>
    <row r="29" spans="1:13" ht="26">
      <c r="A29" s="175">
        <v>45992</v>
      </c>
      <c r="B29" s="539" t="s">
        <v>521</v>
      </c>
      <c r="C29" s="177" t="s">
        <v>522</v>
      </c>
      <c r="D29" s="178">
        <v>208.33</v>
      </c>
      <c r="E29" s="178">
        <f t="shared" ref="E29" si="4">D29*20%</f>
        <v>41.666000000000004</v>
      </c>
      <c r="F29" s="178">
        <f t="shared" ref="F29" si="5">D29+E29</f>
        <v>249.99600000000001</v>
      </c>
      <c r="G29" s="40" t="s">
        <v>312</v>
      </c>
      <c r="H29" s="47"/>
    </row>
    <row r="30" spans="1:13" ht="26">
      <c r="A30" s="175">
        <v>45992</v>
      </c>
      <c r="B30" s="539" t="s">
        <v>523</v>
      </c>
      <c r="C30" s="177" t="s">
        <v>524</v>
      </c>
      <c r="D30" s="178">
        <v>208.33</v>
      </c>
      <c r="E30" s="178">
        <f t="shared" ref="E30" si="6">D30*20%</f>
        <v>41.666000000000004</v>
      </c>
      <c r="F30" s="178">
        <f t="shared" ref="F30" si="7">D30+E30</f>
        <v>249.99600000000001</v>
      </c>
      <c r="G30" s="40" t="s">
        <v>312</v>
      </c>
      <c r="H30" s="27"/>
    </row>
    <row r="31" spans="1:13" ht="26">
      <c r="A31" s="599">
        <v>45994</v>
      </c>
      <c r="B31" s="600" t="s">
        <v>525</v>
      </c>
      <c r="C31" s="601" t="s">
        <v>107</v>
      </c>
      <c r="D31" s="608">
        <v>1103.3399999999999</v>
      </c>
      <c r="E31" s="608">
        <f t="shared" ref="E31" si="8">D31*20%</f>
        <v>220.66800000000001</v>
      </c>
      <c r="F31" s="608">
        <f t="shared" ref="F31" si="9">D31+E31</f>
        <v>1324.0079999999998</v>
      </c>
      <c r="G31" s="40"/>
      <c r="H31" s="27"/>
    </row>
    <row r="32" spans="1:13" ht="26">
      <c r="A32" s="175">
        <v>45996</v>
      </c>
      <c r="B32" s="539" t="s">
        <v>526</v>
      </c>
      <c r="C32" s="177" t="s">
        <v>277</v>
      </c>
      <c r="D32" s="178">
        <v>1900</v>
      </c>
      <c r="E32" s="178">
        <f t="shared" ref="E32" si="10">D32*20%</f>
        <v>380</v>
      </c>
      <c r="F32" s="178">
        <f t="shared" ref="F32" si="11">D32+E32</f>
        <v>2280</v>
      </c>
      <c r="G32" s="40"/>
      <c r="H32" s="27"/>
    </row>
    <row r="33" spans="1:8" ht="26">
      <c r="A33" s="599">
        <v>46006</v>
      </c>
      <c r="B33" s="600" t="s">
        <v>527</v>
      </c>
      <c r="C33" s="601" t="s">
        <v>179</v>
      </c>
      <c r="D33" s="608">
        <v>458.33</v>
      </c>
      <c r="E33" s="608">
        <f t="shared" ref="E33:E34" si="12">D33*20%</f>
        <v>91.665999999999997</v>
      </c>
      <c r="F33" s="608">
        <f t="shared" ref="F33:F34" si="13">D33+E33</f>
        <v>549.99599999999998</v>
      </c>
      <c r="G33" s="40"/>
      <c r="H33" s="27"/>
    </row>
    <row r="34" spans="1:8" ht="26">
      <c r="A34" s="609">
        <v>46021</v>
      </c>
      <c r="B34" s="610" t="s">
        <v>622</v>
      </c>
      <c r="C34" s="611" t="s">
        <v>517</v>
      </c>
      <c r="D34" s="612">
        <v>666.67</v>
      </c>
      <c r="E34" s="612">
        <f t="shared" si="12"/>
        <v>133.334</v>
      </c>
      <c r="F34" s="612">
        <f t="shared" si="13"/>
        <v>800.00399999999991</v>
      </c>
      <c r="G34" s="541"/>
      <c r="H34" s="27"/>
    </row>
    <row r="35" spans="1:8" ht="26">
      <c r="A35" s="175">
        <v>46028</v>
      </c>
      <c r="B35" s="539" t="s">
        <v>623</v>
      </c>
      <c r="C35" s="177" t="s">
        <v>621</v>
      </c>
      <c r="D35" s="178">
        <v>208.33</v>
      </c>
      <c r="E35" s="178">
        <f>D35*20%</f>
        <v>41.666000000000004</v>
      </c>
      <c r="F35" s="178">
        <f>D35+E35</f>
        <v>249.99600000000001</v>
      </c>
      <c r="G35" s="40" t="s">
        <v>312</v>
      </c>
      <c r="H35" s="27"/>
    </row>
    <row r="36" spans="1:8" ht="26">
      <c r="A36" s="175">
        <v>46048</v>
      </c>
      <c r="B36" s="539" t="s">
        <v>624</v>
      </c>
      <c r="C36" s="177" t="s">
        <v>334</v>
      </c>
      <c r="D36" s="178">
        <v>500</v>
      </c>
      <c r="E36" s="178">
        <f>D36*20%</f>
        <v>100</v>
      </c>
      <c r="F36" s="178">
        <f>D36+E36</f>
        <v>600</v>
      </c>
      <c r="G36" s="40"/>
      <c r="H36" s="27"/>
    </row>
    <row r="37" spans="1:8" ht="26">
      <c r="A37" s="175">
        <v>46044</v>
      </c>
      <c r="B37" s="539" t="s">
        <v>625</v>
      </c>
      <c r="C37" s="177" t="s">
        <v>626</v>
      </c>
      <c r="D37" s="178">
        <v>850</v>
      </c>
      <c r="E37" s="178">
        <f>D37*20%</f>
        <v>170</v>
      </c>
      <c r="F37" s="178">
        <f>D37+E37</f>
        <v>1020</v>
      </c>
      <c r="G37" s="40"/>
      <c r="H37" s="27"/>
    </row>
    <row r="38" spans="1:8" ht="26">
      <c r="A38" s="175">
        <v>46045</v>
      </c>
      <c r="B38" s="539" t="s">
        <v>627</v>
      </c>
      <c r="C38" s="177" t="s">
        <v>314</v>
      </c>
      <c r="D38" s="177">
        <v>975</v>
      </c>
      <c r="E38" s="177">
        <f t="shared" ref="E38:E53" si="14">D38*20%</f>
        <v>195</v>
      </c>
      <c r="F38" s="177">
        <f t="shared" ref="F38:F45" si="15">D38+E38</f>
        <v>1170</v>
      </c>
      <c r="G38" s="44"/>
      <c r="H38" s="27"/>
    </row>
    <row r="39" spans="1:8" ht="26">
      <c r="A39" s="175">
        <v>46045</v>
      </c>
      <c r="B39" s="539" t="s">
        <v>628</v>
      </c>
      <c r="C39" s="177" t="s">
        <v>314</v>
      </c>
      <c r="D39" s="177">
        <v>2400</v>
      </c>
      <c r="E39" s="177">
        <f t="shared" si="14"/>
        <v>480</v>
      </c>
      <c r="F39" s="177">
        <f t="shared" si="15"/>
        <v>2880</v>
      </c>
      <c r="G39" s="40"/>
      <c r="H39" s="27"/>
    </row>
    <row r="40" spans="1:8" ht="26">
      <c r="A40" s="175">
        <v>46045</v>
      </c>
      <c r="B40" s="539" t="s">
        <v>629</v>
      </c>
      <c r="C40" s="177" t="s">
        <v>314</v>
      </c>
      <c r="D40" s="177">
        <v>1488</v>
      </c>
      <c r="E40" s="177">
        <f t="shared" si="14"/>
        <v>297.60000000000002</v>
      </c>
      <c r="F40" s="177">
        <f t="shared" si="15"/>
        <v>1785.6</v>
      </c>
      <c r="G40" s="44"/>
      <c r="H40" s="27"/>
    </row>
    <row r="41" spans="1:8" s="604" customFormat="1" ht="26">
      <c r="A41" s="599">
        <v>46050</v>
      </c>
      <c r="B41" s="600" t="s">
        <v>630</v>
      </c>
      <c r="C41" s="601" t="s">
        <v>198</v>
      </c>
      <c r="D41" s="601">
        <v>625</v>
      </c>
      <c r="E41" s="601">
        <f t="shared" si="14"/>
        <v>125</v>
      </c>
      <c r="F41" s="601">
        <f t="shared" si="15"/>
        <v>750</v>
      </c>
      <c r="G41" s="605"/>
      <c r="H41" s="606"/>
    </row>
    <row r="42" spans="1:8" ht="26">
      <c r="A42" s="175">
        <v>46063</v>
      </c>
      <c r="B42" s="539" t="s">
        <v>631</v>
      </c>
      <c r="C42" s="177" t="s">
        <v>620</v>
      </c>
      <c r="D42" s="177">
        <v>500</v>
      </c>
      <c r="E42" s="177">
        <f t="shared" si="14"/>
        <v>100</v>
      </c>
      <c r="F42" s="177">
        <f t="shared" si="15"/>
        <v>600</v>
      </c>
      <c r="G42" s="31"/>
      <c r="H42" s="1"/>
    </row>
    <row r="43" spans="1:8" ht="26">
      <c r="A43" s="175">
        <v>46063</v>
      </c>
      <c r="B43" s="539" t="s">
        <v>656</v>
      </c>
      <c r="C43" s="177" t="s">
        <v>621</v>
      </c>
      <c r="D43" s="177">
        <v>991.67</v>
      </c>
      <c r="E43" s="177">
        <f t="shared" si="14"/>
        <v>198.334</v>
      </c>
      <c r="F43" s="177">
        <f t="shared" si="15"/>
        <v>1190.0039999999999</v>
      </c>
      <c r="G43" s="30"/>
      <c r="H43" s="1"/>
    </row>
    <row r="44" spans="1:8" ht="26">
      <c r="A44" s="175">
        <v>46095</v>
      </c>
      <c r="B44" s="539" t="s">
        <v>657</v>
      </c>
      <c r="C44" s="177" t="s">
        <v>314</v>
      </c>
      <c r="D44" s="177">
        <v>4531.3</v>
      </c>
      <c r="E44" s="177">
        <f t="shared" si="14"/>
        <v>906.2600000000001</v>
      </c>
      <c r="F44" s="177">
        <f t="shared" si="15"/>
        <v>5437.56</v>
      </c>
      <c r="G44" s="31"/>
      <c r="H44" s="1"/>
    </row>
    <row r="45" spans="1:8" ht="26">
      <c r="A45" s="175">
        <v>46120</v>
      </c>
      <c r="B45" s="539" t="s">
        <v>658</v>
      </c>
      <c r="C45" s="177" t="s">
        <v>314</v>
      </c>
      <c r="D45" s="177">
        <v>5234</v>
      </c>
      <c r="E45" s="177">
        <f t="shared" si="14"/>
        <v>1046.8</v>
      </c>
      <c r="F45" s="177">
        <f t="shared" si="15"/>
        <v>6280.8</v>
      </c>
      <c r="G45" s="30"/>
      <c r="H45" s="1"/>
    </row>
    <row r="46" spans="1:8" ht="26">
      <c r="A46" s="175">
        <v>46125</v>
      </c>
      <c r="B46" s="539" t="s">
        <v>659</v>
      </c>
      <c r="C46" s="177" t="s">
        <v>660</v>
      </c>
      <c r="D46" s="177">
        <v>250</v>
      </c>
      <c r="E46" s="177">
        <f t="shared" si="14"/>
        <v>50</v>
      </c>
      <c r="F46" s="177">
        <f t="shared" ref="F46:F47" si="16">D46+E46</f>
        <v>300</v>
      </c>
      <c r="G46" s="30"/>
      <c r="H46" s="1"/>
    </row>
    <row r="47" spans="1:8" ht="26">
      <c r="A47" s="175">
        <v>46125</v>
      </c>
      <c r="B47" s="539" t="s">
        <v>672</v>
      </c>
      <c r="C47" s="177" t="s">
        <v>443</v>
      </c>
      <c r="D47" s="177">
        <v>2762.5</v>
      </c>
      <c r="E47" s="177">
        <f>D47*10%</f>
        <v>276.25</v>
      </c>
      <c r="F47" s="177">
        <f t="shared" si="16"/>
        <v>3038.75</v>
      </c>
      <c r="G47" s="30"/>
      <c r="H47" s="1"/>
    </row>
    <row r="48" spans="1:8" s="604" customFormat="1" ht="26">
      <c r="A48" s="599">
        <v>46126</v>
      </c>
      <c r="B48" s="600" t="s">
        <v>661</v>
      </c>
      <c r="C48" s="601" t="s">
        <v>277</v>
      </c>
      <c r="D48" s="601">
        <v>666.67</v>
      </c>
      <c r="E48" s="601">
        <f t="shared" si="14"/>
        <v>133.334</v>
      </c>
      <c r="F48" s="601">
        <f t="shared" ref="F48:F55" si="17">D48+E48</f>
        <v>800.00399999999991</v>
      </c>
      <c r="G48" s="602"/>
      <c r="H48" s="603"/>
    </row>
    <row r="49" spans="1:8" ht="26">
      <c r="A49" s="175">
        <v>46112</v>
      </c>
      <c r="B49" s="539" t="s">
        <v>671</v>
      </c>
      <c r="C49" s="177" t="s">
        <v>666</v>
      </c>
      <c r="D49" s="177">
        <v>750</v>
      </c>
      <c r="E49" s="177">
        <f t="shared" ref="E49" si="18">D49*20%</f>
        <v>150</v>
      </c>
      <c r="F49" s="177">
        <f t="shared" ref="F49" si="19">D49+E49</f>
        <v>900</v>
      </c>
      <c r="G49" s="30"/>
      <c r="H49" s="1"/>
    </row>
    <row r="50" spans="1:8" ht="26">
      <c r="A50" s="175">
        <v>46138</v>
      </c>
      <c r="B50" s="539" t="s">
        <v>662</v>
      </c>
      <c r="C50" s="177" t="s">
        <v>663</v>
      </c>
      <c r="D50" s="177">
        <v>2250</v>
      </c>
      <c r="E50" s="177">
        <f t="shared" si="14"/>
        <v>450</v>
      </c>
      <c r="F50" s="177">
        <f>D50+E50</f>
        <v>2700</v>
      </c>
      <c r="G50" s="30"/>
      <c r="H50" s="1"/>
    </row>
    <row r="51" spans="1:8" s="604" customFormat="1" ht="26">
      <c r="A51" s="599">
        <v>46137</v>
      </c>
      <c r="B51" s="600" t="s">
        <v>664</v>
      </c>
      <c r="C51" s="601" t="s">
        <v>237</v>
      </c>
      <c r="D51" s="601">
        <v>666.67</v>
      </c>
      <c r="E51" s="601">
        <f t="shared" si="14"/>
        <v>133.334</v>
      </c>
      <c r="F51" s="601">
        <f t="shared" si="17"/>
        <v>800.00399999999991</v>
      </c>
      <c r="G51" s="602"/>
      <c r="H51" s="603"/>
    </row>
    <row r="52" spans="1:8" ht="26">
      <c r="A52" s="175">
        <v>46153</v>
      </c>
      <c r="B52" s="539" t="s">
        <v>673</v>
      </c>
      <c r="C52" s="177" t="s">
        <v>443</v>
      </c>
      <c r="D52" s="177">
        <v>1912.5</v>
      </c>
      <c r="E52" s="177">
        <f>D52*10%</f>
        <v>191.25</v>
      </c>
      <c r="F52" s="177">
        <f t="shared" si="17"/>
        <v>2103.75</v>
      </c>
      <c r="G52" s="30"/>
      <c r="H52" s="1"/>
    </row>
    <row r="53" spans="1:8" ht="26">
      <c r="A53" s="175">
        <v>46162</v>
      </c>
      <c r="B53" s="539" t="s">
        <v>665</v>
      </c>
      <c r="C53" s="177" t="s">
        <v>666</v>
      </c>
      <c r="D53" s="177">
        <v>1500</v>
      </c>
      <c r="E53" s="177">
        <f t="shared" si="14"/>
        <v>300</v>
      </c>
      <c r="F53" s="177">
        <f t="shared" si="17"/>
        <v>1800</v>
      </c>
      <c r="G53" s="30"/>
      <c r="H53" s="1"/>
    </row>
    <row r="54" spans="1:8" ht="26">
      <c r="A54" s="175">
        <v>46177</v>
      </c>
      <c r="B54" s="539" t="s">
        <v>667</v>
      </c>
      <c r="C54" s="177" t="s">
        <v>314</v>
      </c>
      <c r="D54" s="177">
        <v>4732.71</v>
      </c>
      <c r="E54" s="177">
        <f t="shared" ref="E54:E55" si="20">D54*20%</f>
        <v>946.54200000000003</v>
      </c>
      <c r="F54" s="177">
        <f t="shared" si="17"/>
        <v>5679.2520000000004</v>
      </c>
      <c r="G54" s="30"/>
      <c r="H54" s="1"/>
    </row>
    <row r="55" spans="1:8" s="604" customFormat="1" ht="26">
      <c r="A55" s="599">
        <v>46136</v>
      </c>
      <c r="B55" s="600" t="s">
        <v>668</v>
      </c>
      <c r="C55" s="601" t="s">
        <v>654</v>
      </c>
      <c r="D55" s="601">
        <v>833.33</v>
      </c>
      <c r="E55" s="601">
        <f t="shared" si="20"/>
        <v>166.66600000000003</v>
      </c>
      <c r="F55" s="601">
        <f t="shared" si="17"/>
        <v>999.99600000000009</v>
      </c>
      <c r="G55" s="602"/>
      <c r="H55" s="603"/>
    </row>
    <row r="56" spans="1:8" ht="26">
      <c r="A56" s="175">
        <v>46198</v>
      </c>
      <c r="B56" s="539" t="s">
        <v>669</v>
      </c>
      <c r="C56" s="177" t="s">
        <v>663</v>
      </c>
      <c r="D56" s="177">
        <v>1800</v>
      </c>
      <c r="E56" s="177">
        <f t="shared" ref="E56:E60" si="21">D56*20%</f>
        <v>360</v>
      </c>
      <c r="F56" s="177">
        <f t="shared" ref="F56:F66" si="22">D56+E56</f>
        <v>2160</v>
      </c>
      <c r="G56" s="30"/>
      <c r="H56" s="1"/>
    </row>
    <row r="57" spans="1:8" ht="26">
      <c r="A57" s="175">
        <v>46198</v>
      </c>
      <c r="B57" s="539" t="s">
        <v>670</v>
      </c>
      <c r="C57" s="177" t="s">
        <v>621</v>
      </c>
      <c r="D57" s="177">
        <v>1400</v>
      </c>
      <c r="E57" s="177">
        <f t="shared" si="21"/>
        <v>280</v>
      </c>
      <c r="F57" s="177">
        <f t="shared" si="22"/>
        <v>1680</v>
      </c>
      <c r="G57" s="40"/>
      <c r="H57" s="1"/>
    </row>
    <row r="58" spans="1:8" ht="26">
      <c r="A58" s="175">
        <v>46198</v>
      </c>
      <c r="B58" s="539" t="s">
        <v>674</v>
      </c>
      <c r="C58" s="177" t="s">
        <v>443</v>
      </c>
      <c r="D58" s="177">
        <v>3600</v>
      </c>
      <c r="E58" s="177">
        <f>D58*10%</f>
        <v>360</v>
      </c>
      <c r="F58" s="177">
        <f t="shared" si="22"/>
        <v>3960</v>
      </c>
      <c r="G58" s="30"/>
      <c r="H58" s="1"/>
    </row>
    <row r="59" spans="1:8" ht="26">
      <c r="A59" s="175">
        <v>46199</v>
      </c>
      <c r="B59" s="539" t="s">
        <v>675</v>
      </c>
      <c r="C59" s="177" t="s">
        <v>314</v>
      </c>
      <c r="D59" s="177">
        <v>2907.84</v>
      </c>
      <c r="E59" s="177">
        <f t="shared" si="21"/>
        <v>581.5680000000001</v>
      </c>
      <c r="F59" s="177">
        <f t="shared" si="22"/>
        <v>3489.4080000000004</v>
      </c>
      <c r="G59" s="30"/>
      <c r="H59" s="1"/>
    </row>
    <row r="60" spans="1:8" ht="26">
      <c r="A60" s="175">
        <v>46205</v>
      </c>
      <c r="B60" s="539" t="s">
        <v>680</v>
      </c>
      <c r="C60" s="177" t="s">
        <v>681</v>
      </c>
      <c r="D60" s="177">
        <v>333.33</v>
      </c>
      <c r="E60" s="177">
        <f t="shared" si="21"/>
        <v>66.665999999999997</v>
      </c>
      <c r="F60" s="177">
        <f t="shared" si="22"/>
        <v>399.99599999999998</v>
      </c>
      <c r="G60" s="30"/>
      <c r="H60" s="1"/>
    </row>
    <row r="61" spans="1:8" ht="26">
      <c r="A61" s="179">
        <v>46256</v>
      </c>
      <c r="B61" s="540" t="s">
        <v>682</v>
      </c>
      <c r="C61" s="181" t="s">
        <v>228</v>
      </c>
      <c r="D61" s="181">
        <v>625</v>
      </c>
      <c r="E61" s="181">
        <f t="shared" ref="E61:E67" si="23">D61*20%</f>
        <v>125</v>
      </c>
      <c r="F61" s="181">
        <f t="shared" si="22"/>
        <v>750</v>
      </c>
      <c r="G61" s="30"/>
      <c r="H61" s="1"/>
    </row>
    <row r="62" spans="1:8" ht="26">
      <c r="A62" s="175">
        <v>46231</v>
      </c>
      <c r="B62" s="539" t="s">
        <v>683</v>
      </c>
      <c r="C62" s="177" t="s">
        <v>684</v>
      </c>
      <c r="D62" s="177">
        <v>500</v>
      </c>
      <c r="E62" s="177">
        <f t="shared" si="23"/>
        <v>100</v>
      </c>
      <c r="F62" s="177">
        <f t="shared" si="22"/>
        <v>600</v>
      </c>
      <c r="G62" s="30"/>
      <c r="H62" s="1"/>
    </row>
    <row r="63" spans="1:8" ht="26">
      <c r="A63" s="175">
        <v>46241</v>
      </c>
      <c r="B63" s="539" t="s">
        <v>685</v>
      </c>
      <c r="C63" s="177" t="s">
        <v>515</v>
      </c>
      <c r="D63" s="177">
        <v>2250</v>
      </c>
      <c r="E63" s="177">
        <f t="shared" si="23"/>
        <v>450</v>
      </c>
      <c r="F63" s="177">
        <f t="shared" si="22"/>
        <v>2700</v>
      </c>
      <c r="G63" s="30"/>
      <c r="H63" s="1"/>
    </row>
    <row r="64" spans="1:8" ht="26">
      <c r="A64" s="175">
        <v>46245</v>
      </c>
      <c r="B64" s="539" t="s">
        <v>686</v>
      </c>
      <c r="C64" s="177" t="s">
        <v>687</v>
      </c>
      <c r="D64" s="177">
        <v>1500</v>
      </c>
      <c r="E64" s="177">
        <f t="shared" si="23"/>
        <v>300</v>
      </c>
      <c r="F64" s="177">
        <f t="shared" si="22"/>
        <v>1800</v>
      </c>
      <c r="G64" s="30"/>
      <c r="H64" s="1"/>
    </row>
    <row r="65" spans="1:8" ht="26">
      <c r="A65" s="179"/>
      <c r="B65" s="540" t="s">
        <v>688</v>
      </c>
      <c r="C65" s="181" t="s">
        <v>689</v>
      </c>
      <c r="D65" s="181"/>
      <c r="E65" s="181">
        <f t="shared" si="23"/>
        <v>0</v>
      </c>
      <c r="F65" s="181">
        <f t="shared" si="22"/>
        <v>0</v>
      </c>
      <c r="G65" s="30"/>
      <c r="H65" s="1"/>
    </row>
    <row r="66" spans="1:8" ht="26">
      <c r="A66" s="175"/>
      <c r="B66" s="176"/>
      <c r="C66" s="177"/>
      <c r="D66" s="177"/>
      <c r="E66" s="177">
        <f t="shared" si="23"/>
        <v>0</v>
      </c>
      <c r="F66" s="177">
        <f t="shared" si="22"/>
        <v>0</v>
      </c>
      <c r="G66" s="30"/>
      <c r="H66" s="1"/>
    </row>
    <row r="67" spans="1:8" ht="26">
      <c r="A67" s="179"/>
      <c r="B67" s="180"/>
      <c r="C67" s="181"/>
      <c r="D67" s="177"/>
      <c r="E67" s="177">
        <f t="shared" si="23"/>
        <v>0</v>
      </c>
      <c r="F67" s="177">
        <f t="shared" ref="F67" si="24">D67+E67</f>
        <v>0</v>
      </c>
      <c r="G67" s="30"/>
      <c r="H67" s="1"/>
    </row>
    <row r="68" spans="1:8" ht="24">
      <c r="A68" s="33"/>
      <c r="B68" s="29"/>
      <c r="C68" s="30"/>
      <c r="D68" s="30"/>
      <c r="E68" s="30"/>
      <c r="F68" s="30"/>
      <c r="G68" s="5"/>
      <c r="H68" s="1"/>
    </row>
    <row r="69" spans="1:8" ht="24">
      <c r="A69" s="33"/>
      <c r="B69" s="29"/>
      <c r="C69" s="30"/>
      <c r="D69" s="30"/>
      <c r="E69" s="30"/>
      <c r="F69" s="30"/>
      <c r="G69" s="5"/>
      <c r="H69" s="1"/>
    </row>
    <row r="70" spans="1:8" ht="24">
      <c r="A70" s="49"/>
      <c r="B70" s="50"/>
      <c r="C70" s="51"/>
      <c r="D70" s="30"/>
      <c r="E70" s="30"/>
      <c r="F70" s="30"/>
      <c r="H70" s="1"/>
    </row>
    <row r="71" spans="1:8" ht="19">
      <c r="A71" s="35"/>
      <c r="B71" s="3"/>
      <c r="C71" s="4"/>
      <c r="D71" s="4"/>
      <c r="E71" s="4"/>
      <c r="F71" s="4"/>
      <c r="G71" s="5"/>
      <c r="H71" s="1"/>
    </row>
    <row r="72" spans="1:8" ht="19">
      <c r="A72" s="35"/>
      <c r="B72" s="3"/>
      <c r="C72" s="4"/>
      <c r="D72" s="4"/>
      <c r="E72" s="4"/>
      <c r="F72" s="4"/>
      <c r="G72" s="5"/>
      <c r="H72" s="1"/>
    </row>
    <row r="73" spans="1:8" ht="19">
      <c r="A73" s="37"/>
      <c r="B73" s="8"/>
      <c r="C73" s="9"/>
      <c r="D73" s="9"/>
      <c r="E73" s="9"/>
      <c r="F73" s="9"/>
      <c r="G73" s="5"/>
      <c r="H73" s="1"/>
    </row>
    <row r="74" spans="1:8" ht="19">
      <c r="A74" s="36"/>
      <c r="B74" s="6"/>
      <c r="C74" s="7"/>
      <c r="D74" s="7"/>
      <c r="E74" s="7"/>
      <c r="F74" s="7"/>
      <c r="G74" s="5"/>
      <c r="H74" s="1"/>
    </row>
    <row r="75" spans="1:8" ht="19">
      <c r="A75" s="36"/>
      <c r="B75" s="6"/>
      <c r="C75" s="7"/>
      <c r="D75" s="7"/>
      <c r="E75" s="7"/>
      <c r="F75" s="7"/>
      <c r="G75" s="5"/>
      <c r="H75" s="1"/>
    </row>
    <row r="76" spans="1:8" ht="19">
      <c r="A76" s="36"/>
      <c r="B76" s="6"/>
      <c r="C76" s="7"/>
      <c r="D76" s="7"/>
      <c r="E76" s="7"/>
      <c r="F76" s="7"/>
      <c r="G76" s="5"/>
      <c r="H76" s="1"/>
    </row>
    <row r="77" spans="1:8" ht="19">
      <c r="A77" s="38"/>
      <c r="B77" s="14"/>
      <c r="C77" s="15"/>
      <c r="D77" s="15"/>
      <c r="E77" s="15"/>
      <c r="F77" s="15"/>
      <c r="G77" s="5"/>
      <c r="H77" s="1"/>
    </row>
    <row r="78" spans="1:8" ht="19">
      <c r="A78" s="36"/>
      <c r="B78" s="6"/>
      <c r="C78" s="7"/>
      <c r="D78" s="7"/>
      <c r="E78" s="7"/>
      <c r="F78" s="7"/>
      <c r="G78" s="5"/>
      <c r="H78" s="1"/>
    </row>
    <row r="79" spans="1:8" ht="16">
      <c r="H79" s="1"/>
    </row>
    <row r="80" spans="1:8" ht="16">
      <c r="H80" s="1"/>
    </row>
    <row r="81" spans="1:8" ht="16">
      <c r="H81" s="1"/>
    </row>
    <row r="82" spans="1:8" ht="16">
      <c r="H82" s="1"/>
    </row>
    <row r="83" spans="1:8" ht="16">
      <c r="H83" s="1"/>
    </row>
    <row r="84" spans="1:8" ht="16">
      <c r="H84" s="17"/>
    </row>
    <row r="85" spans="1:8" ht="16">
      <c r="H85" s="1"/>
    </row>
    <row r="86" spans="1:8" ht="16">
      <c r="H86" s="17"/>
    </row>
    <row r="87" spans="1:8" ht="16">
      <c r="H87" s="1"/>
    </row>
    <row r="88" spans="1:8" ht="16">
      <c r="H88" s="18"/>
    </row>
    <row r="89" spans="1:8" ht="16">
      <c r="H89" s="18"/>
    </row>
    <row r="90" spans="1:8" ht="16">
      <c r="H90" s="17"/>
    </row>
    <row r="91" spans="1:8" ht="16">
      <c r="H91" s="1"/>
    </row>
    <row r="92" spans="1:8" ht="16">
      <c r="A92" s="34"/>
      <c r="B92" s="12"/>
      <c r="C92" s="1"/>
      <c r="D92" s="11"/>
      <c r="E92" s="1"/>
      <c r="F92" s="1"/>
      <c r="G92" s="13"/>
      <c r="H92" s="1"/>
    </row>
    <row r="93" spans="1:8" ht="16">
      <c r="A93" s="34"/>
      <c r="B93" s="12"/>
      <c r="C93" s="1"/>
      <c r="D93" s="11"/>
      <c r="E93" s="1"/>
      <c r="F93" s="1"/>
      <c r="G93" s="13"/>
      <c r="H93" s="1"/>
    </row>
    <row r="94" spans="1:8" ht="16">
      <c r="A94" s="34"/>
      <c r="B94" s="12"/>
      <c r="C94" s="1"/>
      <c r="D94" s="11"/>
      <c r="E94" s="1"/>
      <c r="F94" s="1"/>
      <c r="G94" s="13"/>
      <c r="H94" s="1"/>
    </row>
    <row r="95" spans="1:8" ht="16">
      <c r="A95" s="34"/>
      <c r="B95" s="12"/>
      <c r="C95" s="1"/>
      <c r="D95" s="11"/>
      <c r="E95" s="1"/>
      <c r="F95" s="1"/>
      <c r="G95" s="13"/>
      <c r="H95" s="1"/>
    </row>
    <row r="96" spans="1:8" ht="16">
      <c r="A96" s="34"/>
      <c r="B96" s="12"/>
      <c r="C96" s="1"/>
      <c r="D96" s="11"/>
      <c r="E96" s="1"/>
      <c r="F96" s="1"/>
      <c r="G96" s="13"/>
      <c r="H96" s="1"/>
    </row>
    <row r="97" spans="1:8" ht="16">
      <c r="A97" s="34"/>
      <c r="B97" s="12"/>
      <c r="C97" s="1"/>
      <c r="D97" s="11"/>
      <c r="E97" s="1"/>
      <c r="F97" s="1"/>
      <c r="G97" s="13"/>
      <c r="H97" s="1"/>
    </row>
    <row r="98" spans="1:8" ht="16">
      <c r="A98" s="34"/>
      <c r="B98" s="12"/>
      <c r="C98" s="1"/>
      <c r="D98" s="11"/>
      <c r="E98" s="1"/>
      <c r="F98" s="1"/>
      <c r="G98" s="13"/>
      <c r="H98" s="1"/>
    </row>
    <row r="99" spans="1:8" ht="16">
      <c r="A99" s="34"/>
      <c r="B99" s="12"/>
      <c r="C99" s="1"/>
      <c r="D99" s="11"/>
      <c r="E99" s="1"/>
      <c r="F99" s="1"/>
      <c r="G99" s="13"/>
      <c r="H99" s="1"/>
    </row>
    <row r="100" spans="1:8" ht="16">
      <c r="A100" s="34"/>
      <c r="B100" s="12"/>
      <c r="C100" s="1"/>
      <c r="D100" s="11"/>
      <c r="E100" s="1"/>
      <c r="F100" s="1"/>
      <c r="G100" s="13"/>
      <c r="H100" s="18"/>
    </row>
    <row r="101" spans="1:8" ht="16">
      <c r="A101" s="34"/>
      <c r="B101" s="12"/>
      <c r="C101" s="1"/>
      <c r="D101" s="11"/>
      <c r="E101" s="1"/>
      <c r="F101" s="1"/>
      <c r="G101" s="13"/>
      <c r="H101" s="18"/>
    </row>
    <row r="102" spans="1:8" ht="16">
      <c r="A102" s="34"/>
      <c r="B102" s="12"/>
      <c r="C102" s="1"/>
      <c r="D102" s="11"/>
      <c r="E102" s="1"/>
      <c r="F102" s="1"/>
      <c r="G102" s="13"/>
      <c r="H102" s="1"/>
    </row>
    <row r="103" spans="1:8" ht="16">
      <c r="A103" s="34"/>
      <c r="B103" s="12"/>
      <c r="C103" s="1"/>
      <c r="D103" s="11"/>
      <c r="E103" s="1"/>
      <c r="F103" s="1"/>
      <c r="G103" s="13"/>
      <c r="H103" s="1"/>
    </row>
    <row r="104" spans="1:8" ht="16">
      <c r="A104" s="34"/>
      <c r="B104" s="12"/>
      <c r="C104" s="1"/>
      <c r="D104" s="11"/>
      <c r="E104" s="1"/>
      <c r="F104" s="1"/>
      <c r="G104" s="13"/>
      <c r="H104" s="1"/>
    </row>
    <row r="105" spans="1:8" ht="16">
      <c r="A105" s="34"/>
      <c r="B105" s="12"/>
      <c r="C105" s="1"/>
      <c r="D105" s="11"/>
      <c r="E105" s="1"/>
      <c r="F105" s="1"/>
      <c r="G105" s="13"/>
      <c r="H105" s="1"/>
    </row>
    <row r="106" spans="1:8" ht="16">
      <c r="A106" s="34"/>
      <c r="B106" s="12"/>
      <c r="C106" s="1"/>
      <c r="D106" s="11"/>
      <c r="E106" s="1"/>
      <c r="F106" s="1"/>
      <c r="G106" s="13"/>
      <c r="H106" s="1"/>
    </row>
    <row r="107" spans="1:8" ht="15.75" customHeight="1">
      <c r="A107" s="34"/>
      <c r="B107" s="12"/>
      <c r="C107" s="1"/>
      <c r="D107" s="11"/>
      <c r="E107" s="1"/>
      <c r="F107" s="1"/>
      <c r="G107" s="13"/>
      <c r="H107" s="1"/>
    </row>
    <row r="108" spans="1:8" ht="15.75" customHeight="1">
      <c r="A108" s="34"/>
      <c r="B108" s="12"/>
      <c r="C108" s="1"/>
      <c r="D108" s="11"/>
      <c r="E108" s="1"/>
      <c r="F108" s="1"/>
      <c r="G108" s="13"/>
      <c r="H108" s="16"/>
    </row>
    <row r="109" spans="1:8" ht="15.75" customHeight="1">
      <c r="A109" s="34"/>
      <c r="B109" s="12"/>
      <c r="C109" s="1"/>
      <c r="D109" s="11"/>
      <c r="E109" s="1"/>
      <c r="F109" s="1"/>
      <c r="G109" s="13"/>
      <c r="H109" s="16"/>
    </row>
    <row r="110" spans="1:8" ht="15.75" customHeight="1">
      <c r="A110" s="34"/>
      <c r="B110" s="12"/>
      <c r="C110" s="1"/>
      <c r="D110" s="11"/>
      <c r="E110" s="1"/>
      <c r="F110" s="1"/>
      <c r="G110" s="13"/>
      <c r="H110" s="16"/>
    </row>
    <row r="111" spans="1:8" ht="15.75" customHeight="1">
      <c r="A111" s="34"/>
      <c r="B111" s="12"/>
      <c r="C111" s="1"/>
      <c r="D111" s="11"/>
      <c r="E111" s="1"/>
      <c r="F111" s="1"/>
      <c r="G111" s="13"/>
      <c r="H111" s="1"/>
    </row>
    <row r="112" spans="1:8" ht="15.75" customHeight="1">
      <c r="A112" s="34"/>
      <c r="B112" s="12"/>
      <c r="C112" s="1"/>
      <c r="D112" s="11"/>
      <c r="E112" s="1"/>
      <c r="F112" s="1"/>
      <c r="G112" s="13"/>
      <c r="H112" s="1"/>
    </row>
    <row r="113" spans="1:8" ht="15.75" customHeight="1">
      <c r="A113" s="34"/>
      <c r="B113" s="12"/>
      <c r="C113" s="1"/>
      <c r="D113" s="11"/>
      <c r="E113" s="1"/>
      <c r="F113" s="1"/>
      <c r="G113" s="13"/>
      <c r="H113" s="1"/>
    </row>
    <row r="114" spans="1:8" ht="15.75" customHeight="1">
      <c r="A114" s="34"/>
      <c r="B114" s="12"/>
      <c r="C114" s="1"/>
      <c r="D114" s="11"/>
      <c r="E114" s="1"/>
      <c r="F114" s="1"/>
      <c r="G114" s="13"/>
      <c r="H114" s="1"/>
    </row>
    <row r="115" spans="1:8" ht="15.75" customHeight="1">
      <c r="A115" s="34"/>
      <c r="B115" s="12"/>
      <c r="C115" s="1"/>
      <c r="D115" s="11"/>
      <c r="E115" s="1"/>
      <c r="F115" s="1"/>
      <c r="G115" s="13"/>
      <c r="H115" s="1"/>
    </row>
    <row r="116" spans="1:8" ht="15.75" customHeight="1">
      <c r="A116" s="34"/>
      <c r="B116" s="12"/>
      <c r="C116" s="1"/>
      <c r="D116" s="11"/>
      <c r="E116" s="1"/>
      <c r="F116" s="1"/>
      <c r="G116" s="13"/>
      <c r="H116" s="1"/>
    </row>
    <row r="117" spans="1:8" ht="15.75" customHeight="1">
      <c r="A117" s="34"/>
      <c r="B117" s="12"/>
      <c r="C117" s="1"/>
      <c r="D117" s="11"/>
      <c r="E117" s="1"/>
      <c r="F117" s="1"/>
      <c r="G117" s="13"/>
      <c r="H117" s="1"/>
    </row>
    <row r="118" spans="1:8" ht="15.75" customHeight="1">
      <c r="A118" s="34"/>
      <c r="B118" s="12"/>
      <c r="C118" s="1"/>
      <c r="D118" s="11"/>
      <c r="E118" s="1"/>
      <c r="F118" s="1"/>
      <c r="G118" s="13"/>
      <c r="H118" s="1"/>
    </row>
    <row r="119" spans="1:8" ht="15.75" customHeight="1">
      <c r="A119" s="34"/>
      <c r="B119" s="12"/>
      <c r="C119" s="1"/>
      <c r="D119" s="11"/>
      <c r="E119" s="1"/>
      <c r="F119" s="1"/>
      <c r="G119" s="13"/>
      <c r="H119" s="1"/>
    </row>
    <row r="120" spans="1:8" ht="15.75" customHeight="1">
      <c r="A120" s="34"/>
      <c r="B120" s="12"/>
      <c r="C120" s="1"/>
      <c r="D120" s="11"/>
      <c r="E120" s="1"/>
      <c r="F120" s="1"/>
      <c r="G120" s="13"/>
      <c r="H120" s="1"/>
    </row>
    <row r="121" spans="1:8" ht="15.75" customHeight="1">
      <c r="A121" s="34"/>
      <c r="B121" s="12"/>
      <c r="C121" s="1"/>
      <c r="D121" s="11"/>
      <c r="E121" s="1"/>
      <c r="F121" s="1"/>
      <c r="G121" s="13"/>
      <c r="H121" s="1"/>
    </row>
    <row r="122" spans="1:8" ht="15.75" customHeight="1">
      <c r="A122" s="34"/>
      <c r="B122" s="12"/>
      <c r="C122" s="1"/>
      <c r="D122" s="11"/>
      <c r="E122" s="1"/>
      <c r="F122" s="1"/>
      <c r="G122" s="13"/>
      <c r="H122" s="1"/>
    </row>
    <row r="123" spans="1:8" ht="15.75" customHeight="1">
      <c r="A123" s="34"/>
      <c r="B123" s="12"/>
      <c r="C123" s="1"/>
      <c r="D123" s="11"/>
      <c r="E123" s="1"/>
      <c r="F123" s="1"/>
      <c r="G123" s="13"/>
      <c r="H123" s="1"/>
    </row>
    <row r="124" spans="1:8" ht="15.75" customHeight="1">
      <c r="A124" s="34"/>
      <c r="B124" s="12"/>
      <c r="C124" s="1"/>
      <c r="D124" s="11"/>
      <c r="E124" s="1"/>
      <c r="F124" s="1"/>
      <c r="G124" s="13"/>
      <c r="H124" s="1"/>
    </row>
    <row r="125" spans="1:8" ht="15.75" customHeight="1">
      <c r="A125" s="34"/>
      <c r="B125" s="12"/>
      <c r="C125" s="1"/>
      <c r="D125" s="11"/>
      <c r="E125" s="1"/>
      <c r="F125" s="1"/>
      <c r="G125" s="13"/>
      <c r="H125" s="1"/>
    </row>
    <row r="126" spans="1:8" ht="15.75" customHeight="1">
      <c r="A126" s="34"/>
      <c r="B126" s="12"/>
      <c r="C126" s="1"/>
      <c r="D126" s="11"/>
      <c r="E126" s="1"/>
      <c r="F126" s="1"/>
      <c r="G126" s="13"/>
      <c r="H126" s="1"/>
    </row>
    <row r="127" spans="1:8" ht="15.75" customHeight="1">
      <c r="A127" s="34"/>
      <c r="B127" s="12"/>
      <c r="C127" s="1"/>
      <c r="D127" s="11"/>
      <c r="E127" s="1"/>
      <c r="F127" s="1"/>
      <c r="G127" s="13"/>
      <c r="H127" s="1"/>
    </row>
    <row r="128" spans="1:8" ht="15.75" customHeight="1">
      <c r="A128" s="34"/>
      <c r="B128" s="12"/>
      <c r="C128" s="1"/>
      <c r="D128" s="11"/>
      <c r="E128" s="1"/>
      <c r="F128" s="1"/>
      <c r="G128" s="19"/>
      <c r="H128" s="1"/>
    </row>
    <row r="129" spans="1:8" ht="15.75" customHeight="1">
      <c r="A129" s="34"/>
      <c r="B129" s="12"/>
      <c r="C129" s="1"/>
      <c r="D129" s="11"/>
      <c r="E129" s="1"/>
      <c r="F129" s="1"/>
      <c r="G129" s="13"/>
      <c r="H129" s="1"/>
    </row>
    <row r="130" spans="1:8" ht="15.75" customHeight="1">
      <c r="A130" s="34"/>
      <c r="B130" s="12"/>
      <c r="C130" s="1"/>
      <c r="D130" s="11"/>
      <c r="E130" s="1"/>
      <c r="F130" s="1"/>
      <c r="G130" s="19"/>
      <c r="H130" s="1"/>
    </row>
    <row r="131" spans="1:8" ht="15.75" customHeight="1">
      <c r="A131" s="34"/>
      <c r="B131" s="12"/>
      <c r="C131" s="1"/>
      <c r="D131" s="11"/>
      <c r="E131" s="1"/>
      <c r="F131" s="1"/>
      <c r="G131" s="13"/>
      <c r="H131" s="1"/>
    </row>
    <row r="132" spans="1:8" ht="15.75" customHeight="1">
      <c r="A132" s="34"/>
      <c r="B132" s="12"/>
      <c r="C132" s="1"/>
      <c r="D132" s="11"/>
      <c r="E132" s="1"/>
      <c r="F132" s="1"/>
      <c r="G132" s="20"/>
      <c r="H132" s="1"/>
    </row>
    <row r="133" spans="1:8" ht="15.75" customHeight="1">
      <c r="A133" s="34"/>
      <c r="B133" s="12"/>
      <c r="C133" s="1"/>
      <c r="D133" s="11"/>
      <c r="E133" s="1"/>
      <c r="F133" s="1"/>
      <c r="G133" s="20"/>
      <c r="H133" s="1"/>
    </row>
    <row r="134" spans="1:8" ht="15.75" customHeight="1">
      <c r="A134" s="34"/>
      <c r="B134" s="12"/>
      <c r="C134" s="1"/>
      <c r="D134" s="11"/>
      <c r="E134" s="1"/>
      <c r="F134" s="1"/>
      <c r="G134" s="19"/>
      <c r="H134" s="1"/>
    </row>
    <row r="135" spans="1:8" ht="15.75" customHeight="1">
      <c r="A135" s="34"/>
      <c r="B135" s="12"/>
      <c r="C135" s="1"/>
      <c r="D135" s="11"/>
      <c r="E135" s="1"/>
      <c r="F135" s="1"/>
      <c r="G135" s="13"/>
      <c r="H135" s="1"/>
    </row>
    <row r="136" spans="1:8" ht="15.75" customHeight="1">
      <c r="A136" s="34"/>
      <c r="B136" s="12"/>
      <c r="C136" s="1"/>
      <c r="D136" s="11"/>
      <c r="E136" s="1"/>
      <c r="F136" s="1"/>
      <c r="G136" s="13"/>
      <c r="H136" s="1"/>
    </row>
    <row r="137" spans="1:8" ht="15.75" customHeight="1">
      <c r="A137" s="34"/>
      <c r="B137" s="12"/>
      <c r="C137" s="1"/>
      <c r="D137" s="11"/>
      <c r="E137" s="1"/>
      <c r="F137" s="1"/>
      <c r="G137" s="13"/>
      <c r="H137" s="1"/>
    </row>
    <row r="138" spans="1:8" ht="15.75" customHeight="1">
      <c r="A138" s="34"/>
      <c r="B138" s="12"/>
      <c r="C138" s="1"/>
      <c r="D138" s="11"/>
      <c r="E138" s="1"/>
      <c r="F138" s="1"/>
      <c r="G138" s="13"/>
      <c r="H138" s="1"/>
    </row>
    <row r="139" spans="1:8" ht="15.75" customHeight="1">
      <c r="A139" s="34"/>
      <c r="B139" s="12"/>
      <c r="C139" s="1"/>
      <c r="D139" s="11"/>
      <c r="E139" s="1"/>
      <c r="F139" s="1"/>
      <c r="G139" s="13"/>
      <c r="H139" s="16"/>
    </row>
    <row r="140" spans="1:8" ht="15.75" customHeight="1">
      <c r="A140" s="34"/>
      <c r="B140" s="12"/>
      <c r="C140" s="1"/>
      <c r="D140" s="11"/>
      <c r="E140" s="1"/>
      <c r="F140" s="1"/>
      <c r="G140" s="13"/>
      <c r="H140" s="1"/>
    </row>
    <row r="141" spans="1:8" ht="15.75" customHeight="1">
      <c r="A141" s="34"/>
      <c r="B141" s="12"/>
      <c r="C141" s="1"/>
      <c r="D141" s="11"/>
      <c r="E141" s="1"/>
      <c r="F141" s="1"/>
      <c r="G141" s="13"/>
      <c r="H141" s="1"/>
    </row>
    <row r="142" spans="1:8" ht="15.75" customHeight="1">
      <c r="A142" s="34"/>
      <c r="B142" s="12"/>
      <c r="C142" s="1"/>
      <c r="D142" s="11"/>
      <c r="E142" s="1"/>
      <c r="F142" s="1"/>
      <c r="G142" s="13"/>
      <c r="H142" s="1"/>
    </row>
    <row r="143" spans="1:8" ht="15.75" customHeight="1">
      <c r="A143" s="34"/>
      <c r="B143" s="12"/>
      <c r="C143" s="1"/>
      <c r="D143" s="11"/>
      <c r="E143" s="1"/>
      <c r="F143" s="1"/>
      <c r="G143" s="13"/>
      <c r="H143" s="16"/>
    </row>
    <row r="144" spans="1:8" ht="15.75" customHeight="1">
      <c r="A144" s="34"/>
      <c r="B144" s="12"/>
      <c r="C144" s="1"/>
      <c r="D144" s="11"/>
      <c r="E144" s="1"/>
      <c r="F144" s="1"/>
      <c r="G144" s="20"/>
      <c r="H144" s="16"/>
    </row>
    <row r="145" spans="1:8" ht="15.75" customHeight="1">
      <c r="A145" s="34"/>
      <c r="B145" s="12"/>
      <c r="C145" s="1"/>
      <c r="D145" s="11"/>
      <c r="E145" s="1"/>
      <c r="F145" s="1"/>
      <c r="G145" s="20"/>
      <c r="H145" s="16"/>
    </row>
    <row r="146" spans="1:8" ht="15.75" customHeight="1">
      <c r="A146" s="34"/>
      <c r="B146" s="12"/>
      <c r="C146" s="1"/>
      <c r="D146" s="11"/>
      <c r="E146" s="1"/>
      <c r="F146" s="1"/>
      <c r="G146" s="13"/>
      <c r="H146" s="1"/>
    </row>
    <row r="147" spans="1:8" ht="15.75" customHeight="1">
      <c r="A147" s="34"/>
      <c r="B147" s="12"/>
      <c r="C147" s="1"/>
      <c r="D147" s="11"/>
      <c r="E147" s="1"/>
      <c r="F147" s="1"/>
      <c r="G147" s="13"/>
      <c r="H147" s="1"/>
    </row>
    <row r="148" spans="1:8" ht="15.75" customHeight="1">
      <c r="A148" s="34"/>
      <c r="B148" s="12"/>
      <c r="C148" s="1"/>
      <c r="D148" s="11"/>
      <c r="E148" s="1"/>
      <c r="F148" s="1"/>
      <c r="G148" s="13"/>
      <c r="H148" s="1"/>
    </row>
    <row r="149" spans="1:8" ht="15.75" customHeight="1">
      <c r="A149" s="34"/>
      <c r="B149" s="12"/>
      <c r="C149" s="1"/>
      <c r="D149" s="11"/>
      <c r="E149" s="1"/>
      <c r="F149" s="1"/>
      <c r="G149" s="13"/>
      <c r="H149" s="1"/>
    </row>
    <row r="150" spans="1:8" ht="15.75" customHeight="1">
      <c r="A150" s="34"/>
      <c r="B150" s="12"/>
      <c r="C150" s="1"/>
      <c r="D150" s="11"/>
      <c r="E150" s="1"/>
      <c r="F150" s="1"/>
      <c r="G150" s="13"/>
      <c r="H150" s="1"/>
    </row>
    <row r="151" spans="1:8" ht="15.75" customHeight="1">
      <c r="A151" s="34"/>
      <c r="B151" s="12"/>
      <c r="C151" s="1"/>
      <c r="D151" s="11"/>
      <c r="E151" s="1"/>
      <c r="F151" s="1"/>
      <c r="G151" s="13"/>
      <c r="H151" s="1"/>
    </row>
    <row r="152" spans="1:8" ht="15.75" customHeight="1">
      <c r="A152" s="34"/>
      <c r="B152" s="12"/>
      <c r="C152" s="1"/>
      <c r="D152" s="11"/>
      <c r="E152" s="1"/>
      <c r="F152" s="1"/>
      <c r="G152" s="13"/>
      <c r="H152" s="1"/>
    </row>
    <row r="153" spans="1:8" ht="15.75" customHeight="1">
      <c r="A153" s="34"/>
      <c r="B153" s="12"/>
      <c r="C153" s="1"/>
      <c r="D153" s="11"/>
      <c r="E153" s="1"/>
      <c r="F153" s="1"/>
      <c r="G153" s="13"/>
      <c r="H153" s="1"/>
    </row>
    <row r="154" spans="1:8" ht="15.75" customHeight="1">
      <c r="A154" s="34"/>
      <c r="B154" s="12"/>
      <c r="C154" s="1"/>
      <c r="D154" s="11"/>
      <c r="E154" s="1"/>
      <c r="F154" s="1"/>
      <c r="G154" s="13"/>
      <c r="H154" s="1"/>
    </row>
    <row r="155" spans="1:8" ht="15.75" customHeight="1">
      <c r="A155" s="34"/>
      <c r="B155" s="12"/>
      <c r="C155" s="1"/>
      <c r="D155" s="11"/>
      <c r="E155" s="1"/>
      <c r="F155" s="1"/>
      <c r="G155" s="13"/>
      <c r="H155" s="1"/>
    </row>
    <row r="156" spans="1:8" ht="15.75" customHeight="1">
      <c r="A156" s="34"/>
      <c r="B156" s="12"/>
      <c r="C156" s="1"/>
      <c r="D156" s="11"/>
      <c r="E156" s="1"/>
      <c r="F156" s="1"/>
      <c r="G156" s="13"/>
      <c r="H156" s="1"/>
    </row>
    <row r="157" spans="1:8" ht="15.75" customHeight="1">
      <c r="A157" s="34"/>
      <c r="B157" s="12"/>
      <c r="C157" s="1"/>
      <c r="D157" s="11"/>
      <c r="E157" s="1"/>
      <c r="F157" s="1"/>
      <c r="G157" s="13"/>
      <c r="H157" s="1"/>
    </row>
    <row r="158" spans="1:8" ht="15.75" customHeight="1">
      <c r="A158" s="34"/>
      <c r="B158" s="12"/>
      <c r="C158" s="1"/>
      <c r="D158" s="11"/>
      <c r="E158" s="1"/>
      <c r="F158" s="1"/>
      <c r="G158" s="13"/>
      <c r="H158" s="1"/>
    </row>
    <row r="159" spans="1:8" ht="15.75" customHeight="1">
      <c r="A159" s="34"/>
      <c r="B159" s="12"/>
      <c r="C159" s="1"/>
      <c r="D159" s="11"/>
      <c r="E159" s="1"/>
      <c r="F159" s="1"/>
      <c r="G159" s="13"/>
      <c r="H159" s="1"/>
    </row>
    <row r="160" spans="1:8" ht="15.75" customHeight="1">
      <c r="A160" s="34"/>
      <c r="B160" s="12"/>
      <c r="C160" s="1"/>
      <c r="D160" s="11"/>
      <c r="E160" s="1"/>
      <c r="F160" s="1"/>
      <c r="G160" s="13"/>
      <c r="H160" s="1"/>
    </row>
    <row r="161" spans="1:8" ht="15.75" customHeight="1">
      <c r="A161" s="34"/>
      <c r="B161" s="12"/>
      <c r="C161" s="1"/>
      <c r="D161" s="11"/>
      <c r="E161" s="1"/>
      <c r="F161" s="1"/>
      <c r="G161" s="13"/>
      <c r="H161" s="1"/>
    </row>
    <row r="162" spans="1:8" ht="15.75" customHeight="1">
      <c r="A162" s="34"/>
      <c r="B162" s="12"/>
      <c r="C162" s="1"/>
      <c r="D162" s="11"/>
      <c r="E162" s="1"/>
      <c r="F162" s="1"/>
      <c r="G162" s="13"/>
      <c r="H162" s="1"/>
    </row>
    <row r="163" spans="1:8" ht="15.75" customHeight="1">
      <c r="A163" s="34"/>
      <c r="B163" s="12"/>
      <c r="C163" s="1"/>
      <c r="D163" s="11"/>
      <c r="E163" s="1"/>
      <c r="F163" s="1"/>
      <c r="G163" s="13"/>
      <c r="H163" s="1"/>
    </row>
    <row r="164" spans="1:8" ht="15.75" customHeight="1">
      <c r="A164" s="34"/>
      <c r="B164" s="12"/>
      <c r="C164" s="1"/>
      <c r="D164" s="11"/>
      <c r="E164" s="1"/>
      <c r="F164" s="1"/>
      <c r="G164" s="13"/>
      <c r="H164" s="1"/>
    </row>
    <row r="165" spans="1:8" ht="15.75" customHeight="1">
      <c r="A165" s="34"/>
      <c r="B165" s="12"/>
      <c r="C165" s="1"/>
      <c r="D165" s="11"/>
      <c r="E165" s="1"/>
      <c r="F165" s="1"/>
      <c r="G165" s="13"/>
      <c r="H165" s="1"/>
    </row>
    <row r="166" spans="1:8" ht="15.75" customHeight="1">
      <c r="A166" s="34"/>
      <c r="B166" s="12"/>
      <c r="C166" s="1"/>
      <c r="D166" s="11"/>
      <c r="E166" s="1"/>
      <c r="F166" s="1"/>
      <c r="G166" s="13"/>
      <c r="H166" s="1"/>
    </row>
    <row r="167" spans="1:8" ht="15.75" customHeight="1">
      <c r="A167" s="34"/>
      <c r="B167" s="12"/>
      <c r="C167" s="1"/>
      <c r="D167" s="11"/>
      <c r="E167" s="1"/>
      <c r="F167" s="1"/>
      <c r="G167" s="13"/>
      <c r="H167" s="1"/>
    </row>
    <row r="168" spans="1:8" ht="15.75" customHeight="1">
      <c r="A168" s="34"/>
      <c r="B168" s="12"/>
      <c r="C168" s="1"/>
      <c r="D168" s="11"/>
      <c r="E168" s="1"/>
      <c r="F168" s="1"/>
      <c r="G168" s="13"/>
      <c r="H168" s="1"/>
    </row>
    <row r="169" spans="1:8" ht="15.75" customHeight="1">
      <c r="A169" s="34"/>
      <c r="B169" s="12"/>
      <c r="C169" s="1"/>
      <c r="D169" s="11"/>
      <c r="E169" s="1"/>
      <c r="F169" s="1"/>
      <c r="G169" s="13"/>
      <c r="H169" s="1"/>
    </row>
    <row r="170" spans="1:8" ht="15.75" customHeight="1">
      <c r="A170" s="34"/>
      <c r="B170" s="12"/>
      <c r="C170" s="1"/>
      <c r="D170" s="11"/>
      <c r="E170" s="1"/>
      <c r="F170" s="1"/>
      <c r="G170" s="13"/>
      <c r="H170" s="1"/>
    </row>
    <row r="171" spans="1:8" ht="15.75" customHeight="1">
      <c r="A171" s="34"/>
      <c r="B171" s="12"/>
      <c r="C171" s="1"/>
      <c r="D171" s="11"/>
      <c r="E171" s="1"/>
      <c r="F171" s="1"/>
      <c r="G171" s="13"/>
      <c r="H171" s="1"/>
    </row>
    <row r="172" spans="1:8" ht="15.75" customHeight="1">
      <c r="A172" s="34"/>
      <c r="B172" s="12"/>
      <c r="C172" s="1"/>
      <c r="D172" s="11"/>
      <c r="E172" s="1"/>
      <c r="F172" s="1"/>
      <c r="G172" s="13"/>
      <c r="H172" s="1"/>
    </row>
    <row r="173" spans="1:8" ht="15.75" customHeight="1">
      <c r="A173" s="34"/>
      <c r="B173" s="12"/>
      <c r="C173" s="1"/>
      <c r="D173" s="11"/>
      <c r="E173" s="1"/>
      <c r="F173" s="1"/>
      <c r="G173" s="13"/>
      <c r="H173" s="1"/>
    </row>
    <row r="174" spans="1:8" ht="15.75" customHeight="1">
      <c r="A174" s="34"/>
      <c r="B174" s="12"/>
      <c r="C174" s="1"/>
      <c r="D174" s="11"/>
      <c r="E174" s="1"/>
      <c r="F174" s="1"/>
      <c r="G174" s="13"/>
      <c r="H174" s="1"/>
    </row>
    <row r="175" spans="1:8" ht="15.75" customHeight="1">
      <c r="A175" s="34"/>
      <c r="B175" s="12"/>
      <c r="C175" s="1"/>
      <c r="D175" s="11"/>
      <c r="E175" s="1"/>
      <c r="F175" s="1"/>
      <c r="G175" s="13"/>
      <c r="H175" s="1"/>
    </row>
    <row r="176" spans="1:8" ht="15.75" customHeight="1">
      <c r="A176" s="34"/>
      <c r="B176" s="12"/>
      <c r="C176" s="1"/>
      <c r="D176" s="11"/>
      <c r="E176" s="1"/>
      <c r="F176" s="1"/>
      <c r="G176" s="13"/>
      <c r="H176" s="1"/>
    </row>
    <row r="177" spans="1:8" ht="15.75" customHeight="1">
      <c r="A177" s="34"/>
      <c r="B177" s="12"/>
      <c r="C177" s="1"/>
      <c r="D177" s="11"/>
      <c r="E177" s="1"/>
      <c r="F177" s="1"/>
      <c r="G177" s="13"/>
      <c r="H177" s="1"/>
    </row>
    <row r="178" spans="1:8" ht="15.75" customHeight="1">
      <c r="A178" s="34"/>
      <c r="B178" s="12"/>
      <c r="C178" s="1"/>
      <c r="D178" s="11"/>
      <c r="E178" s="1"/>
      <c r="F178" s="1"/>
      <c r="G178" s="13"/>
      <c r="H178" s="1"/>
    </row>
    <row r="179" spans="1:8" ht="15.75" customHeight="1">
      <c r="A179" s="34"/>
      <c r="B179" s="12"/>
      <c r="C179" s="1"/>
      <c r="D179" s="11"/>
      <c r="E179" s="1"/>
      <c r="F179" s="1"/>
      <c r="G179" s="13"/>
      <c r="H179" s="1"/>
    </row>
    <row r="180" spans="1:8" ht="15.75" customHeight="1">
      <c r="A180" s="34"/>
      <c r="B180" s="12"/>
      <c r="C180" s="1"/>
      <c r="D180" s="11"/>
      <c r="E180" s="1"/>
      <c r="F180" s="1"/>
      <c r="G180" s="13"/>
      <c r="H180" s="1"/>
    </row>
    <row r="181" spans="1:8" ht="15.75" customHeight="1">
      <c r="A181" s="34"/>
      <c r="B181" s="12"/>
      <c r="C181" s="1"/>
      <c r="D181" s="11"/>
      <c r="E181" s="1"/>
      <c r="F181" s="1"/>
      <c r="G181" s="13"/>
      <c r="H181" s="1"/>
    </row>
    <row r="182" spans="1:8" ht="15.75" customHeight="1">
      <c r="A182" s="34"/>
      <c r="B182" s="12"/>
      <c r="C182" s="1"/>
      <c r="D182" s="11"/>
      <c r="E182" s="1"/>
      <c r="F182" s="1"/>
      <c r="G182" s="13"/>
      <c r="H182" s="1"/>
    </row>
    <row r="183" spans="1:8" ht="15.75" customHeight="1">
      <c r="A183" s="34"/>
      <c r="B183" s="12"/>
      <c r="C183" s="1"/>
      <c r="D183" s="11"/>
      <c r="E183" s="1"/>
      <c r="F183" s="1"/>
      <c r="G183" s="13"/>
      <c r="H183" s="1"/>
    </row>
    <row r="184" spans="1:8" ht="15.75" customHeight="1">
      <c r="A184" s="34"/>
      <c r="B184" s="12"/>
      <c r="C184" s="1"/>
      <c r="D184" s="11"/>
      <c r="E184" s="1"/>
      <c r="F184" s="1"/>
      <c r="G184" s="13"/>
      <c r="H184" s="16"/>
    </row>
    <row r="185" spans="1:8" ht="15.75" customHeight="1">
      <c r="A185" s="34"/>
      <c r="B185" s="12"/>
      <c r="C185" s="1"/>
      <c r="D185" s="11"/>
      <c r="E185" s="1"/>
      <c r="F185" s="1"/>
      <c r="G185" s="13"/>
      <c r="H185" s="16"/>
    </row>
    <row r="186" spans="1:8" ht="15.75" customHeight="1">
      <c r="A186" s="34"/>
      <c r="B186" s="12"/>
      <c r="C186" s="1"/>
      <c r="D186" s="11"/>
      <c r="E186" s="1"/>
      <c r="F186" s="1"/>
      <c r="G186" s="13"/>
      <c r="H186" s="16"/>
    </row>
    <row r="187" spans="1:8" ht="15.75" customHeight="1">
      <c r="A187" s="34"/>
      <c r="B187" s="12"/>
      <c r="C187" s="1"/>
      <c r="D187" s="11"/>
      <c r="E187" s="1"/>
      <c r="F187" s="1"/>
      <c r="G187" s="13"/>
      <c r="H187" s="16"/>
    </row>
    <row r="188" spans="1:8" ht="15.75" customHeight="1">
      <c r="A188" s="34"/>
      <c r="B188" s="12"/>
      <c r="C188" s="1"/>
      <c r="D188" s="11"/>
      <c r="E188" s="1"/>
      <c r="F188" s="1"/>
      <c r="G188" s="13"/>
      <c r="H188" s="1"/>
    </row>
    <row r="189" spans="1:8" ht="15.75" customHeight="1">
      <c r="A189" s="34"/>
      <c r="B189" s="12"/>
      <c r="C189" s="1"/>
      <c r="D189" s="11"/>
      <c r="E189" s="1"/>
      <c r="F189" s="1"/>
      <c r="G189" s="13"/>
      <c r="H189" s="1"/>
    </row>
    <row r="190" spans="1:8" ht="15.75" customHeight="1">
      <c r="A190" s="34"/>
      <c r="B190" s="12"/>
      <c r="C190" s="1"/>
      <c r="D190" s="11"/>
      <c r="E190" s="1"/>
      <c r="F190" s="1"/>
      <c r="G190" s="13"/>
      <c r="H190" s="1"/>
    </row>
    <row r="191" spans="1:8" ht="15.75" customHeight="1">
      <c r="A191" s="34"/>
      <c r="B191" s="12"/>
      <c r="C191" s="1"/>
      <c r="D191" s="11"/>
      <c r="E191" s="1"/>
      <c r="F191" s="1"/>
      <c r="G191" s="13"/>
      <c r="H191" s="1"/>
    </row>
    <row r="192" spans="1:8" ht="15.75" customHeight="1">
      <c r="A192" s="34"/>
      <c r="B192" s="12"/>
      <c r="C192" s="1"/>
      <c r="D192" s="11"/>
      <c r="E192" s="1"/>
      <c r="F192" s="1"/>
      <c r="G192" s="13"/>
      <c r="H192" s="1"/>
    </row>
    <row r="193" spans="1:8" ht="15.75" customHeight="1">
      <c r="A193" s="34"/>
      <c r="B193" s="12"/>
      <c r="C193" s="1"/>
      <c r="D193" s="11"/>
      <c r="E193" s="1"/>
      <c r="F193" s="1"/>
      <c r="G193" s="13"/>
      <c r="H193" s="1"/>
    </row>
    <row r="194" spans="1:8" ht="15.75" customHeight="1">
      <c r="A194" s="34"/>
      <c r="B194" s="12"/>
      <c r="C194" s="1"/>
      <c r="D194" s="11"/>
      <c r="E194" s="1"/>
      <c r="F194" s="1"/>
      <c r="G194" s="13"/>
      <c r="H194" s="1"/>
    </row>
    <row r="195" spans="1:8" ht="15.75" customHeight="1">
      <c r="A195" s="34"/>
      <c r="B195" s="12"/>
      <c r="C195" s="1"/>
      <c r="D195" s="11"/>
      <c r="E195" s="1"/>
      <c r="F195" s="1"/>
      <c r="G195" s="13"/>
      <c r="H195" s="1"/>
    </row>
    <row r="196" spans="1:8" ht="15.75" customHeight="1">
      <c r="A196" s="34"/>
      <c r="B196" s="12"/>
      <c r="C196" s="1"/>
      <c r="D196" s="11"/>
      <c r="E196" s="1"/>
      <c r="F196" s="1"/>
      <c r="G196" s="13"/>
      <c r="H196" s="1"/>
    </row>
    <row r="197" spans="1:8" ht="15.75" customHeight="1">
      <c r="A197" s="34"/>
      <c r="B197" s="12"/>
      <c r="C197" s="1"/>
      <c r="D197" s="11"/>
      <c r="E197" s="1"/>
      <c r="F197" s="1"/>
      <c r="G197" s="13"/>
      <c r="H197" s="1"/>
    </row>
    <row r="198" spans="1:8" ht="15.75" customHeight="1">
      <c r="A198" s="34"/>
      <c r="B198" s="12"/>
      <c r="C198" s="1"/>
      <c r="D198" s="11"/>
      <c r="E198" s="1"/>
      <c r="F198" s="1"/>
      <c r="G198" s="13"/>
      <c r="H198" s="1"/>
    </row>
    <row r="199" spans="1:8" ht="15.75" customHeight="1">
      <c r="A199" s="34"/>
      <c r="B199" s="12"/>
      <c r="C199" s="1"/>
      <c r="D199" s="11"/>
      <c r="E199" s="1"/>
      <c r="F199" s="1"/>
      <c r="G199" s="13"/>
      <c r="H199" s="1"/>
    </row>
    <row r="200" spans="1:8" ht="15.75" customHeight="1">
      <c r="A200" s="34"/>
      <c r="B200" s="12"/>
      <c r="C200" s="1"/>
      <c r="D200" s="11"/>
      <c r="E200" s="1"/>
      <c r="F200" s="1"/>
      <c r="G200" s="13"/>
      <c r="H200" s="1"/>
    </row>
    <row r="201" spans="1:8" ht="15.75" customHeight="1">
      <c r="A201" s="34"/>
      <c r="B201" s="12"/>
      <c r="C201" s="1"/>
      <c r="D201" s="11"/>
      <c r="E201" s="1"/>
      <c r="F201" s="1"/>
      <c r="G201" s="13"/>
      <c r="H201" s="18"/>
    </row>
    <row r="202" spans="1:8" ht="15.75" customHeight="1">
      <c r="A202" s="34"/>
      <c r="B202" s="12"/>
      <c r="C202" s="1"/>
      <c r="D202" s="11"/>
      <c r="E202" s="1"/>
      <c r="F202" s="1"/>
      <c r="G202" s="13"/>
      <c r="H202" s="18"/>
    </row>
    <row r="203" spans="1:8" ht="15.75" customHeight="1">
      <c r="A203" s="34"/>
      <c r="B203" s="12"/>
      <c r="C203" s="1"/>
      <c r="D203" s="11"/>
      <c r="E203" s="11"/>
      <c r="F203" s="1"/>
      <c r="G203" s="13"/>
    </row>
    <row r="204" spans="1:8" ht="15.75" customHeight="1">
      <c r="A204" s="34"/>
      <c r="B204" s="12"/>
      <c r="C204" s="1"/>
      <c r="D204" s="11"/>
      <c r="E204" s="11"/>
      <c r="F204" s="1"/>
      <c r="G204" s="13"/>
    </row>
    <row r="205" spans="1:8" ht="15.75" customHeight="1">
      <c r="A205" s="34"/>
      <c r="B205" s="12"/>
      <c r="C205" s="1"/>
      <c r="D205" s="11"/>
      <c r="E205" s="11"/>
      <c r="F205" s="1"/>
      <c r="G205" s="13"/>
    </row>
    <row r="206" spans="1:8" ht="15.75" customHeight="1">
      <c r="A206" s="34"/>
      <c r="B206" s="12"/>
      <c r="C206" s="1"/>
      <c r="D206" s="11"/>
      <c r="E206" s="11"/>
      <c r="F206" s="1"/>
      <c r="G206" s="13"/>
    </row>
    <row r="207" spans="1:8" ht="15.75" customHeight="1">
      <c r="A207" s="34"/>
      <c r="B207" s="12"/>
      <c r="C207" s="1"/>
      <c r="D207" s="11"/>
      <c r="E207" s="11"/>
      <c r="F207" s="1"/>
      <c r="G207" s="13"/>
    </row>
    <row r="208" spans="1:8" ht="15.75" customHeight="1">
      <c r="A208" s="34"/>
      <c r="B208" s="12"/>
      <c r="C208" s="1"/>
      <c r="D208" s="11"/>
      <c r="E208" s="11"/>
      <c r="F208" s="1"/>
      <c r="G208" s="13"/>
    </row>
    <row r="209" spans="1:7" ht="15.75" customHeight="1">
      <c r="A209" s="34"/>
      <c r="B209" s="12"/>
      <c r="C209" s="1"/>
      <c r="D209" s="11"/>
      <c r="E209" s="11"/>
      <c r="F209" s="1"/>
      <c r="G209" s="13"/>
    </row>
    <row r="210" spans="1:7" ht="15.75" customHeight="1">
      <c r="A210" s="34"/>
      <c r="B210" s="12"/>
      <c r="C210" s="1"/>
      <c r="D210" s="11"/>
      <c r="E210" s="11"/>
      <c r="F210" s="1"/>
      <c r="G210" s="13"/>
    </row>
    <row r="211" spans="1:7" ht="15.75" customHeight="1">
      <c r="A211" s="34"/>
      <c r="B211" s="12"/>
      <c r="C211" s="1"/>
      <c r="D211" s="11"/>
      <c r="E211" s="11"/>
      <c r="F211" s="1"/>
      <c r="G211" s="13"/>
    </row>
    <row r="212" spans="1:7" ht="15.75" customHeight="1">
      <c r="A212" s="34"/>
      <c r="B212" s="12"/>
      <c r="C212" s="1"/>
      <c r="D212" s="11"/>
      <c r="E212" s="11"/>
      <c r="F212" s="1"/>
      <c r="G212" s="13"/>
    </row>
    <row r="213" spans="1:7" ht="15.75" customHeight="1">
      <c r="A213" s="34"/>
      <c r="B213" s="12"/>
      <c r="C213" s="1"/>
      <c r="D213" s="11"/>
      <c r="E213" s="11"/>
      <c r="F213" s="1"/>
      <c r="G213" s="13"/>
    </row>
    <row r="214" spans="1:7" ht="15.75" customHeight="1">
      <c r="A214" s="34"/>
      <c r="B214" s="12"/>
      <c r="C214" s="1"/>
      <c r="D214" s="11"/>
      <c r="E214" s="11"/>
      <c r="F214" s="1"/>
      <c r="G214" s="13"/>
    </row>
    <row r="215" spans="1:7" ht="15.75" customHeight="1">
      <c r="A215" s="34"/>
      <c r="B215" s="12"/>
      <c r="C215" s="1"/>
      <c r="D215" s="11"/>
      <c r="E215" s="11"/>
      <c r="F215" s="1"/>
      <c r="G215" s="13"/>
    </row>
    <row r="216" spans="1:7" ht="15.75" customHeight="1">
      <c r="A216" s="34"/>
      <c r="B216" s="12"/>
      <c r="C216" s="1"/>
      <c r="D216" s="11"/>
      <c r="E216" s="11"/>
      <c r="F216" s="1"/>
      <c r="G216" s="13"/>
    </row>
    <row r="217" spans="1:7" ht="15.75" customHeight="1">
      <c r="A217" s="34"/>
      <c r="B217" s="12"/>
      <c r="C217" s="1"/>
      <c r="D217" s="11"/>
      <c r="E217" s="11"/>
      <c r="F217" s="1"/>
      <c r="G217" s="13"/>
    </row>
    <row r="218" spans="1:7" ht="15.75" customHeight="1">
      <c r="A218" s="34"/>
      <c r="B218" s="12"/>
      <c r="C218" s="1"/>
      <c r="D218" s="11"/>
      <c r="E218" s="11"/>
      <c r="F218" s="1"/>
      <c r="G218" s="13"/>
    </row>
    <row r="219" spans="1:7" ht="15.75" customHeight="1">
      <c r="A219" s="34"/>
      <c r="B219" s="12"/>
      <c r="C219" s="1"/>
      <c r="D219" s="11"/>
      <c r="E219" s="11"/>
      <c r="F219" s="1"/>
      <c r="G219" s="13"/>
    </row>
    <row r="220" spans="1:7" ht="15.75" customHeight="1">
      <c r="A220" s="34"/>
      <c r="B220" s="12"/>
      <c r="C220" s="1"/>
      <c r="D220" s="11"/>
      <c r="E220" s="11"/>
      <c r="F220" s="1"/>
      <c r="G220" s="13"/>
    </row>
    <row r="221" spans="1:7" ht="15.75" customHeight="1">
      <c r="A221" s="34"/>
      <c r="B221" s="12"/>
      <c r="C221" s="1"/>
      <c r="D221" s="11"/>
      <c r="E221" s="11"/>
      <c r="F221" s="1"/>
      <c r="G221" s="13"/>
    </row>
    <row r="222" spans="1:7" ht="15.75" customHeight="1">
      <c r="A222" s="34"/>
      <c r="B222" s="12"/>
      <c r="C222" s="1"/>
      <c r="D222" s="11"/>
      <c r="E222" s="11"/>
      <c r="F222" s="1"/>
      <c r="G222" s="13"/>
    </row>
    <row r="223" spans="1:7" ht="15.75" customHeight="1">
      <c r="A223" s="34"/>
      <c r="B223" s="12"/>
      <c r="C223" s="1"/>
      <c r="D223" s="11"/>
      <c r="E223" s="11"/>
      <c r="F223" s="1"/>
      <c r="G223" s="13"/>
    </row>
    <row r="224" spans="1:7" ht="15.75" customHeight="1">
      <c r="A224" s="34"/>
      <c r="B224" s="12"/>
      <c r="C224" s="1"/>
      <c r="D224" s="11"/>
      <c r="E224" s="11"/>
      <c r="F224" s="1"/>
      <c r="G224" s="13"/>
    </row>
    <row r="225" spans="1:7" ht="15.75" customHeight="1">
      <c r="A225" s="34"/>
      <c r="B225" s="12"/>
      <c r="C225" s="1"/>
      <c r="D225" s="11"/>
      <c r="E225" s="11"/>
      <c r="F225" s="1"/>
      <c r="G225" s="13"/>
    </row>
    <row r="226" spans="1:7" ht="15.75" customHeight="1">
      <c r="A226" s="34"/>
      <c r="B226" s="12"/>
      <c r="C226" s="1"/>
      <c r="D226" s="11"/>
      <c r="E226" s="11"/>
      <c r="F226" s="1"/>
      <c r="G226" s="13"/>
    </row>
    <row r="227" spans="1:7" ht="15.75" customHeight="1">
      <c r="A227" s="34"/>
      <c r="B227" s="12"/>
      <c r="C227" s="1"/>
      <c r="D227" s="11"/>
      <c r="E227" s="11"/>
      <c r="F227" s="1"/>
      <c r="G227" s="13"/>
    </row>
    <row r="228" spans="1:7" ht="15.75" customHeight="1">
      <c r="A228" s="34"/>
      <c r="B228" s="12"/>
      <c r="C228" s="1"/>
      <c r="D228" s="11"/>
      <c r="E228" s="11"/>
      <c r="F228" s="1"/>
      <c r="G228" s="13"/>
    </row>
    <row r="229" spans="1:7" ht="15.75" customHeight="1">
      <c r="A229" s="34"/>
      <c r="B229" s="12"/>
      <c r="C229" s="1"/>
      <c r="D229" s="11"/>
      <c r="E229" s="11"/>
      <c r="F229" s="1"/>
      <c r="G229" s="13"/>
    </row>
    <row r="230" spans="1:7" ht="15.75" customHeight="1">
      <c r="A230" s="34"/>
      <c r="B230" s="12"/>
      <c r="C230" s="1"/>
      <c r="D230" s="11"/>
      <c r="E230" s="11"/>
      <c r="F230" s="1"/>
      <c r="G230" s="13"/>
    </row>
    <row r="231" spans="1:7" ht="15.75" customHeight="1">
      <c r="A231" s="34"/>
      <c r="B231" s="12"/>
      <c r="C231" s="1"/>
      <c r="D231" s="11"/>
      <c r="E231" s="11"/>
      <c r="F231" s="1"/>
      <c r="G231" s="13"/>
    </row>
    <row r="232" spans="1:7" ht="15.75" customHeight="1">
      <c r="A232" s="34"/>
      <c r="B232" s="12"/>
      <c r="C232" s="1"/>
      <c r="D232" s="11"/>
      <c r="E232" s="11"/>
      <c r="F232" s="1"/>
      <c r="G232" s="13"/>
    </row>
    <row r="233" spans="1:7" ht="15.75" customHeight="1">
      <c r="A233" s="34"/>
      <c r="B233" s="12"/>
      <c r="C233" s="1"/>
      <c r="D233" s="11"/>
      <c r="E233" s="11"/>
      <c r="F233" s="1"/>
      <c r="G233" s="13"/>
    </row>
    <row r="234" spans="1:7" ht="15.75" customHeight="1">
      <c r="A234" s="34"/>
      <c r="B234" s="12"/>
      <c r="C234" s="1"/>
      <c r="D234" s="11"/>
      <c r="E234" s="11"/>
      <c r="F234" s="1"/>
      <c r="G234" s="13"/>
    </row>
    <row r="235" spans="1:7" ht="15.75" customHeight="1">
      <c r="A235" s="34"/>
      <c r="B235" s="12"/>
      <c r="C235" s="1"/>
      <c r="D235" s="11"/>
      <c r="E235" s="11"/>
      <c r="F235" s="1"/>
      <c r="G235" s="13"/>
    </row>
    <row r="236" spans="1:7" ht="15.75" customHeight="1">
      <c r="A236" s="34"/>
      <c r="B236" s="12"/>
      <c r="C236" s="1"/>
      <c r="D236" s="11"/>
      <c r="E236" s="11"/>
      <c r="F236" s="1"/>
      <c r="G236" s="13"/>
    </row>
    <row r="237" spans="1:7" ht="15.75" customHeight="1">
      <c r="A237" s="34"/>
      <c r="B237" s="12"/>
      <c r="C237" s="1"/>
      <c r="D237" s="11"/>
      <c r="E237" s="11"/>
      <c r="F237" s="1"/>
      <c r="G237" s="13"/>
    </row>
    <row r="238" spans="1:7" ht="15.75" customHeight="1">
      <c r="A238" s="34"/>
      <c r="B238" s="12"/>
      <c r="C238" s="1"/>
      <c r="D238" s="11"/>
      <c r="E238" s="11"/>
      <c r="F238" s="1"/>
      <c r="G238" s="13"/>
    </row>
    <row r="239" spans="1:7" ht="15.75" customHeight="1">
      <c r="A239" s="34"/>
      <c r="B239" s="12"/>
      <c r="C239" s="1"/>
      <c r="D239" s="11"/>
      <c r="E239" s="11"/>
      <c r="F239" s="1"/>
      <c r="G239" s="13"/>
    </row>
    <row r="240" spans="1:7" ht="15.75" customHeight="1">
      <c r="A240" s="34"/>
      <c r="B240" s="12"/>
      <c r="C240" s="1"/>
      <c r="D240" s="11"/>
      <c r="E240" s="11"/>
      <c r="F240" s="1"/>
      <c r="G240" s="13"/>
    </row>
    <row r="241" spans="1:7" ht="15.75" customHeight="1">
      <c r="A241" s="34"/>
      <c r="B241" s="12"/>
      <c r="C241" s="1"/>
      <c r="D241" s="11"/>
      <c r="E241" s="11"/>
      <c r="F241" s="1"/>
      <c r="G241" s="13"/>
    </row>
    <row r="242" spans="1:7" ht="15.75" customHeight="1">
      <c r="A242" s="34"/>
      <c r="B242" s="12"/>
      <c r="C242" s="1"/>
      <c r="D242" s="11"/>
      <c r="E242" s="11"/>
      <c r="F242" s="1"/>
      <c r="G242" s="13"/>
    </row>
    <row r="243" spans="1:7" ht="15.75" customHeight="1">
      <c r="A243" s="34"/>
      <c r="B243" s="12"/>
      <c r="C243" s="1"/>
      <c r="D243" s="11"/>
      <c r="E243" s="11"/>
      <c r="F243" s="1"/>
      <c r="G243" s="13"/>
    </row>
    <row r="244" spans="1:7" ht="15.75" customHeight="1">
      <c r="A244" s="34"/>
      <c r="B244" s="12"/>
      <c r="C244" s="1"/>
      <c r="D244" s="11"/>
      <c r="E244" s="11"/>
      <c r="F244" s="1"/>
      <c r="G244" s="13"/>
    </row>
    <row r="245" spans="1:7" ht="15.75" customHeight="1">
      <c r="A245" s="34"/>
      <c r="B245" s="12"/>
      <c r="C245" s="1"/>
      <c r="D245" s="11"/>
      <c r="E245" s="11"/>
      <c r="F245" s="1"/>
      <c r="G245" s="20"/>
    </row>
    <row r="246" spans="1:7" ht="15.75" customHeight="1">
      <c r="A246" s="34"/>
      <c r="B246" s="12"/>
      <c r="C246" s="1"/>
      <c r="D246" s="11"/>
      <c r="E246" s="11"/>
      <c r="F246" s="1"/>
      <c r="G246" s="20"/>
    </row>
    <row r="247" spans="1:7" ht="15.75" customHeight="1"/>
    <row r="248" spans="1:7" ht="15.75" customHeight="1"/>
    <row r="249" spans="1:7" ht="15.75" customHeight="1"/>
    <row r="250" spans="1:7" ht="15.75" customHeight="1"/>
    <row r="251" spans="1:7" ht="15.75" customHeight="1"/>
    <row r="252" spans="1:7" ht="15.75" customHeight="1"/>
    <row r="253" spans="1:7" ht="15.75" customHeight="1"/>
    <row r="254" spans="1:7" ht="15.75" customHeight="1"/>
    <row r="255" spans="1:7" ht="15.75" customHeight="1"/>
    <row r="256" spans="1:7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</sheetData>
  <mergeCells count="4">
    <mergeCell ref="A1:A5"/>
    <mergeCell ref="D1:D7"/>
    <mergeCell ref="A8:C8"/>
    <mergeCell ref="A9:F9"/>
  </mergeCells>
  <phoneticPr fontId="20" type="noConversion"/>
  <pageMargins left="0" right="0" top="0.1388888888888889" bottom="0.1388888888888889" header="0" footer="0"/>
  <pageSetup paperSize="9" scale="35" fitToHeight="0" pageOrder="overThenDown" orientation="landscape" r:id="rId1"/>
  <headerFooter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92D050"/>
    <pageSetUpPr fitToPage="1"/>
  </sheetPr>
  <dimension ref="A1:AF986"/>
  <sheetViews>
    <sheetView zoomScale="130" zoomScaleNormal="130" workbookViewId="0">
      <pane ySplit="2" topLeftCell="A3" activePane="bottomLeft" state="frozen"/>
      <selection pane="bottomLeft" activeCell="J45" sqref="J45"/>
    </sheetView>
  </sheetViews>
  <sheetFormatPr baseColWidth="10" defaultColWidth="10.140625" defaultRowHeight="15" customHeight="1" outlineLevelCol="1"/>
  <cols>
    <col min="1" max="1" width="12" style="182" bestFit="1" customWidth="1"/>
    <col min="2" max="2" width="22.42578125" style="185" bestFit="1" customWidth="1"/>
    <col min="3" max="3" width="15.7109375" style="185" customWidth="1"/>
    <col min="4" max="4" width="11.5703125" style="244" customWidth="1"/>
    <col min="5" max="5" width="13.140625" style="185" bestFit="1" customWidth="1"/>
    <col min="6" max="6" width="1.28515625" style="265" customWidth="1"/>
    <col min="7" max="7" width="22.28515625" style="185" bestFit="1" customWidth="1"/>
    <col min="8" max="8" width="18.140625" style="185" customWidth="1"/>
    <col min="9" max="9" width="1.28515625" style="265" customWidth="1"/>
    <col min="10" max="10" width="21.7109375" style="185" customWidth="1" outlineLevel="1"/>
    <col min="11" max="11" width="14.5703125" style="185" bestFit="1" customWidth="1" outlineLevel="1"/>
    <col min="12" max="12" width="22" style="185" customWidth="1" outlineLevel="1"/>
    <col min="13" max="13" width="14.42578125" style="185" customWidth="1" outlineLevel="1"/>
    <col min="14" max="14" width="10.7109375" style="185" customWidth="1" outlineLevel="1"/>
    <col min="15" max="15" width="12.28515625" style="185" customWidth="1" outlineLevel="1"/>
    <col min="16" max="16" width="16.5703125" style="185" customWidth="1"/>
    <col min="17" max="19" width="8.42578125" style="185" customWidth="1"/>
    <col min="20" max="20" width="16.42578125" style="185" customWidth="1"/>
    <col min="21" max="21" width="12.28515625" style="185" customWidth="1"/>
    <col min="22" max="31" width="8.42578125" style="185" customWidth="1"/>
    <col min="32" max="16384" width="10.140625" style="185"/>
  </cols>
  <sheetData>
    <row r="1" spans="1:32" ht="16">
      <c r="A1" s="228" t="s">
        <v>14</v>
      </c>
      <c r="B1" s="229">
        <f>C3/12</f>
        <v>2500</v>
      </c>
      <c r="C1" s="695" t="s">
        <v>576</v>
      </c>
      <c r="D1" s="695"/>
      <c r="E1" s="695"/>
      <c r="F1" s="231"/>
      <c r="G1" s="444" t="s">
        <v>577</v>
      </c>
      <c r="H1" s="230"/>
      <c r="I1" s="231"/>
      <c r="J1" s="415"/>
      <c r="K1" s="232">
        <v>0.2</v>
      </c>
      <c r="L1" s="233" t="s">
        <v>1</v>
      </c>
      <c r="M1" s="234"/>
      <c r="N1" s="233"/>
      <c r="O1" s="183"/>
      <c r="P1" s="233"/>
      <c r="Q1" s="233"/>
      <c r="R1" s="233"/>
      <c r="S1" s="233"/>
      <c r="T1" s="233"/>
      <c r="U1" s="233"/>
      <c r="V1" s="233"/>
      <c r="W1" s="233"/>
      <c r="X1" s="233"/>
      <c r="Y1" s="233"/>
      <c r="Z1" s="233"/>
      <c r="AA1" s="233"/>
      <c r="AB1" s="233"/>
      <c r="AC1" s="233"/>
      <c r="AD1" s="233"/>
      <c r="AE1" s="233"/>
      <c r="AF1" s="233"/>
    </row>
    <row r="2" spans="1:32" ht="15.75" customHeight="1" thickBot="1">
      <c r="B2" s="235"/>
      <c r="C2" s="236" t="s">
        <v>0</v>
      </c>
      <c r="D2" s="237" t="s">
        <v>1</v>
      </c>
      <c r="E2" s="238" t="s">
        <v>2</v>
      </c>
      <c r="F2" s="239"/>
      <c r="G2" s="238" t="s">
        <v>175</v>
      </c>
      <c r="H2" s="238" t="s">
        <v>174</v>
      </c>
      <c r="I2" s="239"/>
      <c r="J2" s="415"/>
      <c r="K2" s="235"/>
      <c r="M2" s="240"/>
      <c r="O2" s="183"/>
      <c r="P2" s="184"/>
    </row>
    <row r="3" spans="1:32" ht="15.75" customHeight="1">
      <c r="A3" s="241" t="s">
        <v>141</v>
      </c>
      <c r="B3" s="241" t="s">
        <v>15</v>
      </c>
      <c r="C3" s="445">
        <v>30000</v>
      </c>
      <c r="D3" s="446"/>
      <c r="E3" s="445">
        <f t="shared" ref="E3:E11" si="0">C3+D3</f>
        <v>30000</v>
      </c>
      <c r="F3" s="447"/>
      <c r="G3" s="503">
        <f>'COMPTA ANALYTIQUE'!U4</f>
        <v>15400</v>
      </c>
      <c r="H3" s="445">
        <f>E3-G3</f>
        <v>14600</v>
      </c>
      <c r="I3" s="242"/>
      <c r="J3" s="201"/>
      <c r="K3" s="246" t="s">
        <v>226</v>
      </c>
      <c r="L3" s="247">
        <f>L4/8</f>
        <v>111.18946645557634</v>
      </c>
    </row>
    <row r="4" spans="1:32" ht="15.75" customHeight="1">
      <c r="A4" s="241" t="s">
        <v>511</v>
      </c>
      <c r="B4" s="241" t="s">
        <v>512</v>
      </c>
      <c r="C4" s="445">
        <v>0</v>
      </c>
      <c r="D4" s="446"/>
      <c r="E4" s="445">
        <f t="shared" si="0"/>
        <v>0</v>
      </c>
      <c r="F4" s="447"/>
      <c r="G4" s="503">
        <f>'COMPTA ANALYTIQUE'!U5</f>
        <v>1610</v>
      </c>
      <c r="H4" s="445">
        <f>E4-G4</f>
        <v>-1610</v>
      </c>
      <c r="I4" s="242"/>
      <c r="J4" s="201">
        <f>C9/C3</f>
        <v>0.42</v>
      </c>
      <c r="K4" s="248" t="s">
        <v>97</v>
      </c>
      <c r="L4" s="249">
        <f>C50/L5</f>
        <v>889.5157316446107</v>
      </c>
    </row>
    <row r="5" spans="1:32" ht="15.75" customHeight="1">
      <c r="A5" s="241" t="s">
        <v>561</v>
      </c>
      <c r="B5" s="241" t="s">
        <v>562</v>
      </c>
      <c r="C5" s="445">
        <v>150</v>
      </c>
      <c r="D5" s="446"/>
      <c r="E5" s="445">
        <f t="shared" si="0"/>
        <v>150</v>
      </c>
      <c r="F5" s="447"/>
      <c r="G5" s="503">
        <f>'COMPTA ANALYTIQUE'!U6</f>
        <v>30</v>
      </c>
      <c r="H5" s="445">
        <f>E5-G5</f>
        <v>120</v>
      </c>
      <c r="I5" s="242"/>
      <c r="J5" s="201"/>
      <c r="K5" s="248" t="s">
        <v>18</v>
      </c>
      <c r="L5" s="250">
        <f>L7*218</f>
        <v>123.16999999999999</v>
      </c>
    </row>
    <row r="6" spans="1:32" ht="15.75" customHeight="1">
      <c r="A6" s="448" t="s">
        <v>29</v>
      </c>
      <c r="B6" s="448" t="s">
        <v>29</v>
      </c>
      <c r="C6" s="449">
        <v>3500</v>
      </c>
      <c r="D6" s="450"/>
      <c r="E6" s="449">
        <f>C6+D6</f>
        <v>3500</v>
      </c>
      <c r="F6" s="447"/>
      <c r="G6" s="503">
        <f>'COMPTA ANALYTIQUE'!U7</f>
        <v>2500</v>
      </c>
      <c r="H6" s="449">
        <f>E6-G6</f>
        <v>1000</v>
      </c>
      <c r="I6" s="242"/>
      <c r="J6" s="415"/>
      <c r="K6" s="248"/>
      <c r="L6" s="251"/>
      <c r="N6" s="240"/>
      <c r="V6" s="240"/>
    </row>
    <row r="7" spans="1:32" ht="15.75" customHeight="1" thickBot="1">
      <c r="A7" s="448" t="s">
        <v>30</v>
      </c>
      <c r="B7" s="448" t="s">
        <v>30</v>
      </c>
      <c r="C7" s="449">
        <v>0</v>
      </c>
      <c r="D7" s="450">
        <f>E7-C7</f>
        <v>2600</v>
      </c>
      <c r="E7" s="449">
        <v>2600</v>
      </c>
      <c r="F7" s="447"/>
      <c r="G7" s="503">
        <f>'COMPTA ANALYTIQUE'!U8</f>
        <v>0</v>
      </c>
      <c r="H7" s="449">
        <f t="shared" ref="H7" si="1">E7-G7</f>
        <v>2600</v>
      </c>
      <c r="I7" s="242"/>
      <c r="J7" s="415"/>
      <c r="K7" s="252" t="s">
        <v>96</v>
      </c>
      <c r="L7" s="253">
        <v>0.56499999999999995</v>
      </c>
    </row>
    <row r="8" spans="1:32" ht="15.75" customHeight="1">
      <c r="A8" s="448" t="s">
        <v>194</v>
      </c>
      <c r="B8" s="448" t="s">
        <v>195</v>
      </c>
      <c r="C8" s="449">
        <f>E8</f>
        <v>830</v>
      </c>
      <c r="D8" s="450"/>
      <c r="E8" s="449">
        <v>830</v>
      </c>
      <c r="F8" s="447"/>
      <c r="G8" s="503">
        <f>'COMPTA ANALYTIQUE'!U9</f>
        <v>0</v>
      </c>
      <c r="H8" s="449">
        <f>E8-G8</f>
        <v>830</v>
      </c>
      <c r="I8" s="242"/>
      <c r="J8" s="415"/>
      <c r="P8" s="244"/>
    </row>
    <row r="9" spans="1:32" ht="15.75" customHeight="1" thickBot="1">
      <c r="A9" s="451" t="s">
        <v>142</v>
      </c>
      <c r="B9" s="451" t="s">
        <v>142</v>
      </c>
      <c r="C9" s="259">
        <f>C3*42%</f>
        <v>12600</v>
      </c>
      <c r="D9" s="452"/>
      <c r="E9" s="259">
        <f t="shared" si="0"/>
        <v>12600</v>
      </c>
      <c r="F9" s="453"/>
      <c r="G9" s="503">
        <f>'COMPTA ANALYTIQUE'!U10</f>
        <v>6984</v>
      </c>
      <c r="H9" s="259">
        <f t="shared" ref="H9:H11" si="2">E9-G9</f>
        <v>5616</v>
      </c>
      <c r="I9" s="242"/>
      <c r="J9" s="440"/>
      <c r="K9" s="266">
        <v>12</v>
      </c>
      <c r="L9" s="266">
        <v>10</v>
      </c>
      <c r="S9" s="186"/>
      <c r="U9" s="185">
        <f>1900*1.07</f>
        <v>2033.0000000000002</v>
      </c>
    </row>
    <row r="10" spans="1:32" ht="15.75" customHeight="1">
      <c r="A10" s="451" t="s">
        <v>144</v>
      </c>
      <c r="B10" s="451" t="s">
        <v>17</v>
      </c>
      <c r="C10" s="259">
        <v>850</v>
      </c>
      <c r="D10" s="452"/>
      <c r="E10" s="259">
        <f t="shared" si="0"/>
        <v>850</v>
      </c>
      <c r="F10" s="453"/>
      <c r="G10" s="503">
        <f>'COMPTA ANALYTIQUE'!U11</f>
        <v>585.84</v>
      </c>
      <c r="H10" s="259">
        <f t="shared" si="2"/>
        <v>264.15999999999997</v>
      </c>
      <c r="I10" s="242"/>
      <c r="J10" s="440"/>
      <c r="K10" s="697" t="s">
        <v>225</v>
      </c>
      <c r="L10" s="698"/>
      <c r="M10" s="699"/>
    </row>
    <row r="11" spans="1:32" ht="15.75" customHeight="1">
      <c r="A11" s="451" t="s">
        <v>157</v>
      </c>
      <c r="B11" s="451" t="s">
        <v>89</v>
      </c>
      <c r="C11" s="259">
        <v>1900</v>
      </c>
      <c r="D11" s="452"/>
      <c r="E11" s="259">
        <f t="shared" si="0"/>
        <v>1900</v>
      </c>
      <c r="F11" s="453"/>
      <c r="G11" s="503">
        <f>'COMPTA ANALYTIQUE'!U12</f>
        <v>1069.69</v>
      </c>
      <c r="H11" s="259">
        <f t="shared" si="2"/>
        <v>830.31</v>
      </c>
      <c r="I11" s="242"/>
      <c r="J11" s="440"/>
      <c r="K11" s="267"/>
      <c r="L11" s="268" t="s">
        <v>208</v>
      </c>
      <c r="M11" s="269" t="s">
        <v>211</v>
      </c>
      <c r="P11" s="244"/>
    </row>
    <row r="12" spans="1:32" ht="15.75" customHeight="1">
      <c r="A12" s="451" t="s">
        <v>147</v>
      </c>
      <c r="B12" s="451" t="s">
        <v>22</v>
      </c>
      <c r="C12" s="259">
        <v>300</v>
      </c>
      <c r="D12" s="452"/>
      <c r="E12" s="259">
        <f>C12+D12</f>
        <v>300</v>
      </c>
      <c r="F12" s="453"/>
      <c r="G12" s="503">
        <f>'COMPTA ANALYTIQUE'!U13</f>
        <v>171.59</v>
      </c>
      <c r="H12" s="259">
        <f>E12-G12</f>
        <v>128.41</v>
      </c>
      <c r="I12" s="242"/>
      <c r="J12" s="440"/>
      <c r="K12" s="267" t="s">
        <v>215</v>
      </c>
      <c r="L12" s="186"/>
      <c r="M12" s="271">
        <f>126</f>
        <v>126</v>
      </c>
      <c r="N12" s="266"/>
      <c r="O12" s="183"/>
    </row>
    <row r="13" spans="1:32" ht="15.75" customHeight="1">
      <c r="A13" s="451" t="s">
        <v>145</v>
      </c>
      <c r="B13" s="451" t="s">
        <v>19</v>
      </c>
      <c r="C13" s="259">
        <v>7000</v>
      </c>
      <c r="D13" s="452"/>
      <c r="E13" s="259">
        <f>C13+D13</f>
        <v>7000</v>
      </c>
      <c r="F13" s="453"/>
      <c r="G13" s="503">
        <f>'COMPTA ANALYTIQUE'!U14</f>
        <v>4481.75</v>
      </c>
      <c r="H13" s="259">
        <f>E13-G13</f>
        <v>2518.25</v>
      </c>
      <c r="I13" s="242"/>
      <c r="J13" s="440"/>
      <c r="K13" s="267" t="s">
        <v>216</v>
      </c>
      <c r="L13" s="186"/>
      <c r="M13" s="271">
        <f>48/1.2</f>
        <v>40</v>
      </c>
      <c r="N13" s="266"/>
      <c r="O13" s="183"/>
    </row>
    <row r="14" spans="1:32" ht="15.75" customHeight="1">
      <c r="A14" s="451" t="s">
        <v>143</v>
      </c>
      <c r="B14" s="451" t="s">
        <v>20</v>
      </c>
      <c r="C14" s="259">
        <v>900</v>
      </c>
      <c r="D14" s="452"/>
      <c r="E14" s="259">
        <f>C14+D14</f>
        <v>900</v>
      </c>
      <c r="F14" s="453"/>
      <c r="G14" s="503">
        <f>'COMPTA ANALYTIQUE'!U15</f>
        <v>0</v>
      </c>
      <c r="H14" s="259">
        <f>E14-G14</f>
        <v>900</v>
      </c>
      <c r="I14" s="242"/>
      <c r="J14" s="440"/>
      <c r="K14" s="267" t="s">
        <v>214</v>
      </c>
      <c r="L14" s="186">
        <v>0</v>
      </c>
      <c r="M14" s="271">
        <v>0</v>
      </c>
      <c r="N14" s="266"/>
      <c r="O14" s="183"/>
    </row>
    <row r="15" spans="1:32" ht="15.75" customHeight="1">
      <c r="A15" s="451" t="s">
        <v>581</v>
      </c>
      <c r="B15" s="451" t="s">
        <v>252</v>
      </c>
      <c r="C15" s="259">
        <v>240</v>
      </c>
      <c r="D15" s="452"/>
      <c r="E15" s="259">
        <f>C15</f>
        <v>240</v>
      </c>
      <c r="F15" s="453"/>
      <c r="G15" s="503">
        <f>'COMPTA ANALYTIQUE'!U16</f>
        <v>225.6</v>
      </c>
      <c r="H15" s="259">
        <f>E15-G15</f>
        <v>14.400000000000006</v>
      </c>
      <c r="I15" s="242"/>
      <c r="J15" s="440"/>
      <c r="K15" s="267" t="s">
        <v>212</v>
      </c>
      <c r="L15" s="186"/>
      <c r="M15" s="271">
        <f>83.88/1.2</f>
        <v>69.900000000000006</v>
      </c>
      <c r="N15" s="266"/>
    </row>
    <row r="16" spans="1:32" ht="15.75" customHeight="1">
      <c r="A16" s="454" t="s">
        <v>21</v>
      </c>
      <c r="B16" s="454" t="s">
        <v>21</v>
      </c>
      <c r="C16" s="455">
        <v>1000</v>
      </c>
      <c r="D16" s="456"/>
      <c r="E16" s="455">
        <f t="shared" ref="E16" si="3">C16+D16</f>
        <v>1000</v>
      </c>
      <c r="F16" s="457"/>
      <c r="G16" s="503">
        <f>'COMPTA ANALYTIQUE'!U17</f>
        <v>973</v>
      </c>
      <c r="H16" s="455">
        <f t="shared" ref="H16:H30" si="4">E16-G16</f>
        <v>27</v>
      </c>
      <c r="I16" s="242"/>
      <c r="J16" s="441"/>
      <c r="K16" s="267" t="s">
        <v>213</v>
      </c>
      <c r="L16" s="186">
        <v>50</v>
      </c>
      <c r="M16" s="271">
        <v>720</v>
      </c>
      <c r="N16" s="268"/>
    </row>
    <row r="17" spans="1:21" ht="15.75" customHeight="1">
      <c r="A17" s="454" t="s">
        <v>31</v>
      </c>
      <c r="B17" s="454" t="s">
        <v>31</v>
      </c>
      <c r="C17" s="455">
        <v>2500</v>
      </c>
      <c r="D17" s="458"/>
      <c r="E17" s="455">
        <f>C17+D17</f>
        <v>2500</v>
      </c>
      <c r="F17" s="457"/>
      <c r="G17" s="503">
        <f>'COMPTA ANALYTIQUE'!U18</f>
        <v>227</v>
      </c>
      <c r="H17" s="455">
        <f>E17-G17</f>
        <v>2273</v>
      </c>
      <c r="I17" s="242"/>
      <c r="J17" s="441"/>
      <c r="K17" s="267" t="s">
        <v>219</v>
      </c>
      <c r="L17" s="186"/>
      <c r="M17" s="271">
        <f>238.8/1.2</f>
        <v>199.00000000000003</v>
      </c>
      <c r="N17" s="266"/>
      <c r="P17" s="254"/>
      <c r="S17" s="255"/>
    </row>
    <row r="18" spans="1:21" ht="15.75" customHeight="1">
      <c r="A18" s="454" t="s">
        <v>146</v>
      </c>
      <c r="B18" s="454" t="s">
        <v>28</v>
      </c>
      <c r="C18" s="455">
        <v>1900</v>
      </c>
      <c r="D18" s="456">
        <f>C18*20%</f>
        <v>380</v>
      </c>
      <c r="E18" s="455">
        <f>C18+D18</f>
        <v>2280</v>
      </c>
      <c r="F18" s="457"/>
      <c r="G18" s="503">
        <f>'COMPTA ANALYTIQUE'!U19</f>
        <v>1766.5</v>
      </c>
      <c r="H18" s="455">
        <f>E18-G18</f>
        <v>513.5</v>
      </c>
      <c r="I18" s="242"/>
      <c r="J18" s="441"/>
      <c r="K18" s="267" t="s">
        <v>220</v>
      </c>
      <c r="L18" s="186">
        <f>16</f>
        <v>16</v>
      </c>
      <c r="M18" s="271">
        <f>L18*K9</f>
        <v>192</v>
      </c>
      <c r="N18" s="266"/>
    </row>
    <row r="19" spans="1:21" ht="15.75" customHeight="1">
      <c r="A19" s="459" t="s">
        <v>563</v>
      </c>
      <c r="B19" s="454" t="s">
        <v>578</v>
      </c>
      <c r="C19" s="455">
        <v>120</v>
      </c>
      <c r="D19" s="456"/>
      <c r="E19" s="455">
        <f>C19+D19</f>
        <v>120</v>
      </c>
      <c r="F19" s="457"/>
      <c r="G19" s="503">
        <f>'COMPTA ANALYTIQUE'!U20</f>
        <v>103.91</v>
      </c>
      <c r="H19" s="455">
        <f t="shared" ref="H19:H20" si="5">E19-G19</f>
        <v>16.090000000000003</v>
      </c>
      <c r="I19" s="242"/>
      <c r="J19" s="441"/>
      <c r="K19" s="267" t="s">
        <v>221</v>
      </c>
      <c r="L19" s="186"/>
      <c r="M19" s="271">
        <f>99/1.2</f>
        <v>82.5</v>
      </c>
      <c r="N19" s="266"/>
    </row>
    <row r="20" spans="1:21" ht="15.75" customHeight="1">
      <c r="A20" s="459" t="s">
        <v>1</v>
      </c>
      <c r="B20" s="454" t="s">
        <v>568</v>
      </c>
      <c r="C20" s="455">
        <f>'facturation 25-26'!C5*0.2</f>
        <v>14597.986000000003</v>
      </c>
      <c r="D20" s="456"/>
      <c r="E20" s="455">
        <f t="shared" ref="E20" si="6">C20+D20</f>
        <v>14597.986000000003</v>
      </c>
      <c r="F20" s="457"/>
      <c r="G20" s="503">
        <f>'COMPTA ANALYTIQUE'!U21</f>
        <v>3708</v>
      </c>
      <c r="H20" s="455">
        <f t="shared" si="5"/>
        <v>10889.986000000003</v>
      </c>
      <c r="I20" s="242"/>
      <c r="J20" s="441"/>
      <c r="K20" s="267" t="s">
        <v>222</v>
      </c>
      <c r="L20" s="186">
        <f>20/1.2</f>
        <v>16.666666666666668</v>
      </c>
      <c r="M20" s="271">
        <f>L20*K9</f>
        <v>200</v>
      </c>
      <c r="N20" s="266"/>
    </row>
    <row r="21" spans="1:21" ht="15.75" customHeight="1">
      <c r="A21" s="454" t="s">
        <v>172</v>
      </c>
      <c r="B21" s="454" t="s">
        <v>173</v>
      </c>
      <c r="C21" s="455">
        <f>E21/1.2</f>
        <v>833.33333333333337</v>
      </c>
      <c r="D21" s="456">
        <f>E21-C21</f>
        <v>166.66666666666663</v>
      </c>
      <c r="E21" s="455">
        <v>1000</v>
      </c>
      <c r="F21" s="457"/>
      <c r="G21" s="503">
        <f>'COMPTA ANALYTIQUE'!U22</f>
        <v>0</v>
      </c>
      <c r="H21" s="455">
        <f>E21-G21</f>
        <v>1000</v>
      </c>
      <c r="I21" s="242"/>
      <c r="J21" s="441"/>
      <c r="K21" s="267" t="s">
        <v>223</v>
      </c>
      <c r="L21" s="186"/>
      <c r="M21" s="271"/>
      <c r="S21" s="186"/>
    </row>
    <row r="22" spans="1:21" ht="15.75" customHeight="1" thickBot="1">
      <c r="A22" s="245" t="s">
        <v>170</v>
      </c>
      <c r="B22" s="245" t="s">
        <v>171</v>
      </c>
      <c r="C22" s="460">
        <v>120</v>
      </c>
      <c r="D22" s="461"/>
      <c r="E22" s="460">
        <f t="shared" ref="E22" si="7">C22+D22</f>
        <v>120</v>
      </c>
      <c r="F22" s="462"/>
      <c r="G22" s="503">
        <f>'COMPTA ANALYTIQUE'!U23</f>
        <v>93</v>
      </c>
      <c r="H22" s="460">
        <f t="shared" si="4"/>
        <v>27</v>
      </c>
      <c r="I22" s="242"/>
      <c r="J22" s="204"/>
      <c r="K22" s="267" t="s">
        <v>224</v>
      </c>
      <c r="L22" s="186"/>
      <c r="M22" s="271">
        <f>(132+45.9)/1.2</f>
        <v>148.25</v>
      </c>
      <c r="N22" s="504"/>
      <c r="S22" s="186"/>
      <c r="U22" s="240"/>
    </row>
    <row r="23" spans="1:21" ht="15.75" customHeight="1" thickBot="1">
      <c r="A23" s="245" t="s">
        <v>158</v>
      </c>
      <c r="B23" s="245" t="s">
        <v>585</v>
      </c>
      <c r="C23" s="460">
        <f>E23/1.2</f>
        <v>500</v>
      </c>
      <c r="D23" s="461">
        <f>E23-C23</f>
        <v>100</v>
      </c>
      <c r="E23" s="460">
        <v>600</v>
      </c>
      <c r="F23" s="462"/>
      <c r="G23" s="503">
        <f>'COMPTA ANALYTIQUE'!U24</f>
        <v>397.8</v>
      </c>
      <c r="H23" s="460">
        <f t="shared" si="4"/>
        <v>202.2</v>
      </c>
      <c r="I23" s="242"/>
      <c r="J23" s="204"/>
      <c r="K23" s="272" t="s">
        <v>218</v>
      </c>
      <c r="L23" s="188"/>
      <c r="M23" s="273">
        <f>SUM(M12:M22)</f>
        <v>1777.65</v>
      </c>
      <c r="N23" s="240"/>
      <c r="S23" s="186"/>
    </row>
    <row r="24" spans="1:21" ht="15.75" customHeight="1" thickBot="1">
      <c r="A24" s="245" t="s">
        <v>151</v>
      </c>
      <c r="B24" s="245" t="s">
        <v>584</v>
      </c>
      <c r="C24" s="460">
        <v>2000</v>
      </c>
      <c r="D24" s="461">
        <f>E24-C24</f>
        <v>400</v>
      </c>
      <c r="E24" s="460">
        <f>C24*1.2</f>
        <v>2400</v>
      </c>
      <c r="F24" s="462"/>
      <c r="G24" s="503">
        <f>'COMPTA ANALYTIQUE'!U25</f>
        <v>3069.33</v>
      </c>
      <c r="H24" s="460">
        <f>E24-G24</f>
        <v>-669.32999999999993</v>
      </c>
      <c r="I24" s="242"/>
      <c r="J24" s="204"/>
      <c r="K24" s="274" t="s">
        <v>217</v>
      </c>
      <c r="L24" s="189"/>
      <c r="M24" s="275">
        <f>M23/12</f>
        <v>148.13750000000002</v>
      </c>
      <c r="S24" s="186"/>
    </row>
    <row r="25" spans="1:21" ht="15.75" customHeight="1">
      <c r="A25" s="245" t="s">
        <v>166</v>
      </c>
      <c r="B25" s="245" t="s">
        <v>583</v>
      </c>
      <c r="C25" s="460">
        <v>1250</v>
      </c>
      <c r="D25" s="461">
        <f t="shared" ref="D25:D26" si="8">E25*20%</f>
        <v>240</v>
      </c>
      <c r="E25" s="460">
        <v>1200</v>
      </c>
      <c r="F25" s="462"/>
      <c r="G25" s="503">
        <f>'COMPTA ANALYTIQUE'!U26</f>
        <v>968.81999999999982</v>
      </c>
      <c r="H25" s="460">
        <f>E25-G25</f>
        <v>231.18000000000018</v>
      </c>
      <c r="I25" s="242"/>
      <c r="J25" s="204"/>
      <c r="L25" s="183"/>
    </row>
    <row r="26" spans="1:21" ht="15.75" customHeight="1">
      <c r="A26" s="245" t="s">
        <v>192</v>
      </c>
      <c r="B26" s="245" t="s">
        <v>258</v>
      </c>
      <c r="C26" s="460">
        <f>E26-D26</f>
        <v>960</v>
      </c>
      <c r="D26" s="461">
        <f t="shared" si="8"/>
        <v>240</v>
      </c>
      <c r="E26" s="460">
        <v>1200</v>
      </c>
      <c r="F26" s="462"/>
      <c r="G26" s="503">
        <f>'COMPTA ANALYTIQUE'!U27</f>
        <v>0</v>
      </c>
      <c r="H26" s="460">
        <f t="shared" ref="H26" si="9">E26-G26</f>
        <v>1200</v>
      </c>
      <c r="I26" s="242"/>
      <c r="J26" s="204"/>
      <c r="K26" s="240"/>
    </row>
    <row r="27" spans="1:21" ht="15.75" customHeight="1">
      <c r="A27" s="245" t="s">
        <v>160</v>
      </c>
      <c r="B27" s="245" t="s">
        <v>163</v>
      </c>
      <c r="C27" s="460">
        <v>550</v>
      </c>
      <c r="D27" s="461">
        <f>E27-C27</f>
        <v>50</v>
      </c>
      <c r="E27" s="460">
        <v>600</v>
      </c>
      <c r="F27" s="462"/>
      <c r="G27" s="503">
        <f>'COMPTA ANALYTIQUE'!U28</f>
        <v>443.90999999999997</v>
      </c>
      <c r="H27" s="460">
        <f>E27-G27</f>
        <v>156.09000000000003</v>
      </c>
      <c r="I27" s="242"/>
      <c r="J27" s="204"/>
      <c r="K27" s="235"/>
      <c r="M27" s="258"/>
    </row>
    <row r="28" spans="1:21" ht="15.75" customHeight="1">
      <c r="A28" s="245" t="s">
        <v>148</v>
      </c>
      <c r="B28" s="245" t="s">
        <v>23</v>
      </c>
      <c r="C28" s="460">
        <f>E28/1.2</f>
        <v>1000</v>
      </c>
      <c r="D28" s="461">
        <f>E28-C28</f>
        <v>200</v>
      </c>
      <c r="E28" s="460">
        <v>1200</v>
      </c>
      <c r="F28" s="462"/>
      <c r="G28" s="503">
        <f>'COMPTA ANALYTIQUE'!U29</f>
        <v>868.5100000000001</v>
      </c>
      <c r="H28" s="460">
        <f t="shared" si="4"/>
        <v>331.4899999999999</v>
      </c>
      <c r="I28" s="242"/>
      <c r="J28" s="204"/>
      <c r="K28" s="590" t="s">
        <v>646</v>
      </c>
      <c r="L28" s="256"/>
    </row>
    <row r="29" spans="1:21" ht="15.75" customHeight="1">
      <c r="A29" s="245" t="s">
        <v>159</v>
      </c>
      <c r="B29" s="245" t="s">
        <v>24</v>
      </c>
      <c r="C29" s="460">
        <f>E29/1.2</f>
        <v>33.333333333333336</v>
      </c>
      <c r="D29" s="461">
        <f>E29-C29</f>
        <v>6.6666666666666643</v>
      </c>
      <c r="E29" s="460">
        <v>40</v>
      </c>
      <c r="F29" s="462"/>
      <c r="G29" s="503">
        <f>'COMPTA ANALYTIQUE'!U30</f>
        <v>10.7</v>
      </c>
      <c r="H29" s="460">
        <f t="shared" si="4"/>
        <v>29.3</v>
      </c>
      <c r="I29" s="242"/>
      <c r="J29" s="204"/>
      <c r="K29" s="235"/>
      <c r="M29" s="236" t="s">
        <v>0</v>
      </c>
      <c r="N29" s="237" t="s">
        <v>1</v>
      </c>
      <c r="O29" s="238" t="s">
        <v>2</v>
      </c>
    </row>
    <row r="30" spans="1:21" ht="15.75" customHeight="1">
      <c r="A30" s="245" t="s">
        <v>149</v>
      </c>
      <c r="B30" s="245" t="s">
        <v>27</v>
      </c>
      <c r="C30" s="460">
        <v>267</v>
      </c>
      <c r="D30" s="461">
        <f>C30*0.2</f>
        <v>53.400000000000006</v>
      </c>
      <c r="E30" s="460">
        <f>D30+C30</f>
        <v>320.39999999999998</v>
      </c>
      <c r="F30" s="462"/>
      <c r="G30" s="503">
        <f>'COMPTA ANALYTIQUE'!U31</f>
        <v>227.72</v>
      </c>
      <c r="H30" s="460">
        <f t="shared" si="4"/>
        <v>92.679999999999978</v>
      </c>
      <c r="I30" s="242"/>
      <c r="J30" s="204"/>
      <c r="K30" s="235" t="str" cm="1">
        <f t="array" ref="K30:O30">A15:E15</f>
        <v>ASS BUREAU</v>
      </c>
      <c r="L30" s="185" t="str">
        <v>Assurance du local</v>
      </c>
      <c r="M30" s="244">
        <v>240</v>
      </c>
      <c r="N30" s="244">
        <v>0</v>
      </c>
      <c r="O30" s="244">
        <v>240</v>
      </c>
    </row>
    <row r="31" spans="1:21" ht="15.75" customHeight="1">
      <c r="A31" s="245" t="s">
        <v>249</v>
      </c>
      <c r="B31" s="245" t="s">
        <v>248</v>
      </c>
      <c r="C31" s="460">
        <f>30/1.2*12</f>
        <v>300</v>
      </c>
      <c r="D31" s="461">
        <f>E31-C31</f>
        <v>12</v>
      </c>
      <c r="E31" s="460">
        <f>26*12</f>
        <v>312</v>
      </c>
      <c r="F31" s="462"/>
      <c r="G31" s="503">
        <f>'COMPTA ANALYTIQUE'!U32</f>
        <v>168.95</v>
      </c>
      <c r="H31" s="460">
        <f t="shared" ref="H31:H38" si="10">E31-G31</f>
        <v>143.05000000000001</v>
      </c>
      <c r="I31" s="242"/>
      <c r="J31" s="204"/>
      <c r="K31" s="454" t="s">
        <v>21</v>
      </c>
      <c r="L31" s="454" t="s">
        <v>21</v>
      </c>
      <c r="M31" s="455">
        <v>500</v>
      </c>
      <c r="N31" s="456"/>
      <c r="O31" s="455">
        <f t="shared" ref="O31" si="11">M31+N31</f>
        <v>500</v>
      </c>
    </row>
    <row r="32" spans="1:21" ht="15.75" customHeight="1">
      <c r="A32" s="204" t="s">
        <v>444</v>
      </c>
      <c r="B32" s="245" t="s">
        <v>580</v>
      </c>
      <c r="C32" s="460">
        <v>150</v>
      </c>
      <c r="D32" s="461">
        <f>C32*0.2</f>
        <v>30</v>
      </c>
      <c r="E32" s="460">
        <f>D32+C32</f>
        <v>180</v>
      </c>
      <c r="F32" s="462"/>
      <c r="G32" s="503">
        <f>'COMPTA ANALYTIQUE'!U33</f>
        <v>61.230000000000004</v>
      </c>
      <c r="H32" s="460">
        <f t="shared" si="10"/>
        <v>118.77</v>
      </c>
      <c r="I32" s="463"/>
      <c r="J32" s="204"/>
      <c r="K32" s="454" t="s">
        <v>146</v>
      </c>
      <c r="L32" s="454" t="s">
        <v>28</v>
      </c>
      <c r="M32" s="455">
        <v>1900</v>
      </c>
      <c r="N32" s="456">
        <f>M32*20%</f>
        <v>380</v>
      </c>
      <c r="O32" s="455">
        <f>M32+N32</f>
        <v>2280</v>
      </c>
    </row>
    <row r="33" spans="1:15" ht="15.75" customHeight="1">
      <c r="A33" s="499" t="s">
        <v>167</v>
      </c>
      <c r="B33" s="499" t="s">
        <v>162</v>
      </c>
      <c r="C33" s="491">
        <f>E33/1.2</f>
        <v>583.33333333333337</v>
      </c>
      <c r="D33" s="500">
        <f>E33-C33</f>
        <v>116.66666666666663</v>
      </c>
      <c r="E33" s="491">
        <v>700</v>
      </c>
      <c r="F33" s="501"/>
      <c r="G33" s="503">
        <f>'COMPTA ANALYTIQUE'!U34</f>
        <v>912.78</v>
      </c>
      <c r="H33" s="491">
        <f t="shared" si="10"/>
        <v>-212.77999999999997</v>
      </c>
      <c r="I33" s="242"/>
      <c r="J33" s="415"/>
      <c r="K33" s="459" t="s">
        <v>563</v>
      </c>
      <c r="L33" s="454" t="s">
        <v>578</v>
      </c>
      <c r="M33" s="455">
        <v>100</v>
      </c>
      <c r="N33" s="456"/>
      <c r="O33" s="455">
        <f t="shared" ref="O33:O34" si="12">M33+N33</f>
        <v>100</v>
      </c>
    </row>
    <row r="34" spans="1:15" ht="15.75" customHeight="1">
      <c r="A34" s="502" t="s">
        <v>193</v>
      </c>
      <c r="B34" s="499" t="s">
        <v>579</v>
      </c>
      <c r="C34" s="491">
        <v>15200</v>
      </c>
      <c r="D34" s="500"/>
      <c r="E34" s="491">
        <f>C34</f>
        <v>15200</v>
      </c>
      <c r="F34" s="501"/>
      <c r="G34" s="503">
        <f>'COMPTA ANALYTIQUE'!U35</f>
        <v>15179.44</v>
      </c>
      <c r="H34" s="491">
        <f t="shared" si="10"/>
        <v>20.559999999999491</v>
      </c>
      <c r="I34" s="242"/>
      <c r="J34" s="442"/>
      <c r="K34" s="245" t="s">
        <v>170</v>
      </c>
      <c r="L34" s="245" t="s">
        <v>171</v>
      </c>
      <c r="M34" s="460">
        <v>120</v>
      </c>
      <c r="N34" s="461"/>
      <c r="O34" s="460">
        <f t="shared" si="12"/>
        <v>120</v>
      </c>
    </row>
    <row r="35" spans="1:15" ht="15.75" customHeight="1">
      <c r="A35" s="464" t="s">
        <v>138</v>
      </c>
      <c r="B35" s="464" t="s">
        <v>111</v>
      </c>
      <c r="C35" s="465">
        <v>4810</v>
      </c>
      <c r="D35" s="466"/>
      <c r="E35" s="465">
        <f>C35</f>
        <v>4810</v>
      </c>
      <c r="F35" s="467"/>
      <c r="G35" s="503">
        <f>'COMPTA ANALYTIQUE'!U36</f>
        <v>4808.3</v>
      </c>
      <c r="H35" s="465">
        <f t="shared" si="10"/>
        <v>1.6999999999998181</v>
      </c>
      <c r="I35" s="242"/>
      <c r="J35" s="442"/>
      <c r="K35" s="245" t="s">
        <v>151</v>
      </c>
      <c r="L35" s="245" t="s">
        <v>584</v>
      </c>
      <c r="M35" s="460">
        <v>1000</v>
      </c>
      <c r="N35" s="461">
        <f>O35-M35</f>
        <v>200</v>
      </c>
      <c r="O35" s="460">
        <f>M35*1.2</f>
        <v>1200</v>
      </c>
    </row>
    <row r="36" spans="1:15" ht="15.75" customHeight="1">
      <c r="A36" s="464" t="s">
        <v>150</v>
      </c>
      <c r="B36" s="464" t="s">
        <v>618</v>
      </c>
      <c r="C36" s="465">
        <v>8000</v>
      </c>
      <c r="D36" s="466"/>
      <c r="E36" s="465">
        <v>10000</v>
      </c>
      <c r="F36" s="467"/>
      <c r="G36" s="503">
        <f>'COMPTA ANALYTIQUE'!U37</f>
        <v>7225</v>
      </c>
      <c r="H36" s="465">
        <f t="shared" si="10"/>
        <v>2775</v>
      </c>
      <c r="I36" s="242"/>
      <c r="J36" s="443"/>
      <c r="K36" s="245" t="s">
        <v>166</v>
      </c>
      <c r="L36" s="245" t="s">
        <v>583</v>
      </c>
      <c r="M36" s="460">
        <v>600</v>
      </c>
      <c r="N36" s="461">
        <f t="shared" ref="N36" si="13">O36*20%</f>
        <v>240</v>
      </c>
      <c r="O36" s="460">
        <v>1200</v>
      </c>
    </row>
    <row r="37" spans="1:15" ht="15.75" customHeight="1">
      <c r="A37" s="257" t="s">
        <v>207</v>
      </c>
      <c r="B37" s="257" t="s">
        <v>251</v>
      </c>
      <c r="C37" s="492">
        <f>700*12</f>
        <v>8400</v>
      </c>
      <c r="D37" s="493"/>
      <c r="E37" s="492">
        <f>C37</f>
        <v>8400</v>
      </c>
      <c r="F37" s="494"/>
      <c r="G37" s="503">
        <f>'COMPTA ANALYTIQUE'!U38</f>
        <v>7170.84</v>
      </c>
      <c r="H37" s="492">
        <f t="shared" si="10"/>
        <v>1229.1599999999999</v>
      </c>
      <c r="K37" s="245" t="s">
        <v>160</v>
      </c>
      <c r="L37" s="245" t="s">
        <v>163</v>
      </c>
      <c r="M37" s="460">
        <v>550</v>
      </c>
      <c r="N37" s="461">
        <f>O37-M37</f>
        <v>50</v>
      </c>
      <c r="O37" s="460">
        <v>600</v>
      </c>
    </row>
    <row r="38" spans="1:15" ht="19.5" customHeight="1">
      <c r="A38" s="495" t="s">
        <v>152</v>
      </c>
      <c r="B38" s="495" t="s">
        <v>169</v>
      </c>
      <c r="C38" s="496">
        <v>2000</v>
      </c>
      <c r="D38" s="497">
        <f>E38-C38</f>
        <v>400</v>
      </c>
      <c r="E38" s="496">
        <f>C38*1.2</f>
        <v>2400</v>
      </c>
      <c r="F38" s="498"/>
      <c r="G38" s="503">
        <f>'COMPTA ANALYTIQUE'!U39</f>
        <v>2080.88</v>
      </c>
      <c r="H38" s="496">
        <f t="shared" si="10"/>
        <v>319.11999999999989</v>
      </c>
      <c r="I38" s="261"/>
      <c r="K38" s="245" t="s">
        <v>249</v>
      </c>
      <c r="L38" s="245" t="s">
        <v>248</v>
      </c>
      <c r="M38" s="460">
        <f>30/1.2*12</f>
        <v>300</v>
      </c>
      <c r="N38" s="461">
        <f>O38-M38</f>
        <v>12</v>
      </c>
      <c r="O38" s="460">
        <f>26*12</f>
        <v>312</v>
      </c>
    </row>
    <row r="39" spans="1:15" ht="19.5" customHeight="1">
      <c r="C39" s="240"/>
      <c r="E39" s="240"/>
      <c r="I39" s="261"/>
      <c r="K39" s="499" t="s">
        <v>167</v>
      </c>
      <c r="L39" s="499" t="s">
        <v>162</v>
      </c>
      <c r="M39" s="491">
        <f>O39/1.2</f>
        <v>583.33333333333337</v>
      </c>
      <c r="N39" s="500">
        <f>O39-M39</f>
        <v>116.66666666666663</v>
      </c>
      <c r="O39" s="491">
        <v>700</v>
      </c>
    </row>
    <row r="40" spans="1:15" ht="19.5" customHeight="1">
      <c r="E40" s="240"/>
      <c r="I40" s="263"/>
      <c r="K40" s="257" t="s">
        <v>207</v>
      </c>
      <c r="L40" s="257" t="s">
        <v>251</v>
      </c>
      <c r="M40" s="492">
        <f>700*12</f>
        <v>8400</v>
      </c>
      <c r="N40" s="493"/>
      <c r="O40" s="492">
        <f>M40</f>
        <v>8400</v>
      </c>
    </row>
    <row r="41" spans="1:15" ht="19.5" customHeight="1">
      <c r="B41" s="257"/>
      <c r="C41" s="259"/>
      <c r="D41" s="260"/>
      <c r="E41" s="243"/>
      <c r="F41" s="242"/>
      <c r="G41" s="243"/>
      <c r="H41" s="243"/>
      <c r="I41" s="263"/>
      <c r="K41" s="448" t="s">
        <v>30</v>
      </c>
      <c r="L41" s="448" t="s">
        <v>30</v>
      </c>
      <c r="M41" s="449">
        <f>O41/1.2</f>
        <v>2166.666666666667</v>
      </c>
      <c r="N41" s="450">
        <f>O41-M41</f>
        <v>433.33333333333303</v>
      </c>
      <c r="O41" s="449">
        <v>2600</v>
      </c>
    </row>
    <row r="42" spans="1:15" ht="19.5" customHeight="1" thickBot="1">
      <c r="B42" s="696" t="s">
        <v>256</v>
      </c>
      <c r="C42" s="696"/>
      <c r="D42" s="260"/>
      <c r="E42" s="244" t="s">
        <v>208</v>
      </c>
      <c r="F42" s="242"/>
      <c r="G42" s="696" t="s">
        <v>255</v>
      </c>
      <c r="H42" s="696"/>
      <c r="I42" s="263"/>
      <c r="K42" s="449" t="s">
        <v>647</v>
      </c>
      <c r="L42" s="450" t="s">
        <v>647</v>
      </c>
      <c r="M42" s="449">
        <v>600</v>
      </c>
      <c r="N42" s="449">
        <v>0</v>
      </c>
      <c r="O42" s="450">
        <f>N42+M42</f>
        <v>600</v>
      </c>
    </row>
    <row r="43" spans="1:15" ht="19.5" customHeight="1" thickBot="1">
      <c r="B43" s="478" t="s">
        <v>582</v>
      </c>
      <c r="C43" s="468">
        <f>C9+C10+C11+C12+C13+C14+C16+C18+C19+C20+C21+C17</f>
        <v>44501.31933333334</v>
      </c>
      <c r="E43" s="244">
        <f>C43/12</f>
        <v>3708.4432777777783</v>
      </c>
      <c r="F43" s="261"/>
      <c r="G43" s="478" t="s">
        <v>582</v>
      </c>
      <c r="H43" s="468">
        <f>H9+H10+H11+H12+H13+H14+H16+H18+H19+H20+H21+H17</f>
        <v>24976.706000000002</v>
      </c>
      <c r="I43" s="261"/>
      <c r="M43" s="244"/>
      <c r="N43" s="244"/>
      <c r="O43" s="244"/>
    </row>
    <row r="44" spans="1:15" ht="19.5" customHeight="1" thickBot="1">
      <c r="B44" s="479" t="s">
        <v>154</v>
      </c>
      <c r="C44" s="469">
        <f>SUM(C3:C5)</f>
        <v>30150</v>
      </c>
      <c r="E44" s="244">
        <f t="shared" ref="E44:E48" si="14">C44/12</f>
        <v>2512.5</v>
      </c>
      <c r="F44" s="261"/>
      <c r="G44" s="479" t="s">
        <v>154</v>
      </c>
      <c r="H44" s="469">
        <f>SUM(H3:H5)</f>
        <v>13110</v>
      </c>
      <c r="M44" s="244"/>
      <c r="N44" s="244"/>
      <c r="O44" s="244"/>
    </row>
    <row r="45" spans="1:15" ht="19.5" customHeight="1" thickBot="1">
      <c r="B45" s="480" t="s">
        <v>155</v>
      </c>
      <c r="C45" s="470">
        <f>C43+C44</f>
        <v>74651.319333333347</v>
      </c>
      <c r="E45" s="262">
        <f t="shared" si="14"/>
        <v>6220.9432777777793</v>
      </c>
      <c r="F45" s="263"/>
      <c r="G45" s="480" t="s">
        <v>155</v>
      </c>
      <c r="H45" s="470">
        <f>H43+H44</f>
        <v>38086.706000000006</v>
      </c>
      <c r="M45" s="244">
        <f>SUM(M30:M42)</f>
        <v>17060</v>
      </c>
      <c r="N45" s="244"/>
      <c r="O45" s="244"/>
    </row>
    <row r="46" spans="1:15" ht="19.5" customHeight="1" thickBot="1">
      <c r="B46" s="481" t="s">
        <v>156</v>
      </c>
      <c r="C46" s="471">
        <f>C38+C36+C35+C32+C30+C29+C28+C27+C26+C25+C24+C23+C22+C8+C7+C6</f>
        <v>25970.333333333336</v>
      </c>
      <c r="D46" s="262"/>
      <c r="E46" s="262">
        <f t="shared" si="14"/>
        <v>2164.1944444444448</v>
      </c>
      <c r="F46" s="263"/>
      <c r="G46" s="481" t="s">
        <v>156</v>
      </c>
      <c r="H46" s="471">
        <f>H38+H36+H35+H32+H30+H29+H28+H27+H26+H25+H24+H23+H22+H8+H7+H6</f>
        <v>9245.2000000000007</v>
      </c>
      <c r="M46" s="240"/>
    </row>
    <row r="47" spans="1:15" ht="19.5" customHeight="1" thickBot="1">
      <c r="B47" s="482" t="s">
        <v>253</v>
      </c>
      <c r="C47" s="472">
        <f>C37+C31+C15</f>
        <v>8940</v>
      </c>
      <c r="D47" s="262"/>
      <c r="E47" s="262">
        <f t="shared" si="14"/>
        <v>745</v>
      </c>
      <c r="F47" s="263"/>
      <c r="G47" s="482" t="s">
        <v>253</v>
      </c>
      <c r="H47" s="472">
        <f>H37+H31+H15</f>
        <v>1386.61</v>
      </c>
      <c r="I47" s="261"/>
      <c r="J47" s="254"/>
    </row>
    <row r="48" spans="1:15" ht="19.5" customHeight="1" thickBot="1">
      <c r="B48" s="483" t="s">
        <v>254</v>
      </c>
      <c r="C48" s="473">
        <f>C45+C46+C47</f>
        <v>109561.65266666669</v>
      </c>
      <c r="E48" s="264">
        <f t="shared" si="14"/>
        <v>9130.1377222222236</v>
      </c>
      <c r="F48" s="261"/>
      <c r="G48" s="483" t="s">
        <v>254</v>
      </c>
      <c r="H48" s="473">
        <f>H45+H46+H47</f>
        <v>48718.516000000003</v>
      </c>
    </row>
    <row r="49" spans="2:12" ht="15.75" customHeight="1" thickBot="1">
      <c r="B49" s="484" t="s">
        <v>115</v>
      </c>
      <c r="C49" s="474">
        <v>0</v>
      </c>
      <c r="E49" s="182"/>
    </row>
    <row r="50" spans="2:12" ht="15.75" customHeight="1" thickBot="1">
      <c r="B50" s="485" t="s">
        <v>176</v>
      </c>
      <c r="C50" s="475">
        <f>C48+C48*C49</f>
        <v>109561.65266666669</v>
      </c>
    </row>
    <row r="51" spans="2:12" ht="15.75" customHeight="1" thickBot="1">
      <c r="B51" s="486"/>
      <c r="C51" s="476"/>
    </row>
    <row r="52" spans="2:12" ht="15.75" customHeight="1" thickBot="1">
      <c r="B52" s="487" t="s">
        <v>125</v>
      </c>
      <c r="C52" s="477">
        <f>C50-C48</f>
        <v>0</v>
      </c>
      <c r="E52" s="240"/>
      <c r="F52" s="261"/>
    </row>
    <row r="53" spans="2:12" ht="15.75" customHeight="1">
      <c r="B53" s="488"/>
      <c r="C53" s="183"/>
      <c r="G53" s="489"/>
      <c r="H53" s="490"/>
      <c r="L53" s="266"/>
    </row>
    <row r="54" spans="2:12" ht="15.75" customHeight="1">
      <c r="L54" s="266"/>
    </row>
    <row r="55" spans="2:12" ht="15.75" customHeight="1">
      <c r="C55" s="183"/>
      <c r="L55" s="266"/>
    </row>
    <row r="56" spans="2:12" ht="15.75" customHeight="1">
      <c r="C56" s="183"/>
      <c r="L56" s="266"/>
    </row>
    <row r="57" spans="2:12" ht="15.75" customHeight="1">
      <c r="C57" s="183"/>
      <c r="L57" s="266"/>
    </row>
    <row r="58" spans="2:12" ht="15.75" customHeight="1">
      <c r="C58" s="183"/>
      <c r="L58" s="266"/>
    </row>
    <row r="59" spans="2:12" ht="15.75" customHeight="1">
      <c r="C59" s="183"/>
      <c r="L59" s="266"/>
    </row>
    <row r="60" spans="2:12" ht="15.75" customHeight="1">
      <c r="C60" s="183"/>
      <c r="L60" s="266"/>
    </row>
    <row r="61" spans="2:12" ht="15.75" customHeight="1">
      <c r="C61" s="183"/>
      <c r="L61" s="266"/>
    </row>
    <row r="62" spans="2:12" ht="15.75" customHeight="1">
      <c r="C62" s="183"/>
      <c r="L62" s="266"/>
    </row>
    <row r="63" spans="2:12" ht="15.75" customHeight="1">
      <c r="C63" s="183"/>
      <c r="L63" s="266"/>
    </row>
    <row r="64" spans="2:12" ht="15.75" customHeight="1">
      <c r="C64" s="183"/>
      <c r="L64" s="266"/>
    </row>
    <row r="65" spans="3:14" ht="15.75" customHeight="1">
      <c r="C65" s="183"/>
      <c r="L65" s="266"/>
    </row>
    <row r="66" spans="3:14" ht="15.75" customHeight="1">
      <c r="C66" s="183"/>
      <c r="L66" s="266"/>
    </row>
    <row r="67" spans="3:14" ht="15.75" customHeight="1">
      <c r="C67" s="183"/>
      <c r="L67" s="266"/>
    </row>
    <row r="68" spans="3:14" ht="15.75" customHeight="1">
      <c r="C68" s="183"/>
      <c r="L68" s="266"/>
    </row>
    <row r="69" spans="3:14" ht="15.75" customHeight="1">
      <c r="C69" s="183"/>
    </row>
    <row r="70" spans="3:14" ht="15.75" customHeight="1">
      <c r="C70" s="183"/>
    </row>
    <row r="71" spans="3:14" ht="15.75" customHeight="1">
      <c r="C71" s="183"/>
    </row>
    <row r="72" spans="3:14" ht="15.75" customHeight="1">
      <c r="C72" s="183"/>
    </row>
    <row r="73" spans="3:14" ht="15.75" customHeight="1">
      <c r="C73" s="183"/>
    </row>
    <row r="74" spans="3:14" ht="15.75" customHeight="1">
      <c r="C74" s="183"/>
    </row>
    <row r="75" spans="3:14" ht="15.75" customHeight="1">
      <c r="C75" s="183"/>
    </row>
    <row r="76" spans="3:14" ht="15.75" customHeight="1">
      <c r="C76" s="183"/>
    </row>
    <row r="77" spans="3:14" ht="15.75" customHeight="1">
      <c r="C77" s="183"/>
    </row>
    <row r="78" spans="3:14" ht="15.75" customHeight="1">
      <c r="C78" s="183"/>
    </row>
    <row r="79" spans="3:14" ht="15.75" customHeight="1">
      <c r="C79" s="183"/>
      <c r="N79" s="183"/>
    </row>
    <row r="80" spans="3:14" ht="15.75" customHeight="1">
      <c r="C80" s="183"/>
      <c r="N80" s="183"/>
    </row>
    <row r="81" spans="3:3" ht="15.75" customHeight="1">
      <c r="C81" s="183"/>
    </row>
    <row r="82" spans="3:3" ht="15.75" customHeight="1">
      <c r="C82" s="183"/>
    </row>
    <row r="83" spans="3:3" ht="15.75" customHeight="1">
      <c r="C83" s="183"/>
    </row>
    <row r="84" spans="3:3" ht="15.75" customHeight="1">
      <c r="C84" s="183"/>
    </row>
    <row r="85" spans="3:3" ht="15.75" customHeight="1">
      <c r="C85" s="183"/>
    </row>
    <row r="86" spans="3:3" ht="15.75" customHeight="1">
      <c r="C86" s="183"/>
    </row>
    <row r="87" spans="3:3" ht="15.75" customHeight="1">
      <c r="C87" s="183"/>
    </row>
    <row r="88" spans="3:3" ht="15.75" customHeight="1">
      <c r="C88" s="183"/>
    </row>
    <row r="89" spans="3:3" ht="15.75" customHeight="1">
      <c r="C89" s="183"/>
    </row>
    <row r="90" spans="3:3" ht="15.75" customHeight="1">
      <c r="C90" s="183"/>
    </row>
    <row r="91" spans="3:3" ht="15.75" customHeight="1">
      <c r="C91" s="183"/>
    </row>
    <row r="92" spans="3:3" ht="15.75" customHeight="1">
      <c r="C92" s="183"/>
    </row>
    <row r="93" spans="3:3" ht="15.75" customHeight="1">
      <c r="C93" s="183"/>
    </row>
    <row r="94" spans="3:3" ht="15.75" customHeight="1">
      <c r="C94" s="183"/>
    </row>
    <row r="95" spans="3:3" ht="15.75" customHeight="1">
      <c r="C95" s="183"/>
    </row>
    <row r="96" spans="3:3" ht="15.75" customHeight="1">
      <c r="C96" s="183"/>
    </row>
    <row r="97" spans="3:15" ht="15.75" customHeight="1">
      <c r="C97" s="183"/>
    </row>
    <row r="98" spans="3:15" ht="15.75" customHeight="1">
      <c r="C98" s="183"/>
    </row>
    <row r="99" spans="3:15" ht="15.75" customHeight="1">
      <c r="C99" s="183"/>
    </row>
    <row r="100" spans="3:15" ht="15.75" customHeight="1">
      <c r="C100" s="183"/>
      <c r="L100" s="183"/>
    </row>
    <row r="101" spans="3:15" ht="15.75" customHeight="1">
      <c r="C101" s="183"/>
      <c r="L101" s="183"/>
    </row>
    <row r="102" spans="3:15" ht="15.75" customHeight="1">
      <c r="C102" s="183"/>
      <c r="K102" s="266"/>
      <c r="L102" s="190"/>
      <c r="M102" s="266"/>
      <c r="N102" s="266"/>
      <c r="O102" s="266"/>
    </row>
    <row r="103" spans="3:15" ht="15.75" customHeight="1">
      <c r="C103" s="183"/>
      <c r="K103" s="700"/>
      <c r="L103" s="700"/>
      <c r="M103" s="700"/>
      <c r="N103" s="266"/>
      <c r="O103" s="266"/>
    </row>
    <row r="104" spans="3:15" ht="15.75" customHeight="1">
      <c r="C104" s="183"/>
      <c r="K104" s="266"/>
      <c r="L104" s="268"/>
      <c r="M104" s="268"/>
      <c r="N104" s="266"/>
      <c r="O104" s="266"/>
    </row>
    <row r="105" spans="3:15" ht="15.75" customHeight="1">
      <c r="C105" s="183"/>
      <c r="K105" s="266"/>
      <c r="L105" s="270"/>
      <c r="M105" s="270"/>
      <c r="N105" s="266"/>
      <c r="O105" s="266"/>
    </row>
    <row r="106" spans="3:15" ht="15.75" customHeight="1">
      <c r="C106" s="183"/>
      <c r="K106" s="266"/>
      <c r="L106" s="270"/>
      <c r="M106" s="270"/>
      <c r="N106" s="266"/>
      <c r="O106" s="266"/>
    </row>
    <row r="107" spans="3:15" ht="15.75" customHeight="1">
      <c r="C107" s="183"/>
      <c r="K107" s="266"/>
      <c r="L107" s="270"/>
      <c r="M107" s="270"/>
      <c r="N107" s="266"/>
      <c r="O107" s="266"/>
    </row>
    <row r="108" spans="3:15" ht="15.75" customHeight="1">
      <c r="C108" s="183"/>
      <c r="K108" s="266"/>
      <c r="L108" s="270"/>
      <c r="M108" s="270"/>
      <c r="N108" s="266"/>
      <c r="O108" s="266"/>
    </row>
    <row r="109" spans="3:15" ht="15.75" customHeight="1">
      <c r="C109" s="183"/>
      <c r="K109" s="266"/>
      <c r="L109" s="270"/>
      <c r="M109" s="270"/>
      <c r="N109" s="266"/>
      <c r="O109" s="266"/>
    </row>
    <row r="110" spans="3:15" ht="15.75" customHeight="1">
      <c r="C110" s="183"/>
      <c r="K110" s="266"/>
      <c r="L110" s="270"/>
      <c r="M110" s="270"/>
      <c r="N110" s="266"/>
      <c r="O110" s="266"/>
    </row>
    <row r="111" spans="3:15" ht="15.75" customHeight="1">
      <c r="C111" s="183"/>
      <c r="K111" s="266"/>
      <c r="L111" s="270"/>
      <c r="M111" s="270"/>
      <c r="N111" s="266"/>
      <c r="O111" s="266"/>
    </row>
    <row r="112" spans="3:15" ht="15.75" customHeight="1">
      <c r="C112" s="183"/>
      <c r="K112" s="266"/>
      <c r="L112" s="270"/>
      <c r="M112" s="270"/>
      <c r="N112" s="266"/>
      <c r="O112" s="266"/>
    </row>
    <row r="113" spans="3:15" ht="15.75" customHeight="1">
      <c r="C113" s="183"/>
      <c r="K113" s="266"/>
      <c r="L113" s="186"/>
      <c r="M113" s="186"/>
      <c r="N113" s="266"/>
      <c r="O113" s="266"/>
    </row>
    <row r="114" spans="3:15" ht="15.75" customHeight="1">
      <c r="C114" s="183"/>
      <c r="K114" s="266"/>
      <c r="L114" s="186"/>
      <c r="M114" s="186"/>
      <c r="N114" s="266"/>
      <c r="O114" s="266"/>
    </row>
    <row r="115" spans="3:15" ht="15.75" customHeight="1">
      <c r="C115" s="183"/>
      <c r="K115" s="266"/>
      <c r="L115" s="186"/>
      <c r="M115" s="186"/>
      <c r="N115" s="266"/>
      <c r="O115" s="266"/>
    </row>
    <row r="116" spans="3:15" ht="15.75" customHeight="1">
      <c r="C116" s="183"/>
      <c r="K116" s="266"/>
      <c r="L116" s="186"/>
      <c r="M116" s="186"/>
      <c r="N116" s="266"/>
      <c r="O116" s="266"/>
    </row>
    <row r="117" spans="3:15" ht="15.75" customHeight="1">
      <c r="C117" s="183"/>
      <c r="K117" s="266"/>
      <c r="L117" s="186"/>
      <c r="M117" s="186"/>
      <c r="N117" s="266"/>
      <c r="O117" s="266"/>
    </row>
    <row r="118" spans="3:15" ht="15.75" customHeight="1">
      <c r="C118" s="183"/>
      <c r="L118" s="183"/>
    </row>
    <row r="119" spans="3:15" ht="15.75" customHeight="1">
      <c r="C119" s="183"/>
      <c r="L119" s="183"/>
    </row>
    <row r="120" spans="3:15" ht="15.75" customHeight="1">
      <c r="C120" s="183"/>
      <c r="L120" s="183"/>
    </row>
    <row r="121" spans="3:15" ht="15.75" customHeight="1">
      <c r="C121" s="183"/>
      <c r="L121" s="183"/>
    </row>
    <row r="122" spans="3:15" ht="15.75" customHeight="1">
      <c r="C122" s="183"/>
      <c r="L122" s="183"/>
    </row>
    <row r="123" spans="3:15" ht="15.75" customHeight="1">
      <c r="C123" s="183"/>
      <c r="L123" s="183"/>
    </row>
    <row r="124" spans="3:15" ht="15.75" customHeight="1">
      <c r="C124" s="183"/>
      <c r="L124" s="183"/>
    </row>
    <row r="125" spans="3:15" ht="15.75" customHeight="1">
      <c r="C125" s="183"/>
      <c r="L125" s="183"/>
    </row>
    <row r="126" spans="3:15" ht="15.75" customHeight="1">
      <c r="C126" s="183"/>
      <c r="L126" s="183"/>
    </row>
    <row r="127" spans="3:15" ht="15.75" customHeight="1">
      <c r="C127" s="183"/>
      <c r="L127" s="183"/>
    </row>
    <row r="128" spans="3:15" ht="15.75" customHeight="1">
      <c r="C128" s="183"/>
      <c r="N128" s="183"/>
    </row>
    <row r="129" spans="3:14" ht="15.75" customHeight="1">
      <c r="C129" s="183"/>
      <c r="N129" s="183"/>
    </row>
    <row r="130" spans="3:14" ht="15.75" customHeight="1">
      <c r="C130" s="183"/>
      <c r="N130" s="183"/>
    </row>
    <row r="131" spans="3:14" ht="15.75" customHeight="1">
      <c r="C131" s="183"/>
      <c r="N131" s="183"/>
    </row>
    <row r="132" spans="3:14" ht="15.75" customHeight="1">
      <c r="C132" s="183"/>
      <c r="N132" s="183"/>
    </row>
    <row r="133" spans="3:14" ht="15.75" customHeight="1">
      <c r="C133" s="183"/>
      <c r="N133" s="183"/>
    </row>
    <row r="134" spans="3:14" ht="15.75" customHeight="1">
      <c r="C134" s="183"/>
      <c r="N134" s="183"/>
    </row>
    <row r="135" spans="3:14" ht="15.75" customHeight="1">
      <c r="C135" s="183"/>
      <c r="N135" s="183"/>
    </row>
    <row r="136" spans="3:14" ht="15.75" customHeight="1">
      <c r="C136" s="183"/>
      <c r="N136" s="183"/>
    </row>
    <row r="137" spans="3:14" ht="15.75" customHeight="1">
      <c r="C137" s="183"/>
      <c r="N137" s="183"/>
    </row>
    <row r="138" spans="3:14" ht="15.75" customHeight="1">
      <c r="C138" s="183"/>
      <c r="N138" s="183"/>
    </row>
    <row r="139" spans="3:14" ht="15.75" customHeight="1">
      <c r="C139" s="183"/>
      <c r="N139" s="183"/>
    </row>
    <row r="140" spans="3:14" ht="15.75" customHeight="1">
      <c r="C140" s="183"/>
      <c r="N140" s="183"/>
    </row>
    <row r="141" spans="3:14" ht="15.75" customHeight="1">
      <c r="C141" s="183"/>
      <c r="N141" s="183"/>
    </row>
    <row r="142" spans="3:14" ht="15.75" customHeight="1">
      <c r="C142" s="183"/>
      <c r="N142" s="183"/>
    </row>
    <row r="143" spans="3:14" ht="15.75" customHeight="1">
      <c r="C143" s="183"/>
      <c r="N143" s="183"/>
    </row>
    <row r="144" spans="3:14" ht="15.75" customHeight="1">
      <c r="C144" s="183"/>
      <c r="N144" s="183"/>
    </row>
    <row r="145" spans="3:14" ht="15.75" customHeight="1">
      <c r="C145" s="183"/>
      <c r="N145" s="183"/>
    </row>
    <row r="146" spans="3:14" ht="15.75" customHeight="1">
      <c r="C146" s="183"/>
      <c r="N146" s="183"/>
    </row>
    <row r="147" spans="3:14" ht="15.75" customHeight="1">
      <c r="C147" s="183"/>
      <c r="N147" s="183"/>
    </row>
    <row r="148" spans="3:14" ht="15.75" customHeight="1">
      <c r="C148" s="183"/>
      <c r="N148" s="183"/>
    </row>
    <row r="149" spans="3:14" ht="15.75" customHeight="1">
      <c r="C149" s="183"/>
      <c r="N149" s="183"/>
    </row>
    <row r="150" spans="3:14" ht="15.75" customHeight="1">
      <c r="C150" s="183"/>
      <c r="N150" s="183"/>
    </row>
    <row r="151" spans="3:14" ht="15.75" customHeight="1">
      <c r="C151" s="183"/>
      <c r="N151" s="183"/>
    </row>
    <row r="152" spans="3:14" ht="15.75" customHeight="1">
      <c r="C152" s="183"/>
      <c r="N152" s="183"/>
    </row>
    <row r="153" spans="3:14" ht="15.75" customHeight="1">
      <c r="C153" s="183"/>
      <c r="N153" s="183"/>
    </row>
    <row r="154" spans="3:14" ht="15.75" customHeight="1">
      <c r="C154" s="183"/>
      <c r="N154" s="183"/>
    </row>
    <row r="155" spans="3:14" ht="15.75" customHeight="1">
      <c r="C155" s="183"/>
      <c r="N155" s="183"/>
    </row>
    <row r="156" spans="3:14" ht="15.75" customHeight="1">
      <c r="C156" s="183"/>
      <c r="N156" s="183"/>
    </row>
    <row r="157" spans="3:14" ht="15.75" customHeight="1">
      <c r="C157" s="183"/>
      <c r="N157" s="183"/>
    </row>
    <row r="158" spans="3:14" ht="15.75" customHeight="1">
      <c r="C158" s="183"/>
      <c r="N158" s="183"/>
    </row>
    <row r="159" spans="3:14" ht="15.75" customHeight="1">
      <c r="C159" s="183"/>
      <c r="N159" s="183"/>
    </row>
    <row r="160" spans="3:14" ht="15.75" customHeight="1">
      <c r="C160" s="183"/>
      <c r="N160" s="183"/>
    </row>
    <row r="161" spans="3:14" ht="15.75" customHeight="1">
      <c r="C161" s="183"/>
      <c r="N161" s="183"/>
    </row>
    <row r="162" spans="3:14" ht="15.75" customHeight="1">
      <c r="C162" s="183"/>
      <c r="N162" s="183"/>
    </row>
    <row r="163" spans="3:14" ht="15.75" customHeight="1">
      <c r="C163" s="183"/>
      <c r="N163" s="183"/>
    </row>
    <row r="164" spans="3:14" ht="15.75" customHeight="1">
      <c r="C164" s="183"/>
      <c r="N164" s="183"/>
    </row>
    <row r="165" spans="3:14" ht="15.75" customHeight="1">
      <c r="C165" s="183"/>
      <c r="N165" s="183"/>
    </row>
    <row r="166" spans="3:14" ht="15.75" customHeight="1">
      <c r="C166" s="183"/>
      <c r="N166" s="183"/>
    </row>
    <row r="167" spans="3:14" ht="15.75" customHeight="1">
      <c r="C167" s="183"/>
      <c r="N167" s="183"/>
    </row>
    <row r="168" spans="3:14" ht="15.75" customHeight="1">
      <c r="C168" s="183"/>
      <c r="N168" s="183"/>
    </row>
    <row r="169" spans="3:14" ht="15.75" customHeight="1">
      <c r="C169" s="183"/>
      <c r="N169" s="183"/>
    </row>
    <row r="170" spans="3:14" ht="15.75" customHeight="1">
      <c r="C170" s="183"/>
      <c r="N170" s="183"/>
    </row>
    <row r="171" spans="3:14" ht="15.75" customHeight="1">
      <c r="C171" s="183"/>
      <c r="N171" s="183"/>
    </row>
    <row r="172" spans="3:14" ht="15.75" customHeight="1">
      <c r="C172" s="183"/>
      <c r="N172" s="183"/>
    </row>
    <row r="173" spans="3:14" ht="15.75" customHeight="1">
      <c r="C173" s="183"/>
      <c r="N173" s="183"/>
    </row>
    <row r="174" spans="3:14" ht="15.75" customHeight="1">
      <c r="C174" s="183"/>
      <c r="N174" s="183"/>
    </row>
    <row r="175" spans="3:14" ht="15.75" customHeight="1">
      <c r="C175" s="183"/>
      <c r="N175" s="183"/>
    </row>
    <row r="176" spans="3:14" ht="15.75" customHeight="1">
      <c r="C176" s="183"/>
      <c r="N176" s="183"/>
    </row>
    <row r="177" spans="3:14" ht="15.75" customHeight="1">
      <c r="C177" s="183"/>
      <c r="N177" s="183"/>
    </row>
    <row r="178" spans="3:14" ht="15.75" customHeight="1">
      <c r="C178" s="183"/>
      <c r="N178" s="183"/>
    </row>
    <row r="179" spans="3:14" ht="15.75" customHeight="1">
      <c r="C179" s="183"/>
      <c r="N179" s="183"/>
    </row>
    <row r="180" spans="3:14" ht="15.75" customHeight="1">
      <c r="C180" s="183"/>
      <c r="N180" s="183"/>
    </row>
    <row r="181" spans="3:14" ht="15.75" customHeight="1">
      <c r="C181" s="183"/>
      <c r="N181" s="183"/>
    </row>
    <row r="182" spans="3:14" ht="15.75" customHeight="1">
      <c r="C182" s="183"/>
      <c r="N182" s="183"/>
    </row>
    <row r="183" spans="3:14" ht="15.75" customHeight="1">
      <c r="C183" s="183"/>
      <c r="N183" s="183"/>
    </row>
    <row r="184" spans="3:14" ht="15.75" customHeight="1">
      <c r="C184" s="183"/>
      <c r="N184" s="183"/>
    </row>
    <row r="185" spans="3:14" ht="15.75" customHeight="1">
      <c r="C185" s="183"/>
      <c r="N185" s="183"/>
    </row>
    <row r="186" spans="3:14" ht="15.75" customHeight="1">
      <c r="C186" s="183"/>
      <c r="N186" s="183"/>
    </row>
    <row r="187" spans="3:14" ht="15.75" customHeight="1">
      <c r="C187" s="183"/>
      <c r="N187" s="183"/>
    </row>
    <row r="188" spans="3:14" ht="15.75" customHeight="1">
      <c r="C188" s="183"/>
      <c r="N188" s="183"/>
    </row>
    <row r="189" spans="3:14" ht="15.75" customHeight="1">
      <c r="C189" s="183"/>
      <c r="N189" s="183"/>
    </row>
    <row r="190" spans="3:14" ht="15.75" customHeight="1">
      <c r="C190" s="183"/>
      <c r="N190" s="183"/>
    </row>
    <row r="191" spans="3:14" ht="15.75" customHeight="1">
      <c r="C191" s="183"/>
      <c r="N191" s="183"/>
    </row>
    <row r="192" spans="3:14" ht="15.75" customHeight="1">
      <c r="C192" s="183"/>
      <c r="N192" s="183"/>
    </row>
    <row r="193" spans="3:14" ht="15.75" customHeight="1">
      <c r="C193" s="183"/>
      <c r="N193" s="183"/>
    </row>
    <row r="194" spans="3:14" ht="15.75" customHeight="1">
      <c r="C194" s="183"/>
      <c r="N194" s="183"/>
    </row>
    <row r="195" spans="3:14" ht="15.75" customHeight="1">
      <c r="C195" s="183"/>
      <c r="N195" s="183"/>
    </row>
    <row r="196" spans="3:14" ht="15.75" customHeight="1">
      <c r="C196" s="183"/>
      <c r="N196" s="183"/>
    </row>
    <row r="197" spans="3:14" ht="15.75" customHeight="1">
      <c r="C197" s="183"/>
      <c r="N197" s="183"/>
    </row>
    <row r="198" spans="3:14" ht="15.75" customHeight="1">
      <c r="C198" s="183"/>
      <c r="N198" s="183"/>
    </row>
    <row r="199" spans="3:14" ht="15.75" customHeight="1">
      <c r="C199" s="183"/>
      <c r="N199" s="183"/>
    </row>
    <row r="200" spans="3:14" ht="15.75" customHeight="1">
      <c r="C200" s="183"/>
      <c r="N200" s="183"/>
    </row>
    <row r="201" spans="3:14" ht="15.75" customHeight="1">
      <c r="C201" s="183"/>
      <c r="N201" s="183"/>
    </row>
    <row r="202" spans="3:14" ht="15.75" customHeight="1">
      <c r="C202" s="183"/>
      <c r="N202" s="183"/>
    </row>
    <row r="203" spans="3:14" ht="15.75" customHeight="1">
      <c r="C203" s="183"/>
      <c r="N203" s="183"/>
    </row>
    <row r="204" spans="3:14" ht="15.75" customHeight="1">
      <c r="C204" s="183"/>
      <c r="N204" s="183"/>
    </row>
    <row r="205" spans="3:14" ht="15.75" customHeight="1">
      <c r="C205" s="183"/>
      <c r="N205" s="183"/>
    </row>
    <row r="206" spans="3:14" ht="15.75" customHeight="1">
      <c r="C206" s="183"/>
      <c r="N206" s="183"/>
    </row>
    <row r="207" spans="3:14" ht="15.75" customHeight="1">
      <c r="C207" s="183"/>
      <c r="N207" s="183"/>
    </row>
    <row r="208" spans="3:14" ht="15.75" customHeight="1">
      <c r="C208" s="183"/>
      <c r="N208" s="183"/>
    </row>
    <row r="209" spans="3:14" ht="15.75" customHeight="1">
      <c r="C209" s="183"/>
      <c r="N209" s="183"/>
    </row>
    <row r="210" spans="3:14" ht="15.75" customHeight="1">
      <c r="C210" s="183"/>
      <c r="N210" s="183"/>
    </row>
    <row r="211" spans="3:14" ht="15.75" customHeight="1">
      <c r="C211" s="183"/>
      <c r="N211" s="183"/>
    </row>
    <row r="212" spans="3:14" ht="15.75" customHeight="1">
      <c r="C212" s="183"/>
      <c r="N212" s="183"/>
    </row>
    <row r="213" spans="3:14" ht="15.75" customHeight="1">
      <c r="C213" s="183"/>
      <c r="N213" s="183"/>
    </row>
    <row r="214" spans="3:14" ht="15.75" customHeight="1">
      <c r="C214" s="183"/>
      <c r="N214" s="183"/>
    </row>
    <row r="215" spans="3:14" ht="15.75" customHeight="1">
      <c r="C215" s="183"/>
      <c r="N215" s="183"/>
    </row>
    <row r="216" spans="3:14" ht="15.75" customHeight="1">
      <c r="C216" s="183"/>
      <c r="N216" s="183"/>
    </row>
    <row r="217" spans="3:14" ht="15.75" customHeight="1">
      <c r="C217" s="183"/>
      <c r="N217" s="183"/>
    </row>
    <row r="218" spans="3:14" ht="15.75" customHeight="1">
      <c r="C218" s="183"/>
      <c r="N218" s="183"/>
    </row>
    <row r="219" spans="3:14" ht="15.75" customHeight="1">
      <c r="C219" s="183"/>
      <c r="N219" s="183"/>
    </row>
    <row r="220" spans="3:14" ht="15.75" customHeight="1">
      <c r="C220" s="183"/>
      <c r="N220" s="183"/>
    </row>
    <row r="221" spans="3:14" ht="15.75" customHeight="1">
      <c r="C221" s="183"/>
      <c r="N221" s="183"/>
    </row>
    <row r="222" spans="3:14" ht="15.75" customHeight="1">
      <c r="C222" s="183"/>
      <c r="N222" s="183"/>
    </row>
    <row r="223" spans="3:14" ht="15.75" customHeight="1">
      <c r="C223" s="183"/>
    </row>
    <row r="224" spans="3:14" ht="15.75" customHeight="1">
      <c r="C224" s="183"/>
    </row>
    <row r="225" spans="3:3" ht="15.75" customHeight="1">
      <c r="C225" s="183"/>
    </row>
    <row r="226" spans="3:3" ht="15.75" customHeight="1">
      <c r="C226" s="183"/>
    </row>
    <row r="227" spans="3:3" ht="15.75" customHeight="1">
      <c r="C227" s="183"/>
    </row>
    <row r="228" spans="3:3" ht="15.75" customHeight="1">
      <c r="C228" s="183"/>
    </row>
    <row r="229" spans="3:3" ht="15.75" customHeight="1">
      <c r="C229" s="183"/>
    </row>
    <row r="230" spans="3:3" ht="15.75" customHeight="1">
      <c r="C230" s="183"/>
    </row>
    <row r="231" spans="3:3" ht="15.75" customHeight="1">
      <c r="C231" s="183"/>
    </row>
    <row r="232" spans="3:3" ht="15.75" customHeight="1">
      <c r="C232" s="183"/>
    </row>
    <row r="233" spans="3:3" ht="15.75" customHeight="1">
      <c r="C233" s="183"/>
    </row>
    <row r="234" spans="3:3" ht="15.75" customHeight="1">
      <c r="C234" s="183"/>
    </row>
    <row r="235" spans="3:3" ht="15.75" customHeight="1">
      <c r="C235" s="183"/>
    </row>
    <row r="236" spans="3:3" ht="15.75" customHeight="1">
      <c r="C236" s="183"/>
    </row>
    <row r="237" spans="3:3" ht="15.75" customHeight="1">
      <c r="C237" s="183"/>
    </row>
    <row r="238" spans="3:3" ht="15.75" customHeight="1"/>
    <row r="239" spans="3:3" ht="15.75" customHeight="1"/>
    <row r="240" spans="3:3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5">
    <mergeCell ref="C1:E1"/>
    <mergeCell ref="B42:C42"/>
    <mergeCell ref="G42:H42"/>
    <mergeCell ref="K10:M10"/>
    <mergeCell ref="K103:M103"/>
  </mergeCells>
  <conditionalFormatting sqref="H41 H3:H38">
    <cfRule type="cellIs" dxfId="1" priority="4" operator="lessThan">
      <formula>0</formula>
    </cfRule>
  </conditionalFormatting>
  <pageMargins left="0" right="0" top="0.1388888888888889" bottom="0.1388888888888889" header="0" footer="0"/>
  <pageSetup paperSize="9" scale="96" pageOrder="overThenDown" orientation="portrait" r:id="rId1"/>
  <headerFooter>
    <oddHeader>&amp;C&amp;A</oddHeader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B3A9-FB4E-CE4B-9AFF-8331091B2CE6}">
  <sheetPr codeName="Feuil5">
    <tabColor rgb="FF92D050"/>
  </sheetPr>
  <dimension ref="A1:XFD67"/>
  <sheetViews>
    <sheetView showZeros="0" zoomScale="80" zoomScaleNormal="80" workbookViewId="0">
      <selection activeCell="T2" sqref="T2"/>
    </sheetView>
  </sheetViews>
  <sheetFormatPr baseColWidth="10" defaultRowHeight="20"/>
  <cols>
    <col min="1" max="1" width="16.85546875" style="102" bestFit="1" customWidth="1"/>
    <col min="2" max="2" width="77.42578125" style="102" customWidth="1"/>
    <col min="3" max="20" width="15.7109375" style="102" customWidth="1"/>
    <col min="21" max="23" width="15.7109375" style="510" customWidth="1"/>
    <col min="24" max="16384" width="10.7109375" style="102"/>
  </cols>
  <sheetData>
    <row r="1" spans="1:16384" ht="21">
      <c r="A1" s="513" t="s">
        <v>564</v>
      </c>
      <c r="B1" s="514"/>
      <c r="C1" s="515" t="str">
        <f>TEXT(DATE(2025,7,1),"aaaamm")</f>
        <v>202507</v>
      </c>
      <c r="D1" s="515" t="str">
        <f>TEXT(DATE(2025,8,1),"aaaamm")</f>
        <v>202508</v>
      </c>
      <c r="E1" s="515" t="str">
        <f>TEXT(DATE(2025,9,1),"aaaamm")</f>
        <v>202509</v>
      </c>
      <c r="F1" s="515" t="str">
        <f>TEXT(DATE(2025,10,1),"aaaamm")</f>
        <v>202510</v>
      </c>
      <c r="G1" s="515" t="str">
        <f>TEXT(DATE(2025,11,1),"aaaamm")</f>
        <v>202511</v>
      </c>
      <c r="H1" s="515" t="str">
        <f>TEXT(DATE(2025,12,1),"aaaamm")</f>
        <v>202512</v>
      </c>
      <c r="I1" s="515" t="str">
        <f>TEXT(DATE(2026,1,1),"aaaamm")</f>
        <v>202601</v>
      </c>
      <c r="J1" s="515" t="str">
        <f>TEXT(DATE(2026,2,1),"aaaamm")</f>
        <v>202602</v>
      </c>
      <c r="K1" s="515" t="str">
        <f>TEXT(DATE(2026,3,1),"aaaamm")</f>
        <v>202603</v>
      </c>
      <c r="L1" s="515" t="str">
        <f>TEXT(DATE(2026,4,1),"aaaamm")</f>
        <v>202604</v>
      </c>
      <c r="M1" s="515" t="str">
        <f>TEXT(DATE(2026,5,1),"aaaamm")</f>
        <v>202605</v>
      </c>
      <c r="N1" s="515" t="str">
        <f>TEXT(DATE(2026,6,1),"aaaamm")</f>
        <v>202606</v>
      </c>
      <c r="O1" s="515" t="str">
        <f>TEXT(DATE(2026,7,1),"aaaamm")</f>
        <v>202607</v>
      </c>
      <c r="P1" s="515" t="str">
        <f>TEXT(DATE(2026,8,1),"aaaamm")</f>
        <v>202608</v>
      </c>
      <c r="Q1" s="515" t="str">
        <f>TEXT(DATE(2026,9,1),"aaaamm")</f>
        <v>202609</v>
      </c>
      <c r="R1" s="515" t="str">
        <f>TEXT(DATE(2026,10,1),"aaaamm")</f>
        <v>202610</v>
      </c>
      <c r="S1" s="515" t="str">
        <f>TEXT(DATE(2026,11,1),"aaaamm")</f>
        <v>202611</v>
      </c>
      <c r="T1" s="515" t="str">
        <f>TEXT(DATE(2026,12,1),"aaaamm")</f>
        <v>202612</v>
      </c>
      <c r="U1" s="516" t="s">
        <v>135</v>
      </c>
      <c r="V1" s="517" t="s">
        <v>136</v>
      </c>
      <c r="W1" s="518" t="s">
        <v>137</v>
      </c>
    </row>
    <row r="2" spans="1:16384" ht="20" customHeight="1">
      <c r="A2" s="519" t="s">
        <v>139</v>
      </c>
      <c r="B2" s="520" t="s">
        <v>140</v>
      </c>
      <c r="C2" s="521">
        <f>SUMIFS(BANQUE!$E:$E,
              BANQUE!$F:$F,$A2,
              BANQUE!$G:$G,C$1)
-
SUMIFS(BANQUE!$D:$D,
              BANQUE!$F:$F,$A2,
              BANQUE!$G:$G,C$1)</f>
        <v>10875.75</v>
      </c>
      <c r="D2" s="521">
        <f>SUMIFS(BANQUE!$E:$E,
              BANQUE!$F:$F,$A2,
              BANQUE!$G:$G,D$1)
-
SUMIFS(BANQUE!$D:$D,
              BANQUE!$F:$F,$A2,
              BANQUE!$G:$G,D$1)</f>
        <v>3600</v>
      </c>
      <c r="E2" s="521">
        <f>SUMIFS(BANQUE!$E:$E,
              BANQUE!$F:$F,$A2,
              BANQUE!$G:$G,E$1)
-
SUMIFS(BANQUE!$D:$D,
              BANQUE!$F:$F,$A2,
              BANQUE!$G:$G,E$1)</f>
        <v>5810</v>
      </c>
      <c r="F2" s="521">
        <f>SUMIFS(BANQUE!$E:$E,
              BANQUE!$F:$F,$A2,
              BANQUE!$G:$G,F$1)
-
SUMIFS(BANQUE!$D:$D,
              BANQUE!$F:$F,$A2,
              BANQUE!$G:$G,F$1)</f>
        <v>4000</v>
      </c>
      <c r="G2" s="521">
        <f>SUMIFS(BANQUE!$E:$E,
              BANQUE!$F:$F,$A2,
              BANQUE!$G:$G,G$1)
-
SUMIFS(BANQUE!$D:$D,
              BANQUE!$F:$F,$A2,
              BANQUE!$G:$G,G$1)</f>
        <v>1538</v>
      </c>
      <c r="H2" s="521">
        <f>SUMIFS(BANQUE!$E:$E,
              BANQUE!$F:$F,$A2,
              BANQUE!$G:$G,H$1)
-
SUMIFS(BANQUE!$D:$D,
              BANQUE!$F:$F,$A2,
              BANQUE!$G:$G,H$1)</f>
        <v>7750.4</v>
      </c>
      <c r="I2" s="521">
        <f>SUMIFS(BANQUE!$E:$E,
              BANQUE!$F:$F,$A2,
              BANQUE!$G:$G,I$1)
-
SUMIFS(BANQUE!$D:$D,
              BANQUE!$F:$F,$A2,
              BANQUE!$G:$G,I$1)</f>
        <v>7215.6</v>
      </c>
      <c r="J2" s="521">
        <f>SUMIFS(BANQUE!$E:$E,
              BANQUE!$F:$F,$A2,
              BANQUE!$G:$G,J$1)
-
SUMIFS(BANQUE!$D:$D,
              BANQUE!$F:$F,$A2,
              BANQUE!$G:$G,J$1)</f>
        <v>1020</v>
      </c>
      <c r="K2" s="521">
        <f>SUMIFS(BANQUE!$E:$E,
              BANQUE!$F:$F,$A2,
              BANQUE!$G:$G,K$1)
-
SUMIFS(BANQUE!$D:$D,
              BANQUE!$F:$F,$A2,
              BANQUE!$G:$G,K$1)</f>
        <v>0</v>
      </c>
      <c r="L2" s="521">
        <f>SUMIFS(BANQUE!$E:$E,
              BANQUE!$F:$F,$A2,
              BANQUE!$G:$G,L$1)
-
SUMIFS(BANQUE!$D:$D,
              BANQUE!$F:$F,$A2,
              BANQUE!$G:$G,L$1)</f>
        <v>0</v>
      </c>
      <c r="M2" s="521">
        <f>SUMIFS(BANQUE!$E:$E,
              BANQUE!$F:$F,$A2,
              BANQUE!$G:$G,M$1)
-
SUMIFS(BANQUE!$D:$D,
              BANQUE!$F:$F,$A2,
              BANQUE!$G:$G,M$1)</f>
        <v>0</v>
      </c>
      <c r="N2" s="521">
        <f>SUMIFS(BANQUE!$E:$E,
              BANQUE!$F:$F,$A2,
              BANQUE!$G:$G,N$1)
-
SUMIFS(BANQUE!$D:$D,
              BANQUE!$F:$F,$A2,
              BANQUE!$G:$G,N$1)</f>
        <v>0</v>
      </c>
      <c r="O2" s="521">
        <f>SUMIFS(BANQUE!$E:$E,
              BANQUE!$F:$F,$A2,
              BANQUE!$G:$G,O$1)
-
SUMIFS(BANQUE!$D:$D,
              BANQUE!$F:$F,$A2,
              BANQUE!$G:$G,O$1)</f>
        <v>0</v>
      </c>
      <c r="P2" s="521">
        <f>SUMIFS(BANQUE!$E:$E,
              BANQUE!$F:$F,$A2,
              BANQUE!$G:$G,P$1)
-
SUMIFS(BANQUE!$D:$D,
              BANQUE!$F:$F,$A2,
              BANQUE!$G:$G,P$1)</f>
        <v>0</v>
      </c>
      <c r="Q2" s="521">
        <f>SUMIFS(BANQUE!$E:$E,
              BANQUE!$F:$F,$A2,
              BANQUE!$G:$G,Q$1)
-
SUMIFS(BANQUE!$D:$D,
              BANQUE!$F:$F,$A2,
              BANQUE!$G:$G,Q$1)</f>
        <v>0</v>
      </c>
      <c r="R2" s="521">
        <f>SUMIFS(BANQUE!$E:$E,
              BANQUE!$F:$F,$A2,
              BANQUE!$G:$G,R$1)
-
SUMIFS(BANQUE!$D:$D,
              BANQUE!$F:$F,$A2,
              BANQUE!$G:$G,R$1)</f>
        <v>0</v>
      </c>
      <c r="S2" s="521">
        <f>SUMIFS(BANQUE!$E:$E,
              BANQUE!$F:$F,$A2,
              BANQUE!$G:$G,S$1)
-
SUMIFS(BANQUE!$D:$D,
              BANQUE!$F:$F,$A2,
              BANQUE!$G:$G,S$1)</f>
        <v>0</v>
      </c>
      <c r="T2" s="521">
        <f>SUMIFS(BANQUE!$E:$E,
              BANQUE!$F:$F,$A2,
              BANQUE!$G:$G,T$1)
-
SUMIFS(BANQUE!$D:$D,
              BANQUE!$F:$F,$A2,
              BANQUE!$G:$G,T$1)</f>
        <v>0</v>
      </c>
      <c r="U2" s="556">
        <f t="shared" ref="U2:U39" si="0">SUM(C2:N2)</f>
        <v>41809.75</v>
      </c>
      <c r="V2" s="522">
        <f>'Prévisionnel 25-26'!C50</f>
        <v>109561.65266666669</v>
      </c>
      <c r="W2" s="589">
        <f>V2-U2</f>
        <v>67751.90266666669</v>
      </c>
    </row>
    <row r="3" spans="1:16384" ht="20" customHeight="1" thickBot="1">
      <c r="A3" s="557" t="s">
        <v>569</v>
      </c>
      <c r="B3" s="558" t="s">
        <v>570</v>
      </c>
      <c r="C3" s="559">
        <f>SUMIFS(BANQUE!$E:$E,
              BANQUE!$F:$F,$A3,
              BANQUE!$G:$G,C$1)
-
SUMIFS(BANQUE!$D:$D,
              BANQUE!$F:$F,$A3,
              BANQUE!$G:$G,C$1)</f>
        <v>5250</v>
      </c>
      <c r="D3" s="559">
        <f>SUMIFS(BANQUE!$E:$E,
              BANQUE!$F:$F,$A3,
              BANQUE!$G:$G,D$1)
-
SUMIFS(BANQUE!$D:$D,
              BANQUE!$F:$F,$A3,
              BANQUE!$G:$G,D$1)</f>
        <v>0</v>
      </c>
      <c r="E3" s="559">
        <f>SUMIFS(BANQUE!$E:$E,
              BANQUE!$F:$F,$A3,
              BANQUE!$G:$G,E$1)
-
SUMIFS(BANQUE!$D:$D,
              BANQUE!$F:$F,$A3,
              BANQUE!$G:$G,E$1)</f>
        <v>0</v>
      </c>
      <c r="F3" s="559">
        <f>SUMIFS(BANQUE!$E:$E,
              BANQUE!$F:$F,$A3,
              BANQUE!$G:$G,F$1)
-
SUMIFS(BANQUE!$D:$D,
              BANQUE!$F:$F,$A3,
              BANQUE!$G:$G,F$1)</f>
        <v>0</v>
      </c>
      <c r="G3" s="559">
        <f>SUMIFS(BANQUE!$E:$E,
              BANQUE!$F:$F,$A3,
              BANQUE!$G:$G,G$1)
-
SUMIFS(BANQUE!$D:$D,
              BANQUE!$F:$F,$A3,
              BANQUE!$G:$G,G$1)</f>
        <v>0</v>
      </c>
      <c r="H3" s="559">
        <f>SUMIFS(BANQUE!$E:$E,
              BANQUE!$F:$F,$A3,
              BANQUE!$G:$G,H$1)
-
SUMIFS(BANQUE!$D:$D,
              BANQUE!$F:$F,$A3,
              BANQUE!$G:$G,H$1)</f>
        <v>0</v>
      </c>
      <c r="I3" s="559">
        <f>SUMIFS(BANQUE!$E:$E,
              BANQUE!$F:$F,$A3,
              BANQUE!$G:$G,I$1)
-
SUMIFS(BANQUE!$D:$D,
              BANQUE!$F:$F,$A3,
              BANQUE!$G:$G,I$1)</f>
        <v>0</v>
      </c>
      <c r="J3" s="559">
        <f>SUMIFS(BANQUE!$E:$E,
              BANQUE!$F:$F,$A3,
              BANQUE!$G:$G,J$1)
-
SUMIFS(BANQUE!$D:$D,
              BANQUE!$F:$F,$A3,
              BANQUE!$G:$G,J$1)</f>
        <v>0</v>
      </c>
      <c r="K3" s="559">
        <f>SUMIFS(BANQUE!$E:$E,
              BANQUE!$F:$F,$A3,
              BANQUE!$G:$G,K$1)
-
SUMIFS(BANQUE!$D:$D,
              BANQUE!$F:$F,$A3,
              BANQUE!$G:$G,K$1)</f>
        <v>0</v>
      </c>
      <c r="L3" s="559">
        <f>SUMIFS(BANQUE!$E:$E,
              BANQUE!$F:$F,$A3,
              BANQUE!$G:$G,L$1)
-
SUMIFS(BANQUE!$D:$D,
              BANQUE!$F:$F,$A3,
              BANQUE!$G:$G,L$1)</f>
        <v>0</v>
      </c>
      <c r="M3" s="559">
        <f>SUMIFS(BANQUE!$E:$E,
              BANQUE!$F:$F,$A3,
              BANQUE!$G:$G,M$1)
-
SUMIFS(BANQUE!$D:$D,
              BANQUE!$F:$F,$A3,
              BANQUE!$G:$G,M$1)</f>
        <v>0</v>
      </c>
      <c r="N3" s="559">
        <f>SUMIFS(BANQUE!$E:$E,
              BANQUE!$F:$F,$A3,
              BANQUE!$G:$G,N$1)
-
SUMIFS(BANQUE!$D:$D,
              BANQUE!$F:$F,$A3,
              BANQUE!$G:$G,N$1)</f>
        <v>0</v>
      </c>
      <c r="O3" s="559">
        <f>SUMIFS(BANQUE!$E:$E,
              BANQUE!$F:$F,$A3,
              BANQUE!$G:$G,O$1)
-
SUMIFS(BANQUE!$D:$D,
              BANQUE!$F:$F,$A3,
              BANQUE!$G:$G,O$1)</f>
        <v>0</v>
      </c>
      <c r="P3" s="559">
        <f>SUMIFS(BANQUE!$E:$E,
              BANQUE!$F:$F,$A3,
              BANQUE!$G:$G,P$1)
-
SUMIFS(BANQUE!$D:$D,
              BANQUE!$F:$F,$A3,
              BANQUE!$G:$G,P$1)</f>
        <v>0</v>
      </c>
      <c r="Q3" s="559">
        <f>SUMIFS(BANQUE!$E:$E,
              BANQUE!$F:$F,$A3,
              BANQUE!$G:$G,Q$1)
-
SUMIFS(BANQUE!$D:$D,
              BANQUE!$F:$F,$A3,
              BANQUE!$G:$G,Q$1)</f>
        <v>0</v>
      </c>
      <c r="R3" s="559">
        <f>SUMIFS(BANQUE!$E:$E,
              BANQUE!$F:$F,$A3,
              BANQUE!$G:$G,R$1)
-
SUMIFS(BANQUE!$D:$D,
              BANQUE!$F:$F,$A3,
              BANQUE!$G:$G,R$1)</f>
        <v>0</v>
      </c>
      <c r="S3" s="559">
        <f>SUMIFS(BANQUE!$E:$E,
              BANQUE!$F:$F,$A3,
              BANQUE!$G:$G,S$1)
-
SUMIFS(BANQUE!$D:$D,
              BANQUE!$F:$F,$A3,
              BANQUE!$G:$G,S$1)</f>
        <v>0</v>
      </c>
      <c r="T3" s="559">
        <f>SUMIFS(BANQUE!$E:$E,
              BANQUE!$F:$F,$A3,
              BANQUE!$G:$G,T$1)
-
SUMIFS(BANQUE!$D:$D,
              BANQUE!$F:$F,$A3,
              BANQUE!$G:$G,T$1)</f>
        <v>0</v>
      </c>
      <c r="U3" s="560">
        <f t="shared" si="0"/>
        <v>5250</v>
      </c>
      <c r="V3" s="561">
        <f>'Prévisionnel 25-26'!C51</f>
        <v>0</v>
      </c>
      <c r="W3" s="562">
        <f t="shared" ref="W3" si="1">V3-U3</f>
        <v>-5250</v>
      </c>
    </row>
    <row r="4" spans="1:16384" ht="20" customHeight="1">
      <c r="A4" s="563" t="s">
        <v>141</v>
      </c>
      <c r="B4" s="564" t="s">
        <v>15</v>
      </c>
      <c r="C4" s="565">
        <f>SUMIFS(BANQUE!$E:$E,
              BANQUE!$F:$F,$A4,
              BANQUE!$G:$G,C$1)
-
SUMIFS(BANQUE!$D:$D,
              BANQUE!$F:$F,$A4,
              BANQUE!$G:$G,C$1)</f>
        <v>2200</v>
      </c>
      <c r="D4" s="565">
        <f>SUMIFS(BANQUE!$E:$E,
              BANQUE!$F:$F,$A4,
              BANQUE!$G:$G,D$1)
-
SUMIFS(BANQUE!$D:$D,
              BANQUE!$F:$F,$A4,
              BANQUE!$G:$G,D$1)</f>
        <v>2200</v>
      </c>
      <c r="E4" s="565">
        <f>SUMIFS(BANQUE!$E:$E,
              BANQUE!$F:$F,$A4,
              BANQUE!$G:$G,E$1)
-
SUMIFS(BANQUE!$D:$D,
              BANQUE!$F:$F,$A4,
              BANQUE!$G:$G,E$1)</f>
        <v>2200</v>
      </c>
      <c r="F4" s="565">
        <f>SUMIFS(BANQUE!$E:$E,
              BANQUE!$F:$F,$A4,
              BANQUE!$G:$G,F$1)
-
SUMIFS(BANQUE!$D:$D,
              BANQUE!$F:$F,$A4,
              BANQUE!$G:$G,F$1)</f>
        <v>0</v>
      </c>
      <c r="G4" s="565">
        <f>SUMIFS(BANQUE!$E:$E,
              BANQUE!$F:$F,$A4,
              BANQUE!$G:$G,G$1)
-
SUMIFS(BANQUE!$D:$D,
              BANQUE!$F:$F,$A4,
              BANQUE!$G:$G,G$1)</f>
        <v>2200</v>
      </c>
      <c r="H4" s="565">
        <f>SUMIFS(BANQUE!$E:$E,
              BANQUE!$F:$F,$A4,
              BANQUE!$G:$G,H$1)
-
SUMIFS(BANQUE!$D:$D,
              BANQUE!$F:$F,$A4,
              BANQUE!$G:$G,H$1)</f>
        <v>2200</v>
      </c>
      <c r="I4" s="565">
        <f>SUMIFS(BANQUE!$E:$E,
              BANQUE!$F:$F,$A4,
              BANQUE!$G:$G,I$1)
-
SUMIFS(BANQUE!$D:$D,
              BANQUE!$F:$F,$A4,
              BANQUE!$G:$G,I$1)</f>
        <v>2200</v>
      </c>
      <c r="J4" s="565">
        <f>SUMIFS(BANQUE!$E:$E,
              BANQUE!$F:$F,$A4,
              BANQUE!$G:$G,J$1)
-
SUMIFS(BANQUE!$D:$D,
              BANQUE!$F:$F,$A4,
              BANQUE!$G:$G,J$1)</f>
        <v>2200</v>
      </c>
      <c r="K4" s="565">
        <f>SUMIFS(BANQUE!$E:$E,
              BANQUE!$F:$F,$A4,
              BANQUE!$G:$G,K$1)
-
SUMIFS(BANQUE!$D:$D,
              BANQUE!$F:$F,$A4,
              BANQUE!$G:$G,K$1)</f>
        <v>0</v>
      </c>
      <c r="L4" s="565">
        <f>SUMIFS(BANQUE!$E:$E,
              BANQUE!$F:$F,$A4,
              BANQUE!$G:$G,L$1)
-
SUMIFS(BANQUE!$D:$D,
              BANQUE!$F:$F,$A4,
              BANQUE!$G:$G,L$1)</f>
        <v>0</v>
      </c>
      <c r="M4" s="565">
        <f>SUMIFS(BANQUE!$E:$E,
              BANQUE!$F:$F,$A4,
              BANQUE!$G:$G,M$1)
-
SUMIFS(BANQUE!$D:$D,
              BANQUE!$F:$F,$A4,
              BANQUE!$G:$G,M$1)</f>
        <v>0</v>
      </c>
      <c r="N4" s="582">
        <f>SUMIFS(BANQUE!$E:$E,
              BANQUE!$F:$F,$A4,
              BANQUE!$G:$G,N$1)
-
SUMIFS(BANQUE!$D:$D,
              BANQUE!$F:$F,$A4,
              BANQUE!$G:$G,N$1)</f>
        <v>0</v>
      </c>
      <c r="O4" s="582">
        <f>SUMIFS(BANQUE!$E:$E,
              BANQUE!$F:$F,$A4,
              BANQUE!$G:$G,O$1)
-
SUMIFS(BANQUE!$D:$D,
              BANQUE!$F:$F,$A4,
              BANQUE!$G:$G,O$1)</f>
        <v>0</v>
      </c>
      <c r="P4" s="582">
        <f>SUMIFS(BANQUE!$E:$E,
              BANQUE!$F:$F,$A4,
              BANQUE!$G:$G,P$1)
-
SUMIFS(BANQUE!$D:$D,
              BANQUE!$F:$F,$A4,
              BANQUE!$G:$G,P$1)</f>
        <v>0</v>
      </c>
      <c r="Q4" s="582">
        <f>SUMIFS(BANQUE!$E:$E,
              BANQUE!$F:$F,$A4,
              BANQUE!$G:$G,Q$1)
-
SUMIFS(BANQUE!$D:$D,
              BANQUE!$F:$F,$A4,
              BANQUE!$G:$G,Q$1)</f>
        <v>0</v>
      </c>
      <c r="R4" s="582">
        <f>SUMIFS(BANQUE!$E:$E,
              BANQUE!$F:$F,$A4,
              BANQUE!$G:$G,R$1)
-
SUMIFS(BANQUE!$D:$D,
              BANQUE!$F:$F,$A4,
              BANQUE!$G:$G,R$1)</f>
        <v>0</v>
      </c>
      <c r="S4" s="582">
        <f>SUMIFS(BANQUE!$E:$E,
              BANQUE!$F:$F,$A4,
              BANQUE!$G:$G,S$1)
-
SUMIFS(BANQUE!$D:$D,
              BANQUE!$F:$F,$A4,
              BANQUE!$G:$G,S$1)</f>
        <v>0</v>
      </c>
      <c r="T4" s="582">
        <f>SUMIFS(BANQUE!$E:$E,
              BANQUE!$F:$F,$A4,
              BANQUE!$G:$G,T$1)
-
SUMIFS(BANQUE!$D:$D,
              BANQUE!$F:$F,$A4,
              BANQUE!$G:$G,T$1)</f>
        <v>0</v>
      </c>
      <c r="U4" s="585">
        <f t="shared" si="0"/>
        <v>15400</v>
      </c>
      <c r="V4" s="566">
        <f>'Prévisionnel 25-26'!E3</f>
        <v>30000</v>
      </c>
      <c r="W4" s="567">
        <f t="shared" ref="W4:W38" si="2">V4-U4</f>
        <v>14600</v>
      </c>
    </row>
    <row r="5" spans="1:16384" ht="20" customHeight="1">
      <c r="A5" s="568" t="s">
        <v>511</v>
      </c>
      <c r="B5" s="523" t="s">
        <v>512</v>
      </c>
      <c r="C5" s="521">
        <f>SUMIFS(BANQUE!$E:$E,
              BANQUE!$F:$F,$A5,
              BANQUE!$G:$G,C$1)
-
SUMIFS(BANQUE!$D:$D,
              BANQUE!$F:$F,$A5,
              BANQUE!$G:$G,C$1)</f>
        <v>0</v>
      </c>
      <c r="D5" s="521">
        <f>SUMIFS(BANQUE!$E:$E,
              BANQUE!$F:$F,$A5,
              BANQUE!$G:$G,D$1)
-
SUMIFS(BANQUE!$D:$D,
              BANQUE!$F:$F,$A5,
              BANQUE!$G:$G,D$1)</f>
        <v>1610</v>
      </c>
      <c r="E5" s="521">
        <f>SUMIFS(BANQUE!$E:$E,
              BANQUE!$F:$F,$A5,
              BANQUE!$G:$G,E$1)
-
SUMIFS(BANQUE!$D:$D,
              BANQUE!$F:$F,$A5,
              BANQUE!$G:$G,E$1)</f>
        <v>0</v>
      </c>
      <c r="F5" s="521">
        <f>SUMIFS(BANQUE!$E:$E,
              BANQUE!$F:$F,$A5,
              BANQUE!$G:$G,F$1)
-
SUMIFS(BANQUE!$D:$D,
              BANQUE!$F:$F,$A5,
              BANQUE!$G:$G,F$1)</f>
        <v>0</v>
      </c>
      <c r="G5" s="521">
        <f>SUMIFS(BANQUE!$E:$E,
              BANQUE!$F:$F,$A5,
              BANQUE!$G:$G,G$1)
-
SUMIFS(BANQUE!$D:$D,
              BANQUE!$F:$F,$A5,
              BANQUE!$G:$G,G$1)</f>
        <v>0</v>
      </c>
      <c r="H5" s="521">
        <f>SUMIFS(BANQUE!$E:$E,
              BANQUE!$F:$F,$A5,
              BANQUE!$G:$G,H$1)
-
SUMIFS(BANQUE!$D:$D,
              BANQUE!$F:$F,$A5,
              BANQUE!$G:$G,H$1)</f>
        <v>0</v>
      </c>
      <c r="I5" s="521">
        <f>SUMIFS(BANQUE!$E:$E,
              BANQUE!$F:$F,$A5,
              BANQUE!$G:$G,I$1)
-
SUMIFS(BANQUE!$D:$D,
              BANQUE!$F:$F,$A5,
              BANQUE!$G:$G,I$1)</f>
        <v>0</v>
      </c>
      <c r="J5" s="521">
        <f>SUMIFS(BANQUE!$E:$E,
              BANQUE!$F:$F,$A5,
              BANQUE!$G:$G,J$1)
-
SUMIFS(BANQUE!$D:$D,
              BANQUE!$F:$F,$A5,
              BANQUE!$G:$G,J$1)</f>
        <v>0</v>
      </c>
      <c r="K5" s="521">
        <f>SUMIFS(BANQUE!$E:$E,
              BANQUE!$F:$F,$A5,
              BANQUE!$G:$G,K$1)
-
SUMIFS(BANQUE!$D:$D,
              BANQUE!$F:$F,$A5,
              BANQUE!$G:$G,K$1)</f>
        <v>0</v>
      </c>
      <c r="L5" s="521">
        <f>SUMIFS(BANQUE!$E:$E,
              BANQUE!$F:$F,$A5,
              BANQUE!$G:$G,L$1)
-
SUMIFS(BANQUE!$D:$D,
              BANQUE!$F:$F,$A5,
              BANQUE!$G:$G,L$1)</f>
        <v>0</v>
      </c>
      <c r="M5" s="521">
        <f>SUMIFS(BANQUE!$E:$E,
              BANQUE!$F:$F,$A5,
              BANQUE!$G:$G,M$1)
-
SUMIFS(BANQUE!$D:$D,
              BANQUE!$F:$F,$A5,
              BANQUE!$G:$G,M$1)</f>
        <v>0</v>
      </c>
      <c r="N5" s="583">
        <f>SUMIFS(BANQUE!$E:$E,
              BANQUE!$F:$F,$A5,
              BANQUE!$G:$G,N$1)
-
SUMIFS(BANQUE!$D:$D,
              BANQUE!$F:$F,$A5,
              BANQUE!$G:$G,N$1)</f>
        <v>0</v>
      </c>
      <c r="O5" s="583">
        <f>SUMIFS(BANQUE!$E:$E,
              BANQUE!$F:$F,$A5,
              BANQUE!$G:$G,O$1)
-
SUMIFS(BANQUE!$D:$D,
              BANQUE!$F:$F,$A5,
              BANQUE!$G:$G,O$1)</f>
        <v>0</v>
      </c>
      <c r="P5" s="583">
        <f>SUMIFS(BANQUE!$E:$E,
              BANQUE!$F:$F,$A5,
              BANQUE!$G:$G,P$1)
-
SUMIFS(BANQUE!$D:$D,
              BANQUE!$F:$F,$A5,
              BANQUE!$G:$G,P$1)</f>
        <v>0</v>
      </c>
      <c r="Q5" s="583">
        <f>SUMIFS(BANQUE!$E:$E,
              BANQUE!$F:$F,$A5,
              BANQUE!$G:$G,Q$1)
-
SUMIFS(BANQUE!$D:$D,
              BANQUE!$F:$F,$A5,
              BANQUE!$G:$G,Q$1)</f>
        <v>0</v>
      </c>
      <c r="R5" s="583">
        <f>SUMIFS(BANQUE!$E:$E,
              BANQUE!$F:$F,$A5,
              BANQUE!$G:$G,R$1)
-
SUMIFS(BANQUE!$D:$D,
              BANQUE!$F:$F,$A5,
              BANQUE!$G:$G,R$1)</f>
        <v>0</v>
      </c>
      <c r="S5" s="583">
        <f>SUMIFS(BANQUE!$E:$E,
              BANQUE!$F:$F,$A5,
              BANQUE!$G:$G,S$1)
-
SUMIFS(BANQUE!$D:$D,
              BANQUE!$F:$F,$A5,
              BANQUE!$G:$G,S$1)</f>
        <v>0</v>
      </c>
      <c r="T5" s="583">
        <f>SUMIFS(BANQUE!$E:$E,
              BANQUE!$F:$F,$A5,
              BANQUE!$G:$G,T$1)
-
SUMIFS(BANQUE!$D:$D,
              BANQUE!$F:$F,$A5,
              BANQUE!$G:$G,T$1)</f>
        <v>0</v>
      </c>
      <c r="U5" s="586">
        <f t="shared" si="0"/>
        <v>1610</v>
      </c>
      <c r="V5" s="522">
        <f>'Prévisionnel 25-26'!E4</f>
        <v>0</v>
      </c>
      <c r="W5" s="569">
        <f t="shared" ref="W5:W6" si="3">V5-U5</f>
        <v>-1610</v>
      </c>
    </row>
    <row r="6" spans="1:16384">
      <c r="A6" s="568" t="s">
        <v>561</v>
      </c>
      <c r="B6" s="523" t="s">
        <v>562</v>
      </c>
      <c r="C6" s="521">
        <f>SUMIFS(BANQUE!$E:$E,
              BANQUE!$F:$F,$A6,
              BANQUE!$G:$G,C$1)
-
SUMIFS(BANQUE!$D:$D,
              BANQUE!$F:$F,$A6,
              BANQUE!$G:$G,C$1)</f>
        <v>0</v>
      </c>
      <c r="D6" s="521">
        <f>SUMIFS(BANQUE!$E:$E,
              BANQUE!$F:$F,$A6,
              BANQUE!$G:$G,D$1)
-
SUMIFS(BANQUE!$D:$D,
              BANQUE!$F:$F,$A6,
              BANQUE!$G:$G,D$1)</f>
        <v>0</v>
      </c>
      <c r="E6" s="521">
        <f>SUMIFS(BANQUE!$E:$E,
              BANQUE!$F:$F,$A6,
              BANQUE!$G:$G,E$1)
-
SUMIFS(BANQUE!$D:$D,
              BANQUE!$F:$F,$A6,
              BANQUE!$G:$G,E$1)</f>
        <v>30</v>
      </c>
      <c r="F6" s="521">
        <f>SUMIFS(BANQUE!$E:$E,
              BANQUE!$F:$F,$A6,
              BANQUE!$G:$G,F$1)
-
SUMIFS(BANQUE!$D:$D,
              BANQUE!$F:$F,$A6,
              BANQUE!$G:$G,F$1)</f>
        <v>0</v>
      </c>
      <c r="G6" s="521">
        <f>SUMIFS(BANQUE!$E:$E,
              BANQUE!$F:$F,$A6,
              BANQUE!$G:$G,G$1)
-
SUMIFS(BANQUE!$D:$D,
              BANQUE!$F:$F,$A6,
              BANQUE!$G:$G,G$1)</f>
        <v>0</v>
      </c>
      <c r="H6" s="521">
        <f>SUMIFS(BANQUE!$E:$E,
              BANQUE!$F:$F,$A6,
              BANQUE!$G:$G,H$1)
-
SUMIFS(BANQUE!$D:$D,
              BANQUE!$F:$F,$A6,
              BANQUE!$G:$G,H$1)</f>
        <v>0</v>
      </c>
      <c r="I6" s="521">
        <f>SUMIFS(BANQUE!$E:$E,
              BANQUE!$F:$F,$A6,
              BANQUE!$G:$G,I$1)
-
SUMIFS(BANQUE!$D:$D,
              BANQUE!$F:$F,$A6,
              BANQUE!$G:$G,I$1)</f>
        <v>0</v>
      </c>
      <c r="J6" s="521">
        <f>SUMIFS(BANQUE!$E:$E,
              BANQUE!$F:$F,$A6,
              BANQUE!$G:$G,J$1)
-
SUMIFS(BANQUE!$D:$D,
              BANQUE!$F:$F,$A6,
              BANQUE!$G:$G,J$1)</f>
        <v>0</v>
      </c>
      <c r="K6" s="521">
        <f>SUMIFS(BANQUE!$E:$E,
              BANQUE!$F:$F,$A6,
              BANQUE!$G:$G,K$1)
-
SUMIFS(BANQUE!$D:$D,
              BANQUE!$F:$F,$A6,
              BANQUE!$G:$G,K$1)</f>
        <v>0</v>
      </c>
      <c r="L6" s="521">
        <f>SUMIFS(BANQUE!$E:$E,
              BANQUE!$F:$F,$A6,
              BANQUE!$G:$G,L$1)
-
SUMIFS(BANQUE!$D:$D,
              BANQUE!$F:$F,$A6,
              BANQUE!$G:$G,L$1)</f>
        <v>0</v>
      </c>
      <c r="M6" s="521">
        <f>SUMIFS(BANQUE!$E:$E,
              BANQUE!$F:$F,$A6,
              BANQUE!$G:$G,M$1)
-
SUMIFS(BANQUE!$D:$D,
              BANQUE!$F:$F,$A6,
              BANQUE!$G:$G,M$1)</f>
        <v>0</v>
      </c>
      <c r="N6" s="583">
        <f>SUMIFS(BANQUE!$E:$E,
              BANQUE!$F:$F,$A6,
              BANQUE!$G:$G,N$1)
-
SUMIFS(BANQUE!$D:$D,
              BANQUE!$F:$F,$A6,
              BANQUE!$G:$G,N$1)</f>
        <v>0</v>
      </c>
      <c r="O6" s="583">
        <f>SUMIFS(BANQUE!$E:$E,
              BANQUE!$F:$F,$A6,
              BANQUE!$G:$G,O$1)
-
SUMIFS(BANQUE!$D:$D,
              BANQUE!$F:$F,$A6,
              BANQUE!$G:$G,O$1)</f>
        <v>0</v>
      </c>
      <c r="P6" s="583">
        <f>SUMIFS(BANQUE!$E:$E,
              BANQUE!$F:$F,$A6,
              BANQUE!$G:$G,P$1)
-
SUMIFS(BANQUE!$D:$D,
              BANQUE!$F:$F,$A6,
              BANQUE!$G:$G,P$1)</f>
        <v>0</v>
      </c>
      <c r="Q6" s="583">
        <f>SUMIFS(BANQUE!$E:$E,
              BANQUE!$F:$F,$A6,
              BANQUE!$G:$G,Q$1)
-
SUMIFS(BANQUE!$D:$D,
              BANQUE!$F:$F,$A6,
              BANQUE!$G:$G,Q$1)</f>
        <v>0</v>
      </c>
      <c r="R6" s="583">
        <f>SUMIFS(BANQUE!$E:$E,
              BANQUE!$F:$F,$A6,
              BANQUE!$G:$G,R$1)
-
SUMIFS(BANQUE!$D:$D,
              BANQUE!$F:$F,$A6,
              BANQUE!$G:$G,R$1)</f>
        <v>0</v>
      </c>
      <c r="S6" s="583">
        <f>SUMIFS(BANQUE!$E:$E,
              BANQUE!$F:$F,$A6,
              BANQUE!$G:$G,S$1)
-
SUMIFS(BANQUE!$D:$D,
              BANQUE!$F:$F,$A6,
              BANQUE!$G:$G,S$1)</f>
        <v>0</v>
      </c>
      <c r="T6" s="583">
        <f>SUMIFS(BANQUE!$E:$E,
              BANQUE!$F:$F,$A6,
              BANQUE!$G:$G,T$1)
-
SUMIFS(BANQUE!$D:$D,
              BANQUE!$F:$F,$A6,
              BANQUE!$G:$G,T$1)</f>
        <v>0</v>
      </c>
      <c r="U6" s="586">
        <f t="shared" si="0"/>
        <v>30</v>
      </c>
      <c r="V6" s="522">
        <f>'Prévisionnel 25-26'!E5</f>
        <v>150</v>
      </c>
      <c r="W6" s="569">
        <f t="shared" si="3"/>
        <v>120</v>
      </c>
    </row>
    <row r="7" spans="1:16384" ht="20" customHeight="1">
      <c r="A7" s="570" t="s">
        <v>29</v>
      </c>
      <c r="B7" s="524" t="s">
        <v>29</v>
      </c>
      <c r="C7" s="521">
        <f>SUMIFS(BANQUE!$E:$E,
              BANQUE!$F:$F,$A7,
              BANQUE!$G:$G,C$1)
-
SUMIFS(BANQUE!$D:$D,
              BANQUE!$F:$F,$A7,
              BANQUE!$G:$G,C$1)</f>
        <v>2500</v>
      </c>
      <c r="D7" s="521">
        <f>SUMIFS(BANQUE!$E:$E,
              BANQUE!$F:$F,$A7,
              BANQUE!$G:$G,D$1)
-
SUMIFS(BANQUE!$D:$D,
              BANQUE!$F:$F,$A7,
              BANQUE!$G:$G,D$1)</f>
        <v>0</v>
      </c>
      <c r="E7" s="521">
        <f>SUMIFS(BANQUE!$E:$E,
              BANQUE!$F:$F,$A7,
              BANQUE!$G:$G,E$1)
-
SUMIFS(BANQUE!$D:$D,
              BANQUE!$F:$F,$A7,
              BANQUE!$G:$G,E$1)</f>
        <v>0</v>
      </c>
      <c r="F7" s="521">
        <f>SUMIFS(BANQUE!$E:$E,
              BANQUE!$F:$F,$A7,
              BANQUE!$G:$G,F$1)
-
SUMIFS(BANQUE!$D:$D,
              BANQUE!$F:$F,$A7,
              BANQUE!$G:$G,F$1)</f>
        <v>0</v>
      </c>
      <c r="G7" s="521">
        <f>SUMIFS(BANQUE!$E:$E,
              BANQUE!$F:$F,$A7,
              BANQUE!$G:$G,G$1)
-
SUMIFS(BANQUE!$D:$D,
              BANQUE!$F:$F,$A7,
              BANQUE!$G:$G,G$1)</f>
        <v>0</v>
      </c>
      <c r="H7" s="521">
        <f>SUMIFS(BANQUE!$E:$E,
              BANQUE!$F:$F,$A7,
              BANQUE!$G:$G,H$1)
-
SUMIFS(BANQUE!$D:$D,
              BANQUE!$F:$F,$A7,
              BANQUE!$G:$G,H$1)</f>
        <v>0</v>
      </c>
      <c r="I7" s="521">
        <f>SUMIFS(BANQUE!$E:$E,
              BANQUE!$F:$F,$A7,
              BANQUE!$G:$G,I$1)
-
SUMIFS(BANQUE!$D:$D,
              BANQUE!$F:$F,$A7,
              BANQUE!$G:$G,I$1)</f>
        <v>0</v>
      </c>
      <c r="J7" s="521">
        <f>SUMIFS(BANQUE!$E:$E,
              BANQUE!$F:$F,$A7,
              BANQUE!$G:$G,J$1)
-
SUMIFS(BANQUE!$D:$D,
              BANQUE!$F:$F,$A7,
              BANQUE!$G:$G,J$1)</f>
        <v>0</v>
      </c>
      <c r="K7" s="521">
        <f>SUMIFS(BANQUE!$E:$E,
              BANQUE!$F:$F,$A7,
              BANQUE!$G:$G,K$1)
-
SUMIFS(BANQUE!$D:$D,
              BANQUE!$F:$F,$A7,
              BANQUE!$G:$G,K$1)</f>
        <v>0</v>
      </c>
      <c r="L7" s="521">
        <f>SUMIFS(BANQUE!$E:$E,
              BANQUE!$F:$F,$A7,
              BANQUE!$G:$G,L$1)
-
SUMIFS(BANQUE!$D:$D,
              BANQUE!$F:$F,$A7,
              BANQUE!$G:$G,L$1)</f>
        <v>0</v>
      </c>
      <c r="M7" s="521">
        <f>SUMIFS(BANQUE!$E:$E,
              BANQUE!$F:$F,$A7,
              BANQUE!$G:$G,M$1)
-
SUMIFS(BANQUE!$D:$D,
              BANQUE!$F:$F,$A7,
              BANQUE!$G:$G,M$1)</f>
        <v>0</v>
      </c>
      <c r="N7" s="583">
        <f>SUMIFS(BANQUE!$E:$E,
              BANQUE!$F:$F,$A7,
              BANQUE!$G:$G,N$1)
-
SUMIFS(BANQUE!$D:$D,
              BANQUE!$F:$F,$A7,
              BANQUE!$G:$G,N$1)</f>
        <v>0</v>
      </c>
      <c r="O7" s="583">
        <f>SUMIFS(BANQUE!$E:$E,
              BANQUE!$F:$F,$A7,
              BANQUE!$G:$G,O$1)
-
SUMIFS(BANQUE!$D:$D,
              BANQUE!$F:$F,$A7,
              BANQUE!$G:$G,O$1)</f>
        <v>0</v>
      </c>
      <c r="P7" s="583">
        <f>SUMIFS(BANQUE!$E:$E,
              BANQUE!$F:$F,$A7,
              BANQUE!$G:$G,P$1)
-
SUMIFS(BANQUE!$D:$D,
              BANQUE!$F:$F,$A7,
              BANQUE!$G:$G,P$1)</f>
        <v>0</v>
      </c>
      <c r="Q7" s="583">
        <f>SUMIFS(BANQUE!$E:$E,
              BANQUE!$F:$F,$A7,
              BANQUE!$G:$G,Q$1)
-
SUMIFS(BANQUE!$D:$D,
              BANQUE!$F:$F,$A7,
              BANQUE!$G:$G,Q$1)</f>
        <v>0</v>
      </c>
      <c r="R7" s="583">
        <f>SUMIFS(BANQUE!$E:$E,
              BANQUE!$F:$F,$A7,
              BANQUE!$G:$G,R$1)
-
SUMIFS(BANQUE!$D:$D,
              BANQUE!$F:$F,$A7,
              BANQUE!$G:$G,R$1)</f>
        <v>0</v>
      </c>
      <c r="S7" s="583">
        <f>SUMIFS(BANQUE!$E:$E,
              BANQUE!$F:$F,$A7,
              BANQUE!$G:$G,S$1)
-
SUMIFS(BANQUE!$D:$D,
              BANQUE!$F:$F,$A7,
              BANQUE!$G:$G,S$1)</f>
        <v>0</v>
      </c>
      <c r="T7" s="583">
        <f>SUMIFS(BANQUE!$E:$E,
              BANQUE!$F:$F,$A7,
              BANQUE!$G:$G,T$1)
-
SUMIFS(BANQUE!$D:$D,
              BANQUE!$F:$F,$A7,
              BANQUE!$G:$G,T$1)</f>
        <v>0</v>
      </c>
      <c r="U7" s="586">
        <f t="shared" si="0"/>
        <v>2500</v>
      </c>
      <c r="V7" s="522">
        <f>'Prévisionnel 25-26'!E6</f>
        <v>3500</v>
      </c>
      <c r="W7" s="569">
        <f>V7-U7</f>
        <v>1000</v>
      </c>
    </row>
    <row r="8" spans="1:16384" ht="20" customHeight="1">
      <c r="A8" s="570" t="s">
        <v>30</v>
      </c>
      <c r="B8" s="524" t="s">
        <v>30</v>
      </c>
      <c r="C8" s="521">
        <f>SUMIFS(BANQUE!$E:$E,
              BANQUE!$F:$F,$A8,
              BANQUE!$G:$G,C$1)
-
SUMIFS(BANQUE!$D:$D,
              BANQUE!$F:$F,$A8,
              BANQUE!$G:$G,C$1)</f>
        <v>0</v>
      </c>
      <c r="D8" s="521">
        <f>SUMIFS(BANQUE!$E:$E,
              BANQUE!$F:$F,$A8,
              BANQUE!$G:$G,D$1)
-
SUMIFS(BANQUE!$D:$D,
              BANQUE!$F:$F,$A8,
              BANQUE!$G:$G,D$1)</f>
        <v>0</v>
      </c>
      <c r="E8" s="521">
        <f>SUMIFS(BANQUE!$E:$E,
              BANQUE!$F:$F,$A8,
              BANQUE!$G:$G,E$1)
-
SUMIFS(BANQUE!$D:$D,
              BANQUE!$F:$F,$A8,
              BANQUE!$G:$G,E$1)</f>
        <v>0</v>
      </c>
      <c r="F8" s="521">
        <f>SUMIFS(BANQUE!$E:$E,
              BANQUE!$F:$F,$A8,
              BANQUE!$G:$G,F$1)
-
SUMIFS(BANQUE!$D:$D,
              BANQUE!$F:$F,$A8,
              BANQUE!$G:$G,F$1)</f>
        <v>0</v>
      </c>
      <c r="G8" s="521">
        <f>SUMIFS(BANQUE!$E:$E,
              BANQUE!$F:$F,$A8,
              BANQUE!$G:$G,G$1)
-
SUMIFS(BANQUE!$D:$D,
              BANQUE!$F:$F,$A8,
              BANQUE!$G:$G,G$1)</f>
        <v>0</v>
      </c>
      <c r="H8" s="521">
        <f>SUMIFS(BANQUE!$E:$E,
              BANQUE!$F:$F,$A8,
              BANQUE!$G:$G,H$1)
-
SUMIFS(BANQUE!$D:$D,
              BANQUE!$F:$F,$A8,
              BANQUE!$G:$G,H$1)</f>
        <v>0</v>
      </c>
      <c r="I8" s="521">
        <f>SUMIFS(BANQUE!$E:$E,
              BANQUE!$F:$F,$A8,
              BANQUE!$G:$G,I$1)
-
SUMIFS(BANQUE!$D:$D,
              BANQUE!$F:$F,$A8,
              BANQUE!$G:$G,I$1)</f>
        <v>0</v>
      </c>
      <c r="J8" s="521">
        <f>SUMIFS(BANQUE!$E:$E,
              BANQUE!$F:$F,$A8,
              BANQUE!$G:$G,J$1)
-
SUMIFS(BANQUE!$D:$D,
              BANQUE!$F:$F,$A8,
              BANQUE!$G:$G,J$1)</f>
        <v>0</v>
      </c>
      <c r="K8" s="521">
        <f>SUMIFS(BANQUE!$E:$E,
              BANQUE!$F:$F,$A8,
              BANQUE!$G:$G,K$1)
-
SUMIFS(BANQUE!$D:$D,
              BANQUE!$F:$F,$A8,
              BANQUE!$G:$G,K$1)</f>
        <v>0</v>
      </c>
      <c r="L8" s="521">
        <f>SUMIFS(BANQUE!$E:$E,
              BANQUE!$F:$F,$A8,
              BANQUE!$G:$G,L$1)
-
SUMIFS(BANQUE!$D:$D,
              BANQUE!$F:$F,$A8,
              BANQUE!$G:$G,L$1)</f>
        <v>0</v>
      </c>
      <c r="M8" s="521">
        <f>SUMIFS(BANQUE!$E:$E,
              BANQUE!$F:$F,$A8,
              BANQUE!$G:$G,M$1)
-
SUMIFS(BANQUE!$D:$D,
              BANQUE!$F:$F,$A8,
              BANQUE!$G:$G,M$1)</f>
        <v>0</v>
      </c>
      <c r="N8" s="583">
        <f>SUMIFS(BANQUE!$E:$E,
              BANQUE!$F:$F,$A8,
              BANQUE!$G:$G,N$1)
-
SUMIFS(BANQUE!$D:$D,
              BANQUE!$F:$F,$A8,
              BANQUE!$G:$G,N$1)</f>
        <v>0</v>
      </c>
      <c r="O8" s="583">
        <f>SUMIFS(BANQUE!$E:$E,
              BANQUE!$F:$F,$A8,
              BANQUE!$G:$G,O$1)
-
SUMIFS(BANQUE!$D:$D,
              BANQUE!$F:$F,$A8,
              BANQUE!$G:$G,O$1)</f>
        <v>0</v>
      </c>
      <c r="P8" s="583">
        <f>SUMIFS(BANQUE!$E:$E,
              BANQUE!$F:$F,$A8,
              BANQUE!$G:$G,P$1)
-
SUMIFS(BANQUE!$D:$D,
              BANQUE!$F:$F,$A8,
              BANQUE!$G:$G,P$1)</f>
        <v>0</v>
      </c>
      <c r="Q8" s="583">
        <f>SUMIFS(BANQUE!$E:$E,
              BANQUE!$F:$F,$A8,
              BANQUE!$G:$G,Q$1)
-
SUMIFS(BANQUE!$D:$D,
              BANQUE!$F:$F,$A8,
              BANQUE!$G:$G,Q$1)</f>
        <v>0</v>
      </c>
      <c r="R8" s="583">
        <f>SUMIFS(BANQUE!$E:$E,
              BANQUE!$F:$F,$A8,
              BANQUE!$G:$G,R$1)
-
SUMIFS(BANQUE!$D:$D,
              BANQUE!$F:$F,$A8,
              BANQUE!$G:$G,R$1)</f>
        <v>0</v>
      </c>
      <c r="S8" s="583">
        <f>SUMIFS(BANQUE!$E:$E,
              BANQUE!$F:$F,$A8,
              BANQUE!$G:$G,S$1)
-
SUMIFS(BANQUE!$D:$D,
              BANQUE!$F:$F,$A8,
              BANQUE!$G:$G,S$1)</f>
        <v>0</v>
      </c>
      <c r="T8" s="583">
        <f>SUMIFS(BANQUE!$E:$E,
              BANQUE!$F:$F,$A8,
              BANQUE!$G:$G,T$1)
-
SUMIFS(BANQUE!$D:$D,
              BANQUE!$F:$F,$A8,
              BANQUE!$G:$G,T$1)</f>
        <v>0</v>
      </c>
      <c r="U8" s="586">
        <f t="shared" si="0"/>
        <v>0</v>
      </c>
      <c r="V8" s="522">
        <f>'Prévisionnel 25-26'!E7</f>
        <v>2600</v>
      </c>
      <c r="W8" s="569">
        <f>V8-U8</f>
        <v>2600</v>
      </c>
    </row>
    <row r="9" spans="1:16384">
      <c r="A9" s="570" t="s">
        <v>194</v>
      </c>
      <c r="B9" s="524" t="s">
        <v>195</v>
      </c>
      <c r="C9" s="521">
        <f>SUMIFS(BANQUE!$E:$E,
              BANQUE!$F:$F,$A9,
              BANQUE!$G:$G,C$1)
-
SUMIFS(BANQUE!$D:$D,
              BANQUE!$F:$F,$A9,
              BANQUE!$G:$G,C$1)</f>
        <v>0</v>
      </c>
      <c r="D9" s="521">
        <f>SUMIFS(BANQUE!$E:$E,
              BANQUE!$F:$F,$A9,
              BANQUE!$G:$G,D$1)
-
SUMIFS(BANQUE!$D:$D,
              BANQUE!$F:$F,$A9,
              BANQUE!$G:$G,D$1)</f>
        <v>0</v>
      </c>
      <c r="E9" s="521">
        <f>SUMIFS(BANQUE!$E:$E,
              BANQUE!$F:$F,$A9,
              BANQUE!$G:$G,E$1)
-
SUMIFS(BANQUE!$D:$D,
              BANQUE!$F:$F,$A9,
              BANQUE!$G:$G,E$1)</f>
        <v>0</v>
      </c>
      <c r="F9" s="521">
        <f>SUMIFS(BANQUE!$E:$E,
              BANQUE!$F:$F,$A9,
              BANQUE!$G:$G,F$1)
-
SUMIFS(BANQUE!$D:$D,
              BANQUE!$F:$F,$A9,
              BANQUE!$G:$G,F$1)</f>
        <v>0</v>
      </c>
      <c r="G9" s="521">
        <f>SUMIFS(BANQUE!$E:$E,
              BANQUE!$F:$F,$A9,
              BANQUE!$G:$G,G$1)
-
SUMIFS(BANQUE!$D:$D,
              BANQUE!$F:$F,$A9,
              BANQUE!$G:$G,G$1)</f>
        <v>0</v>
      </c>
      <c r="H9" s="521">
        <f>SUMIFS(BANQUE!$E:$E,
              BANQUE!$F:$F,$A9,
              BANQUE!$G:$G,H$1)
-
SUMIFS(BANQUE!$D:$D,
              BANQUE!$F:$F,$A9,
              BANQUE!$G:$G,H$1)</f>
        <v>0</v>
      </c>
      <c r="I9" s="521">
        <f>SUMIFS(BANQUE!$E:$E,
              BANQUE!$F:$F,$A9,
              BANQUE!$G:$G,I$1)
-
SUMIFS(BANQUE!$D:$D,
              BANQUE!$F:$F,$A9,
              BANQUE!$G:$G,I$1)</f>
        <v>0</v>
      </c>
      <c r="J9" s="521">
        <f>SUMIFS(BANQUE!$E:$E,
              BANQUE!$F:$F,$A9,
              BANQUE!$G:$G,J$1)
-
SUMIFS(BANQUE!$D:$D,
              BANQUE!$F:$F,$A9,
              BANQUE!$G:$G,J$1)</f>
        <v>0</v>
      </c>
      <c r="K9" s="521">
        <f>SUMIFS(BANQUE!$E:$E,
              BANQUE!$F:$F,$A9,
              BANQUE!$G:$G,K$1)
-
SUMIFS(BANQUE!$D:$D,
              BANQUE!$F:$F,$A9,
              BANQUE!$G:$G,K$1)</f>
        <v>0</v>
      </c>
      <c r="L9" s="521">
        <f>SUMIFS(BANQUE!$E:$E,
              BANQUE!$F:$F,$A9,
              BANQUE!$G:$G,L$1)
-
SUMIFS(BANQUE!$D:$D,
              BANQUE!$F:$F,$A9,
              BANQUE!$G:$G,L$1)</f>
        <v>0</v>
      </c>
      <c r="M9" s="521">
        <f>SUMIFS(BANQUE!$E:$E,
              BANQUE!$F:$F,$A9,
              BANQUE!$G:$G,M$1)
-
SUMIFS(BANQUE!$D:$D,
              BANQUE!$F:$F,$A9,
              BANQUE!$G:$G,M$1)</f>
        <v>0</v>
      </c>
      <c r="N9" s="583">
        <f>SUMIFS(BANQUE!$E:$E,
              BANQUE!$F:$F,$A9,
              BANQUE!$G:$G,N$1)
-
SUMIFS(BANQUE!$D:$D,
              BANQUE!$F:$F,$A9,
              BANQUE!$G:$G,N$1)</f>
        <v>0</v>
      </c>
      <c r="O9" s="583">
        <f>SUMIFS(BANQUE!$E:$E,
              BANQUE!$F:$F,$A9,
              BANQUE!$G:$G,O$1)
-
SUMIFS(BANQUE!$D:$D,
              BANQUE!$F:$F,$A9,
              BANQUE!$G:$G,O$1)</f>
        <v>0</v>
      </c>
      <c r="P9" s="583">
        <f>SUMIFS(BANQUE!$E:$E,
              BANQUE!$F:$F,$A9,
              BANQUE!$G:$G,P$1)
-
SUMIFS(BANQUE!$D:$D,
              BANQUE!$F:$F,$A9,
              BANQUE!$G:$G,P$1)</f>
        <v>0</v>
      </c>
      <c r="Q9" s="583">
        <f>SUMIFS(BANQUE!$E:$E,
              BANQUE!$F:$F,$A9,
              BANQUE!$G:$G,Q$1)
-
SUMIFS(BANQUE!$D:$D,
              BANQUE!$F:$F,$A9,
              BANQUE!$G:$G,Q$1)</f>
        <v>0</v>
      </c>
      <c r="R9" s="583">
        <f>SUMIFS(BANQUE!$E:$E,
              BANQUE!$F:$F,$A9,
              BANQUE!$G:$G,R$1)
-
SUMIFS(BANQUE!$D:$D,
              BANQUE!$F:$F,$A9,
              BANQUE!$G:$G,R$1)</f>
        <v>0</v>
      </c>
      <c r="S9" s="583">
        <f>SUMIFS(BANQUE!$E:$E,
              BANQUE!$F:$F,$A9,
              BANQUE!$G:$G,S$1)
-
SUMIFS(BANQUE!$D:$D,
              BANQUE!$F:$F,$A9,
              BANQUE!$G:$G,S$1)</f>
        <v>0</v>
      </c>
      <c r="T9" s="583">
        <f>SUMIFS(BANQUE!$E:$E,
              BANQUE!$F:$F,$A9,
              BANQUE!$G:$G,T$1)
-
SUMIFS(BANQUE!$D:$D,
              BANQUE!$F:$F,$A9,
              BANQUE!$G:$G,T$1)</f>
        <v>0</v>
      </c>
      <c r="U9" s="586">
        <f t="shared" si="0"/>
        <v>0</v>
      </c>
      <c r="V9" s="522">
        <f>'Prévisionnel 25-26'!E8</f>
        <v>830</v>
      </c>
      <c r="W9" s="569">
        <f>V9-U9</f>
        <v>830</v>
      </c>
    </row>
    <row r="10" spans="1:16384" ht="20" customHeight="1">
      <c r="A10" s="571" t="s">
        <v>142</v>
      </c>
      <c r="B10" s="525" t="s">
        <v>16</v>
      </c>
      <c r="C10" s="521">
        <f>- SUMIFS(BANQUE!$D:$D,
              BANQUE!$F:$F,$A10,
              BANQUE!$G:$G,C$1)
+
SUMIFS(BANQUE!$E:$E,
              BANQUE!$F:$F,$A10,
              BANQUE!$G:$G,C$1)</f>
        <v>1526</v>
      </c>
      <c r="D10" s="521">
        <f>SUMIFS(BANQUE!$E:$E,
              BANQUE!$F:$F,$A10,
              BANQUE!$G:$G,D$1)
-
SUMIFS(BANQUE!$D:$D,
              BANQUE!$F:$F,$A10,
              BANQUE!$G:$G,D$1)</f>
        <v>1526</v>
      </c>
      <c r="E10" s="521">
        <f>SUMIFS(BANQUE!$E:$E,
              BANQUE!$F:$F,$A10,
              BANQUE!$G:$G,E$1)
-
SUMIFS(BANQUE!$D:$D,
              BANQUE!$F:$F,$A10,
              BANQUE!$G:$G,E$1)</f>
        <v>1526</v>
      </c>
      <c r="F10" s="521">
        <f>SUMIFS(BANQUE!$E:$E,
              BANQUE!$F:$F,$A10,
              BANQUE!$G:$G,F$1)
-
SUMIFS(BANQUE!$D:$D,
              BANQUE!$F:$F,$A10,
              BANQUE!$G:$G,F$1)</f>
        <v>18</v>
      </c>
      <c r="G10" s="521">
        <f>SUMIFS(BANQUE!$E:$E,
              BANQUE!$F:$F,$A10,
              BANQUE!$G:$G,G$1)
-
SUMIFS(BANQUE!$D:$D,
              BANQUE!$F:$F,$A10,
              BANQUE!$G:$G,G$1)</f>
        <v>718</v>
      </c>
      <c r="H10" s="521">
        <f>SUMIFS(BANQUE!$E:$E,
              BANQUE!$F:$F,$A10,
              BANQUE!$G:$G,H$1)
-
SUMIFS(BANQUE!$D:$D,
              BANQUE!$F:$F,$A10,
              BANQUE!$G:$G,H$1)</f>
        <v>600</v>
      </c>
      <c r="I10" s="521">
        <f>SUMIFS(BANQUE!$E:$E,
              BANQUE!$F:$F,$A10,
              BANQUE!$G:$G,I$1)
-
SUMIFS(BANQUE!$D:$D,
              BANQUE!$F:$F,$A10,
              BANQUE!$G:$G,I$1)</f>
        <v>535</v>
      </c>
      <c r="J10" s="521">
        <f>SUMIFS(BANQUE!$E:$E,
              BANQUE!$F:$F,$A10,
              BANQUE!$G:$G,J$1)
-
SUMIFS(BANQUE!$D:$D,
              BANQUE!$F:$F,$A10,
              BANQUE!$G:$G,J$1)</f>
        <v>535</v>
      </c>
      <c r="K10" s="521">
        <f>SUMIFS(BANQUE!$E:$E,
              BANQUE!$F:$F,$A10,
              BANQUE!$G:$G,K$1)
-
SUMIFS(BANQUE!$D:$D,
              BANQUE!$F:$F,$A10,
              BANQUE!$G:$G,K$1)</f>
        <v>0</v>
      </c>
      <c r="L10" s="521">
        <f>SUMIFS(BANQUE!$E:$E,
              BANQUE!$F:$F,$A10,
              BANQUE!$G:$G,L$1)
-
SUMIFS(BANQUE!$D:$D,
              BANQUE!$F:$F,$A10,
              BANQUE!$G:$G,L$1)</f>
        <v>0</v>
      </c>
      <c r="M10" s="521">
        <f>SUMIFS(BANQUE!$E:$E,
              BANQUE!$F:$F,$A10,
              BANQUE!$G:$G,M$1)
-
SUMIFS(BANQUE!$D:$D,
              BANQUE!$F:$F,$A10,
              BANQUE!$G:$G,M$1)</f>
        <v>0</v>
      </c>
      <c r="N10" s="583">
        <f>SUMIFS(BANQUE!$E:$E,
              BANQUE!$F:$F,$A10,
              BANQUE!$G:$G,N$1)
-
SUMIFS(BANQUE!$D:$D,
              BANQUE!$F:$F,$A10,
              BANQUE!$G:$G,N$1)</f>
        <v>0</v>
      </c>
      <c r="O10" s="583">
        <f>SUMIFS(BANQUE!$E:$E,
              BANQUE!$F:$F,$A10,
              BANQUE!$G:$G,O$1)
-
SUMIFS(BANQUE!$D:$D,
              BANQUE!$F:$F,$A10,
              BANQUE!$G:$G,O$1)</f>
        <v>0</v>
      </c>
      <c r="P10" s="583">
        <f>SUMIFS(BANQUE!$E:$E,
              BANQUE!$F:$F,$A10,
              BANQUE!$G:$G,P$1)
-
SUMIFS(BANQUE!$D:$D,
              BANQUE!$F:$F,$A10,
              BANQUE!$G:$G,P$1)</f>
        <v>0</v>
      </c>
      <c r="Q10" s="583">
        <f>SUMIFS(BANQUE!$E:$E,
              BANQUE!$F:$F,$A10,
              BANQUE!$G:$G,Q$1)
-
SUMIFS(BANQUE!$D:$D,
              BANQUE!$F:$F,$A10,
              BANQUE!$G:$G,Q$1)</f>
        <v>0</v>
      </c>
      <c r="R10" s="583">
        <f>SUMIFS(BANQUE!$E:$E,
              BANQUE!$F:$F,$A10,
              BANQUE!$G:$G,R$1)
-
SUMIFS(BANQUE!$D:$D,
              BANQUE!$F:$F,$A10,
              BANQUE!$G:$G,R$1)</f>
        <v>0</v>
      </c>
      <c r="S10" s="583">
        <f>SUMIFS(BANQUE!$E:$E,
              BANQUE!$F:$F,$A10,
              BANQUE!$G:$G,S$1)
-
SUMIFS(BANQUE!$D:$D,
              BANQUE!$F:$F,$A10,
              BANQUE!$G:$G,S$1)</f>
        <v>0</v>
      </c>
      <c r="T10" s="583">
        <f>SUMIFS(BANQUE!$E:$E,
              BANQUE!$F:$F,$A10,
              BANQUE!$G:$G,T$1)
-
SUMIFS(BANQUE!$D:$D,
              BANQUE!$F:$F,$A10,
              BANQUE!$G:$G,T$1)</f>
        <v>0</v>
      </c>
      <c r="U10" s="586">
        <f t="shared" si="0"/>
        <v>6984</v>
      </c>
      <c r="V10" s="522">
        <f>'Prévisionnel 25-26'!E9</f>
        <v>12600</v>
      </c>
      <c r="W10" s="569">
        <f t="shared" si="2"/>
        <v>5616</v>
      </c>
    </row>
    <row r="11" spans="1:16384" ht="20" customHeight="1">
      <c r="A11" s="571" t="s">
        <v>144</v>
      </c>
      <c r="B11" s="525" t="s">
        <v>17</v>
      </c>
      <c r="C11" s="521">
        <f>SUMIFS(BANQUE!$E:$E,
              BANQUE!$F:$F,$A11,
              BANQUE!$G:$G,C$1)
-
SUMIFS(BANQUE!$D:$D,
              BANQUE!$F:$F,$A11,
              BANQUE!$G:$G,C$1)</f>
        <v>71.28</v>
      </c>
      <c r="D11" s="521">
        <f>SUMIFS(BANQUE!$E:$E,
              BANQUE!$F:$F,$A11,
              BANQUE!$G:$G,D$1)
-
SUMIFS(BANQUE!$D:$D,
              BANQUE!$F:$F,$A11,
              BANQUE!$G:$G,D$1)</f>
        <v>71.28</v>
      </c>
      <c r="E11" s="521">
        <f>SUMIFS(BANQUE!$E:$E,
              BANQUE!$F:$F,$A11,
              BANQUE!$G:$G,E$1)
-
SUMIFS(BANQUE!$D:$D,
              BANQUE!$F:$F,$A11,
              BANQUE!$G:$G,E$1)</f>
        <v>71.28</v>
      </c>
      <c r="F11" s="521">
        <f>SUMIFS(BANQUE!$E:$E,
              BANQUE!$F:$F,$A11,
              BANQUE!$G:$G,F$1)
-
SUMIFS(BANQUE!$D:$D,
              BANQUE!$F:$F,$A11,
              BANQUE!$G:$G,F$1)</f>
        <v>71.28</v>
      </c>
      <c r="G11" s="521">
        <f>SUMIFS(BANQUE!$E:$E,
              BANQUE!$F:$F,$A11,
              BANQUE!$G:$G,G$1)
-
SUMIFS(BANQUE!$D:$D,
              BANQUE!$F:$F,$A11,
              BANQUE!$G:$G,G$1)</f>
        <v>75.180000000000007</v>
      </c>
      <c r="H11" s="521">
        <f>SUMIFS(BANQUE!$E:$E,
              BANQUE!$F:$F,$A11,
              BANQUE!$G:$G,H$1)
-
SUMIFS(BANQUE!$D:$D,
              BANQUE!$F:$F,$A11,
              BANQUE!$G:$G,H$1)</f>
        <v>75.180000000000007</v>
      </c>
      <c r="I11" s="521">
        <f>SUMIFS(BANQUE!$E:$E,
              BANQUE!$F:$F,$A11,
              BANQUE!$G:$G,I$1)
-
SUMIFS(BANQUE!$D:$D,
              BANQUE!$F:$F,$A11,
              BANQUE!$G:$G,I$1)</f>
        <v>75.180000000000007</v>
      </c>
      <c r="J11" s="521">
        <f>SUMIFS(BANQUE!$E:$E,
              BANQUE!$F:$F,$A11,
              BANQUE!$G:$G,J$1)
-
SUMIFS(BANQUE!$D:$D,
              BANQUE!$F:$F,$A11,
              BANQUE!$G:$G,J$1)</f>
        <v>75.180000000000007</v>
      </c>
      <c r="K11" s="521">
        <f>SUMIFS(BANQUE!$E:$E,
              BANQUE!$F:$F,$A11,
              BANQUE!$G:$G,K$1)
-
SUMIFS(BANQUE!$D:$D,
              BANQUE!$F:$F,$A11,
              BANQUE!$G:$G,K$1)</f>
        <v>0</v>
      </c>
      <c r="L11" s="521">
        <f>SUMIFS(BANQUE!$E:$E,
              BANQUE!$F:$F,$A11,
              BANQUE!$G:$G,L$1)
-
SUMIFS(BANQUE!$D:$D,
              BANQUE!$F:$F,$A11,
              BANQUE!$G:$G,L$1)</f>
        <v>0</v>
      </c>
      <c r="M11" s="521">
        <f>SUMIFS(BANQUE!$E:$E,
              BANQUE!$F:$F,$A11,
              BANQUE!$G:$G,M$1)
-
SUMIFS(BANQUE!$D:$D,
              BANQUE!$F:$F,$A11,
              BANQUE!$G:$G,M$1)</f>
        <v>0</v>
      </c>
      <c r="N11" s="583">
        <f>SUMIFS(BANQUE!$E:$E,
              BANQUE!$F:$F,$A11,
              BANQUE!$G:$G,N$1)
-
SUMIFS(BANQUE!$D:$D,
              BANQUE!$F:$F,$A11,
              BANQUE!$G:$G,N$1)</f>
        <v>0</v>
      </c>
      <c r="O11" s="583">
        <f>SUMIFS(BANQUE!$E:$E,
              BANQUE!$F:$F,$A11,
              BANQUE!$G:$G,O$1)
-
SUMIFS(BANQUE!$D:$D,
              BANQUE!$F:$F,$A11,
              BANQUE!$G:$G,O$1)</f>
        <v>0</v>
      </c>
      <c r="P11" s="583">
        <f>SUMIFS(BANQUE!$E:$E,
              BANQUE!$F:$F,$A11,
              BANQUE!$G:$G,P$1)
-
SUMIFS(BANQUE!$D:$D,
              BANQUE!$F:$F,$A11,
              BANQUE!$G:$G,P$1)</f>
        <v>0</v>
      </c>
      <c r="Q11" s="583">
        <f>SUMIFS(BANQUE!$E:$E,
              BANQUE!$F:$F,$A11,
              BANQUE!$G:$G,Q$1)
-
SUMIFS(BANQUE!$D:$D,
              BANQUE!$F:$F,$A11,
              BANQUE!$G:$G,Q$1)</f>
        <v>0</v>
      </c>
      <c r="R11" s="583">
        <f>SUMIFS(BANQUE!$E:$E,
              BANQUE!$F:$F,$A11,
              BANQUE!$G:$G,R$1)
-
SUMIFS(BANQUE!$D:$D,
              BANQUE!$F:$F,$A11,
              BANQUE!$G:$G,R$1)</f>
        <v>0</v>
      </c>
      <c r="S11" s="583">
        <f>SUMIFS(BANQUE!$E:$E,
              BANQUE!$F:$F,$A11,
              BANQUE!$G:$G,S$1)
-
SUMIFS(BANQUE!$D:$D,
              BANQUE!$F:$F,$A11,
              BANQUE!$G:$G,S$1)</f>
        <v>0</v>
      </c>
      <c r="T11" s="583">
        <f>SUMIFS(BANQUE!$E:$E,
              BANQUE!$F:$F,$A11,
              BANQUE!$G:$G,T$1)
-
SUMIFS(BANQUE!$D:$D,
              BANQUE!$F:$F,$A11,
              BANQUE!$G:$G,T$1)</f>
        <v>0</v>
      </c>
      <c r="U11" s="586">
        <f t="shared" si="0"/>
        <v>585.84</v>
      </c>
      <c r="V11" s="522">
        <f>'Prévisionnel 25-26'!E10</f>
        <v>850</v>
      </c>
      <c r="W11" s="569">
        <f t="shared" si="2"/>
        <v>264.15999999999997</v>
      </c>
    </row>
    <row r="12" spans="1:16384" ht="20" customHeight="1">
      <c r="A12" s="571" t="s">
        <v>157</v>
      </c>
      <c r="B12" s="525" t="s">
        <v>89</v>
      </c>
      <c r="C12" s="521">
        <f>SUMIFS(BANQUE!$E:$E,
              BANQUE!$F:$F,$A12,
              BANQUE!$G:$G,C$1)
-
SUMIFS(BANQUE!$D:$D,
              BANQUE!$F:$F,$A12,
              BANQUE!$G:$G,C$1)</f>
        <v>152.37</v>
      </c>
      <c r="D12" s="521">
        <f>SUMIFS(BANQUE!$E:$E,
              BANQUE!$F:$F,$A12,
              BANQUE!$G:$G,D$1)
-
SUMIFS(BANQUE!$D:$D,
              BANQUE!$F:$F,$A12,
              BANQUE!$G:$G,D$1)</f>
        <v>152.37</v>
      </c>
      <c r="E12" s="521">
        <f>SUMIFS(BANQUE!$E:$E,
              BANQUE!$F:$F,$A12,
              BANQUE!$G:$G,E$1)
-
SUMIFS(BANQUE!$D:$D,
              BANQUE!$F:$F,$A12,
              BANQUE!$G:$G,E$1)</f>
        <v>152.37</v>
      </c>
      <c r="F12" s="521">
        <f>SUMIFS(BANQUE!$E:$E,
              BANQUE!$F:$F,$A12,
              BANQUE!$G:$G,F$1)
-
SUMIFS(BANQUE!$D:$D,
              BANQUE!$F:$F,$A12,
              BANQUE!$G:$G,F$1)</f>
        <v>152.37</v>
      </c>
      <c r="G12" s="521">
        <f>SUMIFS(BANQUE!$E:$E,
              BANQUE!$F:$F,$A12,
              BANQUE!$G:$G,G$1)
-
SUMIFS(BANQUE!$D:$D,
              BANQUE!$F:$F,$A12,
              BANQUE!$G:$G,G$1)</f>
        <v>152.37</v>
      </c>
      <c r="H12" s="521">
        <f>SUMIFS(BANQUE!$E:$E,
              BANQUE!$F:$F,$A12,
              BANQUE!$G:$G,H$1)
-
SUMIFS(BANQUE!$D:$D,
              BANQUE!$F:$F,$A12,
              BANQUE!$G:$G,H$1)</f>
        <v>152.37</v>
      </c>
      <c r="I12" s="521">
        <f>SUMIFS(BANQUE!$E:$E,
              BANQUE!$F:$F,$A12,
              BANQUE!$G:$G,I$1)
-
SUMIFS(BANQUE!$D:$D,
              BANQUE!$F:$F,$A12,
              BANQUE!$G:$G,I$1)</f>
        <v>155.47</v>
      </c>
      <c r="J12" s="521">
        <f>SUMIFS(BANQUE!$E:$E,
              BANQUE!$F:$F,$A12,
              BANQUE!$G:$G,J$1)
-
SUMIFS(BANQUE!$D:$D,
              BANQUE!$F:$F,$A12,
              BANQUE!$G:$G,J$1)</f>
        <v>0</v>
      </c>
      <c r="K12" s="521">
        <f>SUMIFS(BANQUE!$E:$E,
              BANQUE!$F:$F,$A12,
              BANQUE!$G:$G,K$1)
-
SUMIFS(BANQUE!$D:$D,
              BANQUE!$F:$F,$A12,
              BANQUE!$G:$G,K$1)</f>
        <v>0</v>
      </c>
      <c r="L12" s="521">
        <f>SUMIFS(BANQUE!$E:$E,
              BANQUE!$F:$F,$A12,
              BANQUE!$G:$G,L$1)
-
SUMIFS(BANQUE!$D:$D,
              BANQUE!$F:$F,$A12,
              BANQUE!$G:$G,L$1)</f>
        <v>0</v>
      </c>
      <c r="M12" s="521">
        <f>SUMIFS(BANQUE!$E:$E,
              BANQUE!$F:$F,$A12,
              BANQUE!$G:$G,M$1)
-
SUMIFS(BANQUE!$D:$D,
              BANQUE!$F:$F,$A12,
              BANQUE!$G:$G,M$1)</f>
        <v>0</v>
      </c>
      <c r="N12" s="583">
        <f>SUMIFS(BANQUE!$E:$E,
              BANQUE!$F:$F,$A12,
              BANQUE!$G:$G,N$1)
-
SUMIFS(BANQUE!$D:$D,
              BANQUE!$F:$F,$A12,
              BANQUE!$G:$G,N$1)</f>
        <v>0</v>
      </c>
      <c r="O12" s="583">
        <f>SUMIFS(BANQUE!$E:$E,
              BANQUE!$F:$F,$A12,
              BANQUE!$G:$G,O$1)
-
SUMIFS(BANQUE!$D:$D,
              BANQUE!$F:$F,$A12,
              BANQUE!$G:$G,O$1)</f>
        <v>0</v>
      </c>
      <c r="P12" s="583">
        <f>SUMIFS(BANQUE!$E:$E,
              BANQUE!$F:$F,$A12,
              BANQUE!$G:$G,P$1)
-
SUMIFS(BANQUE!$D:$D,
              BANQUE!$F:$F,$A12,
              BANQUE!$G:$G,P$1)</f>
        <v>0</v>
      </c>
      <c r="Q12" s="583">
        <f>SUMIFS(BANQUE!$E:$E,
              BANQUE!$F:$F,$A12,
              BANQUE!$G:$G,Q$1)
-
SUMIFS(BANQUE!$D:$D,
              BANQUE!$F:$F,$A12,
              BANQUE!$G:$G,Q$1)</f>
        <v>0</v>
      </c>
      <c r="R12" s="583">
        <f>SUMIFS(BANQUE!$E:$E,
              BANQUE!$F:$F,$A12,
              BANQUE!$G:$G,R$1)
-
SUMIFS(BANQUE!$D:$D,
              BANQUE!$F:$F,$A12,
              BANQUE!$G:$G,R$1)</f>
        <v>0</v>
      </c>
      <c r="S12" s="583">
        <f>SUMIFS(BANQUE!$E:$E,
              BANQUE!$F:$F,$A12,
              BANQUE!$G:$G,S$1)
-
SUMIFS(BANQUE!$D:$D,
              BANQUE!$F:$F,$A12,
              BANQUE!$G:$G,S$1)</f>
        <v>0</v>
      </c>
      <c r="T12" s="583">
        <f>SUMIFS(BANQUE!$E:$E,
              BANQUE!$F:$F,$A12,
              BANQUE!$G:$G,T$1)
-
SUMIFS(BANQUE!$D:$D,
              BANQUE!$F:$F,$A12,
              BANQUE!$G:$G,T$1)</f>
        <v>0</v>
      </c>
      <c r="U12" s="586">
        <f t="shared" si="0"/>
        <v>1069.69</v>
      </c>
      <c r="V12" s="522">
        <f>'Prévisionnel 25-26'!E11</f>
        <v>1900</v>
      </c>
      <c r="W12" s="569">
        <f t="shared" si="2"/>
        <v>830.31</v>
      </c>
    </row>
    <row r="13" spans="1:16384" ht="20" customHeight="1">
      <c r="A13" s="571" t="s">
        <v>147</v>
      </c>
      <c r="B13" s="525" t="s">
        <v>22</v>
      </c>
      <c r="C13" s="521">
        <f>SUMIFS(BANQUE!$E:$E,
              BANQUE!$F:$F,$A13,
              BANQUE!$G:$G,C$1)
-
SUMIFS(BANQUE!$D:$D,
              BANQUE!$F:$F,$A13,
              BANQUE!$G:$G,C$1)</f>
        <v>24.27</v>
      </c>
      <c r="D13" s="521">
        <f>SUMIFS(BANQUE!$E:$E,
              BANQUE!$F:$F,$A13,
              BANQUE!$G:$G,D$1)
-
SUMIFS(BANQUE!$D:$D,
              BANQUE!$F:$F,$A13,
              BANQUE!$G:$G,D$1)</f>
        <v>24.27</v>
      </c>
      <c r="E13" s="521">
        <f>SUMIFS(BANQUE!$E:$E,
              BANQUE!$F:$F,$A13,
              BANQUE!$G:$G,E$1)
-
SUMIFS(BANQUE!$D:$D,
              BANQUE!$F:$F,$A13,
              BANQUE!$G:$G,E$1)</f>
        <v>24.27</v>
      </c>
      <c r="F13" s="521">
        <f>SUMIFS(BANQUE!$E:$E,
              BANQUE!$F:$F,$A13,
              BANQUE!$G:$G,F$1)
-
SUMIFS(BANQUE!$D:$D,
              BANQUE!$F:$F,$A13,
              BANQUE!$G:$G,F$1)</f>
        <v>24.27</v>
      </c>
      <c r="G13" s="521">
        <f>SUMIFS(BANQUE!$E:$E,
              BANQUE!$F:$F,$A13,
              BANQUE!$G:$G,G$1)
-
SUMIFS(BANQUE!$D:$D,
              BANQUE!$F:$F,$A13,
              BANQUE!$G:$G,G$1)</f>
        <v>24.83</v>
      </c>
      <c r="H13" s="521">
        <f>SUMIFS(BANQUE!$E:$E,
              BANQUE!$F:$F,$A13,
              BANQUE!$G:$G,H$1)
-
SUMIFS(BANQUE!$D:$D,
              BANQUE!$F:$F,$A13,
              BANQUE!$G:$G,H$1)</f>
        <v>24.84</v>
      </c>
      <c r="I13" s="521">
        <f>SUMIFS(BANQUE!$E:$E,
              BANQUE!$F:$F,$A13,
              BANQUE!$G:$G,I$1)
-
SUMIFS(BANQUE!$D:$D,
              BANQUE!$F:$F,$A13,
              BANQUE!$G:$G,I$1)</f>
        <v>24.84</v>
      </c>
      <c r="J13" s="521">
        <f>SUMIFS(BANQUE!$E:$E,
              BANQUE!$F:$F,$A13,
              BANQUE!$G:$G,J$1)
-
SUMIFS(BANQUE!$D:$D,
              BANQUE!$F:$F,$A13,
              BANQUE!$G:$G,J$1)</f>
        <v>0</v>
      </c>
      <c r="K13" s="521">
        <f>SUMIFS(BANQUE!$E:$E,
              BANQUE!$F:$F,$A13,
              BANQUE!$G:$G,K$1)
-
SUMIFS(BANQUE!$D:$D,
              BANQUE!$F:$F,$A13,
              BANQUE!$G:$G,K$1)</f>
        <v>0</v>
      </c>
      <c r="L13" s="521">
        <f>SUMIFS(BANQUE!$E:$E,
              BANQUE!$F:$F,$A13,
              BANQUE!$G:$G,L$1)
-
SUMIFS(BANQUE!$D:$D,
              BANQUE!$F:$F,$A13,
              BANQUE!$G:$G,L$1)</f>
        <v>0</v>
      </c>
      <c r="M13" s="521">
        <f>SUMIFS(BANQUE!$E:$E,
              BANQUE!$F:$F,$A13,
              BANQUE!$G:$G,M$1)
-
SUMIFS(BANQUE!$D:$D,
              BANQUE!$F:$F,$A13,
              BANQUE!$G:$G,M$1)</f>
        <v>0</v>
      </c>
      <c r="N13" s="583">
        <f>SUMIFS(BANQUE!$E:$E,
              BANQUE!$F:$F,$A13,
              BANQUE!$G:$G,N$1)
-
SUMIFS(BANQUE!$D:$D,
              BANQUE!$F:$F,$A13,
              BANQUE!$G:$G,N$1)</f>
        <v>0</v>
      </c>
      <c r="O13" s="583">
        <f>SUMIFS(BANQUE!$E:$E,
              BANQUE!$F:$F,$A13,
              BANQUE!$G:$G,O$1)
-
SUMIFS(BANQUE!$D:$D,
              BANQUE!$F:$F,$A13,
              BANQUE!$G:$G,O$1)</f>
        <v>0</v>
      </c>
      <c r="P13" s="583">
        <f>SUMIFS(BANQUE!$E:$E,
              BANQUE!$F:$F,$A13,
              BANQUE!$G:$G,P$1)
-
SUMIFS(BANQUE!$D:$D,
              BANQUE!$F:$F,$A13,
              BANQUE!$G:$G,P$1)</f>
        <v>0</v>
      </c>
      <c r="Q13" s="583">
        <f>SUMIFS(BANQUE!$E:$E,
              BANQUE!$F:$F,$A13,
              BANQUE!$G:$G,Q$1)
-
SUMIFS(BANQUE!$D:$D,
              BANQUE!$F:$F,$A13,
              BANQUE!$G:$G,Q$1)</f>
        <v>0</v>
      </c>
      <c r="R13" s="583">
        <f>SUMIFS(BANQUE!$E:$E,
              BANQUE!$F:$F,$A13,
              BANQUE!$G:$G,R$1)
-
SUMIFS(BANQUE!$D:$D,
              BANQUE!$F:$F,$A13,
              BANQUE!$G:$G,R$1)</f>
        <v>0</v>
      </c>
      <c r="S13" s="583">
        <f>SUMIFS(BANQUE!$E:$E,
              BANQUE!$F:$F,$A13,
              BANQUE!$G:$G,S$1)
-
SUMIFS(BANQUE!$D:$D,
              BANQUE!$F:$F,$A13,
              BANQUE!$G:$G,S$1)</f>
        <v>0</v>
      </c>
      <c r="T13" s="583">
        <f>SUMIFS(BANQUE!$E:$E,
              BANQUE!$F:$F,$A13,
              BANQUE!$G:$G,T$1)
-
SUMIFS(BANQUE!$D:$D,
              BANQUE!$F:$F,$A13,
              BANQUE!$G:$G,T$1)</f>
        <v>0</v>
      </c>
      <c r="U13" s="586">
        <f t="shared" si="0"/>
        <v>171.59</v>
      </c>
      <c r="V13" s="522">
        <f>'Prévisionnel 25-26'!E12</f>
        <v>300</v>
      </c>
      <c r="W13" s="569">
        <f>V13-U13</f>
        <v>128.41</v>
      </c>
    </row>
    <row r="14" spans="1:16384" ht="20" customHeight="1">
      <c r="A14" s="571" t="s">
        <v>145</v>
      </c>
      <c r="B14" s="525" t="s">
        <v>19</v>
      </c>
      <c r="C14" s="521">
        <f>SUMIFS(BANQUE!$E:$E,
              BANQUE!$F:$F,$A14,
              BANQUE!$G:$G,C$1)
-
SUMIFS(BANQUE!$D:$D,
              BANQUE!$F:$F,$A14,
              BANQUE!$G:$G,C$1)</f>
        <v>787.38</v>
      </c>
      <c r="D14" s="521">
        <f>SUMIFS(BANQUE!$E:$E,
              BANQUE!$F:$F,$A14,
              BANQUE!$G:$G,D$1)
-
SUMIFS(BANQUE!$D:$D,
              BANQUE!$F:$F,$A14,
              BANQUE!$G:$G,D$1)</f>
        <v>787.38</v>
      </c>
      <c r="E14" s="521">
        <f>SUMIFS(BANQUE!$E:$E,
              BANQUE!$F:$F,$A14,
              BANQUE!$G:$G,E$1)
-
SUMIFS(BANQUE!$D:$D,
              BANQUE!$F:$F,$A14,
              BANQUE!$G:$G,E$1)</f>
        <v>787.38</v>
      </c>
      <c r="F14" s="521">
        <f>SUMIFS(BANQUE!$E:$E,
              BANQUE!$F:$F,$A14,
              BANQUE!$G:$G,F$1)
-
SUMIFS(BANQUE!$D:$D,
              BANQUE!$F:$F,$A14,
              BANQUE!$G:$G,F$1)</f>
        <v>787.39</v>
      </c>
      <c r="G14" s="521">
        <f>SUMIFS(BANQUE!$E:$E,
              BANQUE!$F:$F,$A14,
              BANQUE!$G:$G,G$1)
-
SUMIFS(BANQUE!$D:$D,
              BANQUE!$F:$F,$A14,
              BANQUE!$G:$G,G$1)</f>
        <v>0</v>
      </c>
      <c r="H14" s="521">
        <f>SUMIFS(BANQUE!$E:$E,
              BANQUE!$F:$F,$A14,
              BANQUE!$G:$G,H$1)
-
SUMIFS(BANQUE!$D:$D,
              BANQUE!$F:$F,$A14,
              BANQUE!$G:$G,H$1)</f>
        <v>0</v>
      </c>
      <c r="I14" s="521">
        <f>SUMIFS(BANQUE!$E:$E,
              BANQUE!$F:$F,$A14,
              BANQUE!$G:$G,I$1)
-
SUMIFS(BANQUE!$D:$D,
              BANQUE!$F:$F,$A14,
              BANQUE!$G:$G,I$1)</f>
        <v>666.11</v>
      </c>
      <c r="J14" s="521">
        <f>SUMIFS(BANQUE!$E:$E,
              BANQUE!$F:$F,$A14,
              BANQUE!$G:$G,J$1)
-
SUMIFS(BANQUE!$D:$D,
              BANQUE!$F:$F,$A14,
              BANQUE!$G:$G,J$1)</f>
        <v>666.11</v>
      </c>
      <c r="K14" s="521">
        <f>SUMIFS(BANQUE!$E:$E,
              BANQUE!$F:$F,$A14,
              BANQUE!$G:$G,K$1)
-
SUMIFS(BANQUE!$D:$D,
              BANQUE!$F:$F,$A14,
              BANQUE!$G:$G,K$1)</f>
        <v>0</v>
      </c>
      <c r="L14" s="521">
        <f>SUMIFS(BANQUE!$E:$E,
              BANQUE!$F:$F,$A14,
              BANQUE!$G:$G,L$1)
-
SUMIFS(BANQUE!$D:$D,
              BANQUE!$F:$F,$A14,
              BANQUE!$G:$G,L$1)</f>
        <v>0</v>
      </c>
      <c r="M14" s="521">
        <f>SUMIFS(BANQUE!$E:$E,
              BANQUE!$F:$F,$A14,
              BANQUE!$G:$G,M$1)
-
SUMIFS(BANQUE!$D:$D,
              BANQUE!$F:$F,$A14,
              BANQUE!$G:$G,M$1)</f>
        <v>0</v>
      </c>
      <c r="N14" s="583">
        <f>SUMIFS(BANQUE!$E:$E,
              BANQUE!$F:$F,$A14,
              BANQUE!$G:$G,N$1)
-
SUMIFS(BANQUE!$D:$D,
              BANQUE!$F:$F,$A14,
              BANQUE!$G:$G,N$1)</f>
        <v>0</v>
      </c>
      <c r="O14" s="583">
        <f>SUMIFS(BANQUE!$E:$E,
              BANQUE!$F:$F,$A14,
              BANQUE!$G:$G,O$1)
-
SUMIFS(BANQUE!$D:$D,
              BANQUE!$F:$F,$A14,
              BANQUE!$G:$G,O$1)</f>
        <v>0</v>
      </c>
      <c r="P14" s="583">
        <f>SUMIFS(BANQUE!$E:$E,
              BANQUE!$F:$F,$A14,
              BANQUE!$G:$G,P$1)
-
SUMIFS(BANQUE!$D:$D,
              BANQUE!$F:$F,$A14,
              BANQUE!$G:$G,P$1)</f>
        <v>0</v>
      </c>
      <c r="Q14" s="583">
        <f>SUMIFS(BANQUE!$E:$E,
              BANQUE!$F:$F,$A14,
              BANQUE!$G:$G,Q$1)
-
SUMIFS(BANQUE!$D:$D,
              BANQUE!$F:$F,$A14,
              BANQUE!$G:$G,Q$1)</f>
        <v>0</v>
      </c>
      <c r="R14" s="583">
        <f>SUMIFS(BANQUE!$E:$E,
              BANQUE!$F:$F,$A14,
              BANQUE!$G:$G,R$1)
-
SUMIFS(BANQUE!$D:$D,
              BANQUE!$F:$F,$A14,
              BANQUE!$G:$G,R$1)</f>
        <v>0</v>
      </c>
      <c r="S14" s="583">
        <f>SUMIFS(BANQUE!$E:$E,
              BANQUE!$F:$F,$A14,
              BANQUE!$G:$G,S$1)
-
SUMIFS(BANQUE!$D:$D,
              BANQUE!$F:$F,$A14,
              BANQUE!$G:$G,S$1)</f>
        <v>0</v>
      </c>
      <c r="T14" s="583">
        <f>SUMIFS(BANQUE!$E:$E,
              BANQUE!$F:$F,$A14,
              BANQUE!$G:$G,T$1)
-
SUMIFS(BANQUE!$D:$D,
              BANQUE!$F:$F,$A14,
              BANQUE!$G:$G,T$1)</f>
        <v>0</v>
      </c>
      <c r="U14" s="586">
        <f t="shared" si="0"/>
        <v>4481.75</v>
      </c>
      <c r="V14" s="522">
        <f>'Prévisionnel 25-26'!E13</f>
        <v>7000</v>
      </c>
      <c r="W14" s="569">
        <f t="shared" si="2"/>
        <v>2518.25</v>
      </c>
    </row>
    <row r="15" spans="1:16384" ht="20" customHeight="1">
      <c r="A15" s="571" t="s">
        <v>143</v>
      </c>
      <c r="B15" s="525" t="s">
        <v>20</v>
      </c>
      <c r="C15" s="521">
        <f>SUMIFS(BANQUE!$E:$E,
              BANQUE!$F:$F,$A15,
              BANQUE!$G:$G,C$1)
-
SUMIFS(BANQUE!$D:$D,
              BANQUE!$F:$F,$A15,
              BANQUE!$G:$G,C$1)</f>
        <v>0</v>
      </c>
      <c r="D15" s="521">
        <f>SUMIFS(BANQUE!$E:$E,
              BANQUE!$F:$F,$A15,
              BANQUE!$G:$G,D$1)
-
SUMIFS(BANQUE!$D:$D,
              BANQUE!$F:$F,$A15,
              BANQUE!$G:$G,D$1)</f>
        <v>0</v>
      </c>
      <c r="E15" s="521">
        <f>SUMIFS(BANQUE!$E:$E,
              BANQUE!$F:$F,$A15,
              BANQUE!$G:$G,E$1)
-
SUMIFS(BANQUE!$D:$D,
              BANQUE!$F:$F,$A15,
              BANQUE!$G:$G,E$1)</f>
        <v>0</v>
      </c>
      <c r="F15" s="521">
        <f>SUMIFS(BANQUE!$E:$E,
              BANQUE!$F:$F,$A15,
              BANQUE!$G:$G,F$1)
-
SUMIFS(BANQUE!$D:$D,
              BANQUE!$F:$F,$A15,
              BANQUE!$G:$G,F$1)</f>
        <v>0</v>
      </c>
      <c r="G15" s="521">
        <f>SUMIFS(BANQUE!$E:$E,
              BANQUE!$F:$F,$A15,
              BANQUE!$G:$G,G$1)
-
SUMIFS(BANQUE!$D:$D,
              BANQUE!$F:$F,$A15,
              BANQUE!$G:$G,G$1)</f>
        <v>0</v>
      </c>
      <c r="H15" s="521">
        <f>SUMIFS(BANQUE!$E:$E,
              BANQUE!$F:$F,$A15,
              BANQUE!$G:$G,H$1)
-
SUMIFS(BANQUE!$D:$D,
              BANQUE!$F:$F,$A15,
              BANQUE!$G:$G,H$1)</f>
        <v>0</v>
      </c>
      <c r="I15" s="521">
        <f>SUMIFS(BANQUE!$E:$E,
              BANQUE!$F:$F,$A15,
              BANQUE!$G:$G,I$1)
-
SUMIFS(BANQUE!$D:$D,
              BANQUE!$F:$F,$A15,
              BANQUE!$G:$G,I$1)</f>
        <v>0</v>
      </c>
      <c r="J15" s="521">
        <f>SUMIFS(BANQUE!$E:$E,
              BANQUE!$F:$F,$A15,
              BANQUE!$G:$G,J$1)
-
SUMIFS(BANQUE!$D:$D,
              BANQUE!$F:$F,$A15,
              BANQUE!$G:$G,J$1)</f>
        <v>0</v>
      </c>
      <c r="K15" s="521">
        <f>SUMIFS(BANQUE!$E:$E,
              BANQUE!$F:$F,$A15,
              BANQUE!$G:$G,K$1)
-
SUMIFS(BANQUE!$D:$D,
              BANQUE!$F:$F,$A15,
              BANQUE!$G:$G,K$1)</f>
        <v>0</v>
      </c>
      <c r="L15" s="521">
        <f>SUMIFS(BANQUE!$E:$E,
              BANQUE!$F:$F,$A15,
              BANQUE!$G:$G,L$1)
-
SUMIFS(BANQUE!$D:$D,
              BANQUE!$F:$F,$A15,
              BANQUE!$G:$G,L$1)</f>
        <v>0</v>
      </c>
      <c r="M15" s="521">
        <f>SUMIFS(BANQUE!$E:$E,
              BANQUE!$F:$F,$A15,
              BANQUE!$G:$G,M$1)
-
SUMIFS(BANQUE!$D:$D,
              BANQUE!$F:$F,$A15,
              BANQUE!$G:$G,M$1)</f>
        <v>0</v>
      </c>
      <c r="N15" s="583">
        <f>SUMIFS(BANQUE!$E:$E,
              BANQUE!$F:$F,$A15,
              BANQUE!$G:$G,N$1)
-
SUMIFS(BANQUE!$D:$D,
              BANQUE!$F:$F,$A15,
              BANQUE!$G:$G,N$1)</f>
        <v>0</v>
      </c>
      <c r="O15" s="583">
        <f>SUMIFS(BANQUE!$E:$E,
              BANQUE!$F:$F,$A15,
              BANQUE!$G:$G,O$1)
-
SUMIFS(BANQUE!$D:$D,
              BANQUE!$F:$F,$A15,
              BANQUE!$G:$G,O$1)</f>
        <v>0</v>
      </c>
      <c r="P15" s="583">
        <f>SUMIFS(BANQUE!$E:$E,
              BANQUE!$F:$F,$A15,
              BANQUE!$G:$G,P$1)
-
SUMIFS(BANQUE!$D:$D,
              BANQUE!$F:$F,$A15,
              BANQUE!$G:$G,P$1)</f>
        <v>0</v>
      </c>
      <c r="Q15" s="583">
        <f>SUMIFS(BANQUE!$E:$E,
              BANQUE!$F:$F,$A15,
              BANQUE!$G:$G,Q$1)
-
SUMIFS(BANQUE!$D:$D,
              BANQUE!$F:$F,$A15,
              BANQUE!$G:$G,Q$1)</f>
        <v>0</v>
      </c>
      <c r="R15" s="583">
        <f>SUMIFS(BANQUE!$E:$E,
              BANQUE!$F:$F,$A15,
              BANQUE!$G:$G,R$1)
-
SUMIFS(BANQUE!$D:$D,
              BANQUE!$F:$F,$A15,
              BANQUE!$G:$G,R$1)</f>
        <v>0</v>
      </c>
      <c r="S15" s="583">
        <f>SUMIFS(BANQUE!$E:$E,
              BANQUE!$F:$F,$A15,
              BANQUE!$G:$G,S$1)
-
SUMIFS(BANQUE!$D:$D,
              BANQUE!$F:$F,$A15,
              BANQUE!$G:$G,S$1)</f>
        <v>0</v>
      </c>
      <c r="T15" s="583">
        <f>SUMIFS(BANQUE!$E:$E,
              BANQUE!$F:$F,$A15,
              BANQUE!$G:$G,T$1)
-
SUMIFS(BANQUE!$D:$D,
              BANQUE!$F:$F,$A15,
              BANQUE!$G:$G,T$1)</f>
        <v>0</v>
      </c>
      <c r="U15" s="586">
        <f t="shared" si="0"/>
        <v>0</v>
      </c>
      <c r="V15" s="522">
        <f>'Prévisionnel 25-26'!E14</f>
        <v>900</v>
      </c>
      <c r="W15" s="569">
        <f t="shared" si="2"/>
        <v>900</v>
      </c>
    </row>
    <row r="16" spans="1:16384" s="508" customFormat="1" ht="20" customHeight="1">
      <c r="A16" s="571" t="s">
        <v>581</v>
      </c>
      <c r="B16" s="525" t="s">
        <v>586</v>
      </c>
      <c r="C16" s="521">
        <f>SUMIFS(BANQUE!$E:$E,
              BANQUE!$F:$F,$A16,
              BANQUE!$G:$G,C$1)
-
SUMIFS(BANQUE!$D:$D,
              BANQUE!$F:$F,$A16,
              BANQUE!$G:$G,C$1)</f>
        <v>0</v>
      </c>
      <c r="D16" s="521">
        <f>SUMIFS(BANQUE!$E:$E,
              BANQUE!$F:$F,$A16,
              BANQUE!$G:$G,D$1)
-
SUMIFS(BANQUE!$D:$D,
              BANQUE!$F:$F,$A16,
              BANQUE!$G:$G,D$1)</f>
        <v>0</v>
      </c>
      <c r="E16" s="521">
        <f>SUMIFS(BANQUE!$E:$E,
              BANQUE!$F:$F,$A16,
              BANQUE!$G:$G,E$1)
-
SUMIFS(BANQUE!$D:$D,
              BANQUE!$F:$F,$A16,
              BANQUE!$G:$G,E$1)</f>
        <v>0</v>
      </c>
      <c r="F16" s="521">
        <f>SUMIFS(BANQUE!$E:$E,
              BANQUE!$F:$F,$A16,
              BANQUE!$G:$G,F$1)
-
SUMIFS(BANQUE!$D:$D,
              BANQUE!$F:$F,$A16,
              BANQUE!$G:$G,F$1)</f>
        <v>225.6</v>
      </c>
      <c r="G16" s="521">
        <f>SUMIFS(BANQUE!$E:$E,
              BANQUE!$F:$F,$A16,
              BANQUE!$G:$G,G$1)
-
SUMIFS(BANQUE!$D:$D,
              BANQUE!$F:$F,$A16,
              BANQUE!$G:$G,G$1)</f>
        <v>0</v>
      </c>
      <c r="H16" s="521">
        <f>SUMIFS(BANQUE!$E:$E,
              BANQUE!$F:$F,$A16,
              BANQUE!$G:$G,H$1)
-
SUMIFS(BANQUE!$D:$D,
              BANQUE!$F:$F,$A16,
              BANQUE!$G:$G,H$1)</f>
        <v>0</v>
      </c>
      <c r="I16" s="521">
        <f>SUMIFS(BANQUE!$E:$E,
              BANQUE!$F:$F,$A16,
              BANQUE!$G:$G,I$1)
-
SUMIFS(BANQUE!$D:$D,
              BANQUE!$F:$F,$A16,
              BANQUE!$G:$G,I$1)</f>
        <v>0</v>
      </c>
      <c r="J16" s="521">
        <f>SUMIFS(BANQUE!$E:$E,
              BANQUE!$F:$F,$A16,
              BANQUE!$G:$G,J$1)
-
SUMIFS(BANQUE!$D:$D,
              BANQUE!$F:$F,$A16,
              BANQUE!$G:$G,J$1)</f>
        <v>0</v>
      </c>
      <c r="K16" s="521">
        <f>SUMIFS(BANQUE!$E:$E,
              BANQUE!$F:$F,$A16,
              BANQUE!$G:$G,K$1)
-
SUMIFS(BANQUE!$D:$D,
              BANQUE!$F:$F,$A16,
              BANQUE!$G:$G,K$1)</f>
        <v>0</v>
      </c>
      <c r="L16" s="521">
        <f>SUMIFS(BANQUE!$E:$E,
              BANQUE!$F:$F,$A16,
              BANQUE!$G:$G,L$1)
-
SUMIFS(BANQUE!$D:$D,
              BANQUE!$F:$F,$A16,
              BANQUE!$G:$G,L$1)</f>
        <v>0</v>
      </c>
      <c r="M16" s="521">
        <f>SUMIFS(BANQUE!$E:$E,
              BANQUE!$F:$F,$A16,
              BANQUE!$G:$G,M$1)
-
SUMIFS(BANQUE!$D:$D,
              BANQUE!$F:$F,$A16,
              BANQUE!$G:$G,M$1)</f>
        <v>0</v>
      </c>
      <c r="N16" s="583">
        <f>SUMIFS(BANQUE!$E:$E,
              BANQUE!$F:$F,$A16,
              BANQUE!$G:$G,N$1)
-
SUMIFS(BANQUE!$D:$D,
              BANQUE!$F:$F,$A16,
              BANQUE!$G:$G,N$1)</f>
        <v>0</v>
      </c>
      <c r="O16" s="583">
        <f>SUMIFS(BANQUE!$E:$E,
              BANQUE!$F:$F,$A16,
              BANQUE!$G:$G,O$1)
-
SUMIFS(BANQUE!$D:$D,
              BANQUE!$F:$F,$A16,
              BANQUE!$G:$G,O$1)</f>
        <v>0</v>
      </c>
      <c r="P16" s="583">
        <f>SUMIFS(BANQUE!$E:$E,
              BANQUE!$F:$F,$A16,
              BANQUE!$G:$G,P$1)
-
SUMIFS(BANQUE!$D:$D,
              BANQUE!$F:$F,$A16,
              BANQUE!$G:$G,P$1)</f>
        <v>0</v>
      </c>
      <c r="Q16" s="583">
        <f>SUMIFS(BANQUE!$E:$E,
              BANQUE!$F:$F,$A16,
              BANQUE!$G:$G,Q$1)
-
SUMIFS(BANQUE!$D:$D,
              BANQUE!$F:$F,$A16,
              BANQUE!$G:$G,Q$1)</f>
        <v>0</v>
      </c>
      <c r="R16" s="583">
        <f>SUMIFS(BANQUE!$E:$E,
              BANQUE!$F:$F,$A16,
              BANQUE!$G:$G,R$1)
-
SUMIFS(BANQUE!$D:$D,
              BANQUE!$F:$F,$A16,
              BANQUE!$G:$G,R$1)</f>
        <v>0</v>
      </c>
      <c r="S16" s="583">
        <f>SUMIFS(BANQUE!$E:$E,
              BANQUE!$F:$F,$A16,
              BANQUE!$G:$G,S$1)
-
SUMIFS(BANQUE!$D:$D,
              BANQUE!$F:$F,$A16,
              BANQUE!$G:$G,S$1)</f>
        <v>0</v>
      </c>
      <c r="T16" s="583">
        <f>SUMIFS(BANQUE!$E:$E,
              BANQUE!$F:$F,$A16,
              BANQUE!$G:$G,T$1)
-
SUMIFS(BANQUE!$D:$D,
              BANQUE!$F:$F,$A16,
              BANQUE!$G:$G,T$1)</f>
        <v>0</v>
      </c>
      <c r="U16" s="586">
        <f t="shared" si="0"/>
        <v>225.6</v>
      </c>
      <c r="V16" s="522">
        <f>'Prévisionnel 25-26'!E15</f>
        <v>240</v>
      </c>
      <c r="W16" s="569">
        <f t="shared" ref="W16" si="4">V16-U16</f>
        <v>14.400000000000006</v>
      </c>
      <c r="FH16" s="508" t="s">
        <v>581</v>
      </c>
      <c r="FI16" s="508" t="s">
        <v>581</v>
      </c>
      <c r="FJ16" s="508" t="s">
        <v>581</v>
      </c>
      <c r="FK16" s="508" t="s">
        <v>581</v>
      </c>
      <c r="FL16" s="508" t="s">
        <v>581</v>
      </c>
      <c r="FM16" s="508" t="s">
        <v>581</v>
      </c>
      <c r="FN16" s="508" t="s">
        <v>581</v>
      </c>
      <c r="FO16" s="508" t="s">
        <v>581</v>
      </c>
      <c r="FP16" s="508" t="s">
        <v>581</v>
      </c>
      <c r="FQ16" s="508" t="s">
        <v>581</v>
      </c>
      <c r="FR16" s="508" t="s">
        <v>581</v>
      </c>
      <c r="FS16" s="508" t="s">
        <v>581</v>
      </c>
      <c r="FT16" s="508" t="s">
        <v>581</v>
      </c>
      <c r="FU16" s="508" t="s">
        <v>581</v>
      </c>
      <c r="FV16" s="508" t="s">
        <v>581</v>
      </c>
      <c r="FW16" s="508" t="s">
        <v>581</v>
      </c>
      <c r="FX16" s="508" t="s">
        <v>581</v>
      </c>
      <c r="FY16" s="508" t="s">
        <v>581</v>
      </c>
      <c r="FZ16" s="508" t="s">
        <v>581</v>
      </c>
      <c r="GA16" s="508" t="s">
        <v>581</v>
      </c>
      <c r="GB16" s="508" t="s">
        <v>581</v>
      </c>
      <c r="GC16" s="508" t="s">
        <v>581</v>
      </c>
      <c r="GD16" s="508" t="s">
        <v>581</v>
      </c>
      <c r="GE16" s="508" t="s">
        <v>581</v>
      </c>
      <c r="GF16" s="508" t="s">
        <v>581</v>
      </c>
      <c r="GG16" s="508" t="s">
        <v>581</v>
      </c>
      <c r="GH16" s="508" t="s">
        <v>581</v>
      </c>
      <c r="GI16" s="508" t="s">
        <v>581</v>
      </c>
      <c r="GJ16" s="508" t="s">
        <v>581</v>
      </c>
      <c r="GK16" s="508" t="s">
        <v>581</v>
      </c>
      <c r="GL16" s="508" t="s">
        <v>581</v>
      </c>
      <c r="GM16" s="508" t="s">
        <v>581</v>
      </c>
      <c r="GN16" s="508" t="s">
        <v>581</v>
      </c>
      <c r="GO16" s="508" t="s">
        <v>581</v>
      </c>
      <c r="GP16" s="508" t="s">
        <v>581</v>
      </c>
      <c r="GQ16" s="508" t="s">
        <v>581</v>
      </c>
      <c r="GR16" s="508" t="s">
        <v>581</v>
      </c>
      <c r="GS16" s="508" t="s">
        <v>581</v>
      </c>
      <c r="GT16" s="508" t="s">
        <v>581</v>
      </c>
      <c r="GU16" s="508" t="s">
        <v>581</v>
      </c>
      <c r="GV16" s="508" t="s">
        <v>581</v>
      </c>
      <c r="GW16" s="508" t="s">
        <v>581</v>
      </c>
      <c r="GX16" s="508" t="s">
        <v>581</v>
      </c>
      <c r="GY16" s="508" t="s">
        <v>581</v>
      </c>
      <c r="GZ16" s="508" t="s">
        <v>581</v>
      </c>
      <c r="HA16" s="508" t="s">
        <v>581</v>
      </c>
      <c r="HB16" s="508" t="s">
        <v>581</v>
      </c>
      <c r="HC16" s="508" t="s">
        <v>581</v>
      </c>
      <c r="HD16" s="508" t="s">
        <v>581</v>
      </c>
      <c r="HE16" s="508" t="s">
        <v>581</v>
      </c>
      <c r="HF16" s="508" t="s">
        <v>581</v>
      </c>
      <c r="HG16" s="508" t="s">
        <v>581</v>
      </c>
      <c r="HH16" s="508" t="s">
        <v>581</v>
      </c>
      <c r="HI16" s="508" t="s">
        <v>581</v>
      </c>
      <c r="HJ16" s="508" t="s">
        <v>581</v>
      </c>
      <c r="HK16" s="508" t="s">
        <v>581</v>
      </c>
      <c r="HL16" s="508" t="s">
        <v>581</v>
      </c>
      <c r="HM16" s="508" t="s">
        <v>581</v>
      </c>
      <c r="HN16" s="508" t="s">
        <v>581</v>
      </c>
      <c r="HO16" s="508" t="s">
        <v>581</v>
      </c>
      <c r="HP16" s="508" t="s">
        <v>581</v>
      </c>
      <c r="HQ16" s="508" t="s">
        <v>581</v>
      </c>
      <c r="HR16" s="508" t="s">
        <v>581</v>
      </c>
      <c r="HS16" s="508" t="s">
        <v>581</v>
      </c>
      <c r="HT16" s="508" t="s">
        <v>581</v>
      </c>
      <c r="HU16" s="508" t="s">
        <v>581</v>
      </c>
      <c r="HV16" s="508" t="s">
        <v>581</v>
      </c>
      <c r="HW16" s="508" t="s">
        <v>581</v>
      </c>
      <c r="HX16" s="508" t="s">
        <v>581</v>
      </c>
      <c r="HY16" s="508" t="s">
        <v>581</v>
      </c>
      <c r="HZ16" s="508" t="s">
        <v>581</v>
      </c>
      <c r="IA16" s="508" t="s">
        <v>581</v>
      </c>
      <c r="IB16" s="508" t="s">
        <v>581</v>
      </c>
      <c r="IC16" s="508" t="s">
        <v>581</v>
      </c>
      <c r="ID16" s="508" t="s">
        <v>581</v>
      </c>
      <c r="IE16" s="508" t="s">
        <v>581</v>
      </c>
      <c r="IF16" s="508" t="s">
        <v>581</v>
      </c>
      <c r="IG16" s="508" t="s">
        <v>581</v>
      </c>
      <c r="IH16" s="508" t="s">
        <v>581</v>
      </c>
      <c r="II16" s="508" t="s">
        <v>581</v>
      </c>
      <c r="IJ16" s="508" t="s">
        <v>581</v>
      </c>
      <c r="IK16" s="508" t="s">
        <v>581</v>
      </c>
      <c r="IL16" s="508" t="s">
        <v>581</v>
      </c>
      <c r="IM16" s="508" t="s">
        <v>581</v>
      </c>
      <c r="IN16" s="508" t="s">
        <v>581</v>
      </c>
      <c r="IO16" s="508" t="s">
        <v>581</v>
      </c>
      <c r="IP16" s="508" t="s">
        <v>581</v>
      </c>
      <c r="IQ16" s="508" t="s">
        <v>581</v>
      </c>
      <c r="IR16" s="508" t="s">
        <v>581</v>
      </c>
      <c r="IS16" s="508" t="s">
        <v>581</v>
      </c>
      <c r="IT16" s="508" t="s">
        <v>581</v>
      </c>
      <c r="IU16" s="508" t="s">
        <v>581</v>
      </c>
      <c r="IV16" s="508" t="s">
        <v>581</v>
      </c>
      <c r="IW16" s="508" t="s">
        <v>581</v>
      </c>
      <c r="IX16" s="508" t="s">
        <v>581</v>
      </c>
      <c r="IY16" s="508" t="s">
        <v>581</v>
      </c>
      <c r="IZ16" s="508" t="s">
        <v>581</v>
      </c>
      <c r="JA16" s="508" t="s">
        <v>581</v>
      </c>
      <c r="JB16" s="508" t="s">
        <v>581</v>
      </c>
      <c r="JC16" s="508" t="s">
        <v>581</v>
      </c>
      <c r="JD16" s="508" t="s">
        <v>581</v>
      </c>
      <c r="JE16" s="508" t="s">
        <v>581</v>
      </c>
      <c r="JF16" s="508" t="s">
        <v>581</v>
      </c>
      <c r="JG16" s="508" t="s">
        <v>581</v>
      </c>
      <c r="JH16" s="508" t="s">
        <v>581</v>
      </c>
      <c r="JI16" s="508" t="s">
        <v>581</v>
      </c>
      <c r="JJ16" s="508" t="s">
        <v>581</v>
      </c>
      <c r="JK16" s="508" t="s">
        <v>581</v>
      </c>
      <c r="JL16" s="508" t="s">
        <v>581</v>
      </c>
      <c r="JM16" s="508" t="s">
        <v>581</v>
      </c>
      <c r="JN16" s="508" t="s">
        <v>581</v>
      </c>
      <c r="JO16" s="508" t="s">
        <v>581</v>
      </c>
      <c r="JP16" s="508" t="s">
        <v>581</v>
      </c>
      <c r="JQ16" s="508" t="s">
        <v>581</v>
      </c>
      <c r="JR16" s="508" t="s">
        <v>581</v>
      </c>
      <c r="JS16" s="508" t="s">
        <v>581</v>
      </c>
      <c r="JT16" s="508" t="s">
        <v>581</v>
      </c>
      <c r="JU16" s="508" t="s">
        <v>581</v>
      </c>
      <c r="JV16" s="508" t="s">
        <v>581</v>
      </c>
      <c r="JW16" s="508" t="s">
        <v>581</v>
      </c>
      <c r="JX16" s="508" t="s">
        <v>581</v>
      </c>
      <c r="JY16" s="508" t="s">
        <v>581</v>
      </c>
      <c r="JZ16" s="508" t="s">
        <v>581</v>
      </c>
      <c r="KA16" s="508" t="s">
        <v>581</v>
      </c>
      <c r="KB16" s="508" t="s">
        <v>581</v>
      </c>
      <c r="KC16" s="508" t="s">
        <v>581</v>
      </c>
      <c r="KD16" s="508" t="s">
        <v>581</v>
      </c>
      <c r="KE16" s="508" t="s">
        <v>581</v>
      </c>
      <c r="KF16" s="508" t="s">
        <v>581</v>
      </c>
      <c r="KG16" s="508" t="s">
        <v>581</v>
      </c>
      <c r="KH16" s="508" t="s">
        <v>581</v>
      </c>
      <c r="KI16" s="508" t="s">
        <v>581</v>
      </c>
      <c r="KJ16" s="508" t="s">
        <v>581</v>
      </c>
      <c r="KK16" s="508" t="s">
        <v>581</v>
      </c>
      <c r="KL16" s="508" t="s">
        <v>581</v>
      </c>
      <c r="KM16" s="508" t="s">
        <v>581</v>
      </c>
      <c r="KN16" s="508" t="s">
        <v>581</v>
      </c>
      <c r="KO16" s="508" t="s">
        <v>581</v>
      </c>
      <c r="KP16" s="508" t="s">
        <v>581</v>
      </c>
      <c r="KQ16" s="508" t="s">
        <v>581</v>
      </c>
      <c r="KR16" s="508" t="s">
        <v>581</v>
      </c>
      <c r="KS16" s="508" t="s">
        <v>581</v>
      </c>
      <c r="KT16" s="508" t="s">
        <v>581</v>
      </c>
      <c r="KU16" s="508" t="s">
        <v>581</v>
      </c>
      <c r="KV16" s="508" t="s">
        <v>581</v>
      </c>
      <c r="KW16" s="508" t="s">
        <v>581</v>
      </c>
      <c r="KX16" s="508" t="s">
        <v>581</v>
      </c>
      <c r="KY16" s="508" t="s">
        <v>581</v>
      </c>
      <c r="KZ16" s="508" t="s">
        <v>581</v>
      </c>
      <c r="LA16" s="508" t="s">
        <v>581</v>
      </c>
      <c r="LB16" s="508" t="s">
        <v>581</v>
      </c>
      <c r="LC16" s="508" t="s">
        <v>581</v>
      </c>
      <c r="LD16" s="508" t="s">
        <v>581</v>
      </c>
      <c r="LE16" s="508" t="s">
        <v>581</v>
      </c>
      <c r="LF16" s="508" t="s">
        <v>581</v>
      </c>
      <c r="LG16" s="508" t="s">
        <v>581</v>
      </c>
      <c r="LH16" s="508" t="s">
        <v>581</v>
      </c>
      <c r="LI16" s="508" t="s">
        <v>581</v>
      </c>
      <c r="LJ16" s="508" t="s">
        <v>581</v>
      </c>
      <c r="LK16" s="508" t="s">
        <v>581</v>
      </c>
      <c r="LL16" s="508" t="s">
        <v>581</v>
      </c>
      <c r="LM16" s="508" t="s">
        <v>581</v>
      </c>
      <c r="LN16" s="508" t="s">
        <v>581</v>
      </c>
      <c r="LO16" s="508" t="s">
        <v>581</v>
      </c>
      <c r="LP16" s="508" t="s">
        <v>581</v>
      </c>
      <c r="LQ16" s="508" t="s">
        <v>581</v>
      </c>
      <c r="LR16" s="508" t="s">
        <v>581</v>
      </c>
      <c r="LS16" s="508" t="s">
        <v>581</v>
      </c>
      <c r="LT16" s="508" t="s">
        <v>581</v>
      </c>
      <c r="LU16" s="508" t="s">
        <v>581</v>
      </c>
      <c r="LV16" s="508" t="s">
        <v>581</v>
      </c>
      <c r="LW16" s="508" t="s">
        <v>581</v>
      </c>
      <c r="LX16" s="508" t="s">
        <v>581</v>
      </c>
      <c r="LY16" s="508" t="s">
        <v>581</v>
      </c>
      <c r="LZ16" s="508" t="s">
        <v>581</v>
      </c>
      <c r="MA16" s="508" t="s">
        <v>581</v>
      </c>
      <c r="MB16" s="508" t="s">
        <v>581</v>
      </c>
      <c r="MC16" s="508" t="s">
        <v>581</v>
      </c>
      <c r="MD16" s="508" t="s">
        <v>581</v>
      </c>
      <c r="ME16" s="508" t="s">
        <v>581</v>
      </c>
      <c r="MF16" s="508" t="s">
        <v>581</v>
      </c>
      <c r="MG16" s="508" t="s">
        <v>581</v>
      </c>
      <c r="MH16" s="508" t="s">
        <v>581</v>
      </c>
      <c r="MI16" s="508" t="s">
        <v>581</v>
      </c>
      <c r="MJ16" s="508" t="s">
        <v>581</v>
      </c>
      <c r="MK16" s="508" t="s">
        <v>581</v>
      </c>
      <c r="ML16" s="508" t="s">
        <v>581</v>
      </c>
      <c r="MM16" s="508" t="s">
        <v>581</v>
      </c>
      <c r="MN16" s="508" t="s">
        <v>581</v>
      </c>
      <c r="MO16" s="508" t="s">
        <v>581</v>
      </c>
      <c r="MP16" s="508" t="s">
        <v>581</v>
      </c>
      <c r="MQ16" s="508" t="s">
        <v>581</v>
      </c>
      <c r="MR16" s="508" t="s">
        <v>581</v>
      </c>
      <c r="MS16" s="508" t="s">
        <v>581</v>
      </c>
      <c r="MT16" s="508" t="s">
        <v>581</v>
      </c>
      <c r="MU16" s="508" t="s">
        <v>581</v>
      </c>
      <c r="MV16" s="508" t="s">
        <v>581</v>
      </c>
      <c r="MW16" s="508" t="s">
        <v>581</v>
      </c>
      <c r="MX16" s="508" t="s">
        <v>581</v>
      </c>
      <c r="MY16" s="508" t="s">
        <v>581</v>
      </c>
      <c r="MZ16" s="508" t="s">
        <v>581</v>
      </c>
      <c r="NA16" s="508" t="s">
        <v>581</v>
      </c>
      <c r="NB16" s="508" t="s">
        <v>581</v>
      </c>
      <c r="NC16" s="508" t="s">
        <v>581</v>
      </c>
      <c r="ND16" s="508" t="s">
        <v>581</v>
      </c>
      <c r="NE16" s="508" t="s">
        <v>581</v>
      </c>
      <c r="NF16" s="508" t="s">
        <v>581</v>
      </c>
      <c r="NG16" s="508" t="s">
        <v>581</v>
      </c>
      <c r="NH16" s="508" t="s">
        <v>581</v>
      </c>
      <c r="NI16" s="508" t="s">
        <v>581</v>
      </c>
      <c r="NJ16" s="508" t="s">
        <v>581</v>
      </c>
      <c r="NK16" s="508" t="s">
        <v>581</v>
      </c>
      <c r="NL16" s="508" t="s">
        <v>581</v>
      </c>
      <c r="NM16" s="508" t="s">
        <v>581</v>
      </c>
      <c r="NN16" s="508" t="s">
        <v>581</v>
      </c>
      <c r="NO16" s="508" t="s">
        <v>581</v>
      </c>
      <c r="NP16" s="508" t="s">
        <v>581</v>
      </c>
      <c r="NQ16" s="508" t="s">
        <v>581</v>
      </c>
      <c r="NR16" s="508" t="s">
        <v>581</v>
      </c>
      <c r="NS16" s="508" t="s">
        <v>581</v>
      </c>
      <c r="NT16" s="508" t="s">
        <v>581</v>
      </c>
      <c r="NU16" s="508" t="s">
        <v>581</v>
      </c>
      <c r="NV16" s="508" t="s">
        <v>581</v>
      </c>
      <c r="NW16" s="508" t="s">
        <v>581</v>
      </c>
      <c r="NX16" s="508" t="s">
        <v>581</v>
      </c>
      <c r="NY16" s="508" t="s">
        <v>581</v>
      </c>
      <c r="NZ16" s="508" t="s">
        <v>581</v>
      </c>
      <c r="OA16" s="508" t="s">
        <v>581</v>
      </c>
      <c r="OB16" s="508" t="s">
        <v>581</v>
      </c>
      <c r="OC16" s="508" t="s">
        <v>581</v>
      </c>
      <c r="OD16" s="508" t="s">
        <v>581</v>
      </c>
      <c r="OE16" s="508" t="s">
        <v>581</v>
      </c>
      <c r="OF16" s="508" t="s">
        <v>581</v>
      </c>
      <c r="OG16" s="508" t="s">
        <v>581</v>
      </c>
      <c r="OH16" s="508" t="s">
        <v>581</v>
      </c>
      <c r="OI16" s="508" t="s">
        <v>581</v>
      </c>
      <c r="OJ16" s="508" t="s">
        <v>581</v>
      </c>
      <c r="OK16" s="508" t="s">
        <v>581</v>
      </c>
      <c r="OL16" s="508" t="s">
        <v>581</v>
      </c>
      <c r="OM16" s="508" t="s">
        <v>581</v>
      </c>
      <c r="ON16" s="508" t="s">
        <v>581</v>
      </c>
      <c r="OO16" s="508" t="s">
        <v>581</v>
      </c>
      <c r="OP16" s="508" t="s">
        <v>581</v>
      </c>
      <c r="OQ16" s="508" t="s">
        <v>581</v>
      </c>
      <c r="OR16" s="508" t="s">
        <v>581</v>
      </c>
      <c r="OS16" s="508" t="s">
        <v>581</v>
      </c>
      <c r="OT16" s="508" t="s">
        <v>581</v>
      </c>
      <c r="OU16" s="508" t="s">
        <v>581</v>
      </c>
      <c r="OV16" s="508" t="s">
        <v>581</v>
      </c>
      <c r="OW16" s="508" t="s">
        <v>581</v>
      </c>
      <c r="OX16" s="508" t="s">
        <v>581</v>
      </c>
      <c r="OY16" s="508" t="s">
        <v>581</v>
      </c>
      <c r="OZ16" s="508" t="s">
        <v>581</v>
      </c>
      <c r="PA16" s="508" t="s">
        <v>581</v>
      </c>
      <c r="PB16" s="508" t="s">
        <v>581</v>
      </c>
      <c r="PC16" s="508" t="s">
        <v>581</v>
      </c>
      <c r="PD16" s="508" t="s">
        <v>581</v>
      </c>
      <c r="PE16" s="508" t="s">
        <v>581</v>
      </c>
      <c r="PF16" s="508" t="s">
        <v>581</v>
      </c>
      <c r="PG16" s="508" t="s">
        <v>581</v>
      </c>
      <c r="PH16" s="508" t="s">
        <v>581</v>
      </c>
      <c r="PI16" s="508" t="s">
        <v>581</v>
      </c>
      <c r="PJ16" s="508" t="s">
        <v>581</v>
      </c>
      <c r="PK16" s="508" t="s">
        <v>581</v>
      </c>
      <c r="PL16" s="508" t="s">
        <v>581</v>
      </c>
      <c r="PM16" s="508" t="s">
        <v>581</v>
      </c>
      <c r="PN16" s="508" t="s">
        <v>581</v>
      </c>
      <c r="PO16" s="508" t="s">
        <v>581</v>
      </c>
      <c r="PP16" s="508" t="s">
        <v>581</v>
      </c>
      <c r="PQ16" s="508" t="s">
        <v>581</v>
      </c>
      <c r="PR16" s="508" t="s">
        <v>581</v>
      </c>
      <c r="PS16" s="508" t="s">
        <v>581</v>
      </c>
      <c r="PT16" s="508" t="s">
        <v>581</v>
      </c>
      <c r="PU16" s="508" t="s">
        <v>581</v>
      </c>
      <c r="PV16" s="508" t="s">
        <v>581</v>
      </c>
      <c r="PW16" s="508" t="s">
        <v>581</v>
      </c>
      <c r="PX16" s="508" t="s">
        <v>581</v>
      </c>
      <c r="PY16" s="508" t="s">
        <v>581</v>
      </c>
      <c r="PZ16" s="508" t="s">
        <v>581</v>
      </c>
      <c r="QA16" s="508" t="s">
        <v>581</v>
      </c>
      <c r="QB16" s="508" t="s">
        <v>581</v>
      </c>
      <c r="QC16" s="508" t="s">
        <v>581</v>
      </c>
      <c r="QD16" s="508" t="s">
        <v>581</v>
      </c>
      <c r="QE16" s="508" t="s">
        <v>581</v>
      </c>
      <c r="QF16" s="508" t="s">
        <v>581</v>
      </c>
      <c r="QG16" s="508" t="s">
        <v>581</v>
      </c>
      <c r="QH16" s="508" t="s">
        <v>581</v>
      </c>
      <c r="QI16" s="508" t="s">
        <v>581</v>
      </c>
      <c r="QJ16" s="508" t="s">
        <v>581</v>
      </c>
      <c r="QK16" s="508" t="s">
        <v>581</v>
      </c>
      <c r="QL16" s="508" t="s">
        <v>581</v>
      </c>
      <c r="QM16" s="508" t="s">
        <v>581</v>
      </c>
      <c r="QN16" s="508" t="s">
        <v>581</v>
      </c>
      <c r="QO16" s="508" t="s">
        <v>581</v>
      </c>
      <c r="QP16" s="508" t="s">
        <v>581</v>
      </c>
      <c r="QQ16" s="508" t="s">
        <v>581</v>
      </c>
      <c r="QR16" s="508" t="s">
        <v>581</v>
      </c>
      <c r="QS16" s="508" t="s">
        <v>581</v>
      </c>
      <c r="QT16" s="508" t="s">
        <v>581</v>
      </c>
      <c r="QU16" s="508" t="s">
        <v>581</v>
      </c>
      <c r="QV16" s="508" t="s">
        <v>581</v>
      </c>
      <c r="QW16" s="508" t="s">
        <v>581</v>
      </c>
      <c r="QX16" s="508" t="s">
        <v>581</v>
      </c>
      <c r="QY16" s="508" t="s">
        <v>581</v>
      </c>
      <c r="QZ16" s="508" t="s">
        <v>581</v>
      </c>
      <c r="RA16" s="508" t="s">
        <v>581</v>
      </c>
      <c r="RB16" s="508" t="s">
        <v>581</v>
      </c>
      <c r="RC16" s="508" t="s">
        <v>581</v>
      </c>
      <c r="RD16" s="508" t="s">
        <v>581</v>
      </c>
      <c r="RE16" s="508" t="s">
        <v>581</v>
      </c>
      <c r="RF16" s="508" t="s">
        <v>581</v>
      </c>
      <c r="RG16" s="508" t="s">
        <v>581</v>
      </c>
      <c r="RH16" s="508" t="s">
        <v>581</v>
      </c>
      <c r="RI16" s="508" t="s">
        <v>581</v>
      </c>
      <c r="RJ16" s="508" t="s">
        <v>581</v>
      </c>
      <c r="RK16" s="508" t="s">
        <v>581</v>
      </c>
      <c r="RL16" s="508" t="s">
        <v>581</v>
      </c>
      <c r="RM16" s="508" t="s">
        <v>581</v>
      </c>
      <c r="RN16" s="508" t="s">
        <v>581</v>
      </c>
      <c r="RO16" s="508" t="s">
        <v>581</v>
      </c>
      <c r="RP16" s="508" t="s">
        <v>581</v>
      </c>
      <c r="RQ16" s="508" t="s">
        <v>581</v>
      </c>
      <c r="RR16" s="508" t="s">
        <v>581</v>
      </c>
      <c r="RS16" s="508" t="s">
        <v>581</v>
      </c>
      <c r="RT16" s="508" t="s">
        <v>581</v>
      </c>
      <c r="RU16" s="508" t="s">
        <v>581</v>
      </c>
      <c r="RV16" s="508" t="s">
        <v>581</v>
      </c>
      <c r="RW16" s="508" t="s">
        <v>581</v>
      </c>
      <c r="RX16" s="508" t="s">
        <v>581</v>
      </c>
      <c r="RY16" s="508" t="s">
        <v>581</v>
      </c>
      <c r="RZ16" s="508" t="s">
        <v>581</v>
      </c>
      <c r="SA16" s="508" t="s">
        <v>581</v>
      </c>
      <c r="SB16" s="508" t="s">
        <v>581</v>
      </c>
      <c r="SC16" s="508" t="s">
        <v>581</v>
      </c>
      <c r="SD16" s="508" t="s">
        <v>581</v>
      </c>
      <c r="SE16" s="508" t="s">
        <v>581</v>
      </c>
      <c r="SF16" s="508" t="s">
        <v>581</v>
      </c>
      <c r="SG16" s="508" t="s">
        <v>581</v>
      </c>
      <c r="SH16" s="508" t="s">
        <v>581</v>
      </c>
      <c r="SI16" s="508" t="s">
        <v>581</v>
      </c>
      <c r="SJ16" s="508" t="s">
        <v>581</v>
      </c>
      <c r="SK16" s="508" t="s">
        <v>581</v>
      </c>
      <c r="SL16" s="508" t="s">
        <v>581</v>
      </c>
      <c r="SM16" s="508" t="s">
        <v>581</v>
      </c>
      <c r="SN16" s="508" t="s">
        <v>581</v>
      </c>
      <c r="SO16" s="508" t="s">
        <v>581</v>
      </c>
      <c r="SP16" s="508" t="s">
        <v>581</v>
      </c>
      <c r="SQ16" s="508" t="s">
        <v>581</v>
      </c>
      <c r="SR16" s="508" t="s">
        <v>581</v>
      </c>
      <c r="SS16" s="508" t="s">
        <v>581</v>
      </c>
      <c r="ST16" s="508" t="s">
        <v>581</v>
      </c>
      <c r="SU16" s="508" t="s">
        <v>581</v>
      </c>
      <c r="SV16" s="508" t="s">
        <v>581</v>
      </c>
      <c r="SW16" s="508" t="s">
        <v>581</v>
      </c>
      <c r="SX16" s="508" t="s">
        <v>581</v>
      </c>
      <c r="SY16" s="508" t="s">
        <v>581</v>
      </c>
      <c r="SZ16" s="508" t="s">
        <v>581</v>
      </c>
      <c r="TA16" s="508" t="s">
        <v>581</v>
      </c>
      <c r="TB16" s="508" t="s">
        <v>581</v>
      </c>
      <c r="TC16" s="508" t="s">
        <v>581</v>
      </c>
      <c r="TD16" s="508" t="s">
        <v>581</v>
      </c>
      <c r="TE16" s="508" t="s">
        <v>581</v>
      </c>
      <c r="TF16" s="508" t="s">
        <v>581</v>
      </c>
      <c r="TG16" s="508" t="s">
        <v>581</v>
      </c>
      <c r="TH16" s="508" t="s">
        <v>581</v>
      </c>
      <c r="TI16" s="508" t="s">
        <v>581</v>
      </c>
      <c r="TJ16" s="508" t="s">
        <v>581</v>
      </c>
      <c r="TK16" s="508" t="s">
        <v>581</v>
      </c>
      <c r="TL16" s="508" t="s">
        <v>581</v>
      </c>
      <c r="TM16" s="508" t="s">
        <v>581</v>
      </c>
      <c r="TN16" s="508" t="s">
        <v>581</v>
      </c>
      <c r="TO16" s="508" t="s">
        <v>581</v>
      </c>
      <c r="TP16" s="508" t="s">
        <v>581</v>
      </c>
      <c r="TQ16" s="508" t="s">
        <v>581</v>
      </c>
      <c r="TR16" s="508" t="s">
        <v>581</v>
      </c>
      <c r="TS16" s="508" t="s">
        <v>581</v>
      </c>
      <c r="TT16" s="508" t="s">
        <v>581</v>
      </c>
      <c r="TU16" s="508" t="s">
        <v>581</v>
      </c>
      <c r="TV16" s="508" t="s">
        <v>581</v>
      </c>
      <c r="TW16" s="508" t="s">
        <v>581</v>
      </c>
      <c r="TX16" s="508" t="s">
        <v>581</v>
      </c>
      <c r="TY16" s="508" t="s">
        <v>581</v>
      </c>
      <c r="TZ16" s="508" t="s">
        <v>581</v>
      </c>
      <c r="UA16" s="508" t="s">
        <v>581</v>
      </c>
      <c r="UB16" s="508" t="s">
        <v>581</v>
      </c>
      <c r="UC16" s="508" t="s">
        <v>581</v>
      </c>
      <c r="UD16" s="508" t="s">
        <v>581</v>
      </c>
      <c r="UE16" s="508" t="s">
        <v>581</v>
      </c>
      <c r="UF16" s="508" t="s">
        <v>581</v>
      </c>
      <c r="UG16" s="508" t="s">
        <v>581</v>
      </c>
      <c r="UH16" s="508" t="s">
        <v>581</v>
      </c>
      <c r="UI16" s="508" t="s">
        <v>581</v>
      </c>
      <c r="UJ16" s="508" t="s">
        <v>581</v>
      </c>
      <c r="UK16" s="508" t="s">
        <v>581</v>
      </c>
      <c r="UL16" s="508" t="s">
        <v>581</v>
      </c>
      <c r="UM16" s="508" t="s">
        <v>581</v>
      </c>
      <c r="UN16" s="508" t="s">
        <v>581</v>
      </c>
      <c r="UO16" s="508" t="s">
        <v>581</v>
      </c>
      <c r="UP16" s="508" t="s">
        <v>581</v>
      </c>
      <c r="UQ16" s="508" t="s">
        <v>581</v>
      </c>
      <c r="UR16" s="508" t="s">
        <v>581</v>
      </c>
      <c r="US16" s="508" t="s">
        <v>581</v>
      </c>
      <c r="UT16" s="508" t="s">
        <v>581</v>
      </c>
      <c r="UU16" s="508" t="s">
        <v>581</v>
      </c>
      <c r="UV16" s="508" t="s">
        <v>581</v>
      </c>
      <c r="UW16" s="508" t="s">
        <v>581</v>
      </c>
      <c r="UX16" s="508" t="s">
        <v>581</v>
      </c>
      <c r="UY16" s="508" t="s">
        <v>581</v>
      </c>
      <c r="UZ16" s="508" t="s">
        <v>581</v>
      </c>
      <c r="VA16" s="508" t="s">
        <v>581</v>
      </c>
      <c r="VB16" s="508" t="s">
        <v>581</v>
      </c>
      <c r="VC16" s="508" t="s">
        <v>581</v>
      </c>
      <c r="VD16" s="508" t="s">
        <v>581</v>
      </c>
      <c r="VE16" s="508" t="s">
        <v>581</v>
      </c>
      <c r="VF16" s="508" t="s">
        <v>581</v>
      </c>
      <c r="VG16" s="508" t="s">
        <v>581</v>
      </c>
      <c r="VH16" s="508" t="s">
        <v>581</v>
      </c>
      <c r="VI16" s="508" t="s">
        <v>581</v>
      </c>
      <c r="VJ16" s="508" t="s">
        <v>581</v>
      </c>
      <c r="VK16" s="508" t="s">
        <v>581</v>
      </c>
      <c r="VL16" s="508" t="s">
        <v>581</v>
      </c>
      <c r="VM16" s="508" t="s">
        <v>581</v>
      </c>
      <c r="VN16" s="508" t="s">
        <v>581</v>
      </c>
      <c r="VO16" s="508" t="s">
        <v>581</v>
      </c>
      <c r="VP16" s="508" t="s">
        <v>581</v>
      </c>
      <c r="VQ16" s="508" t="s">
        <v>581</v>
      </c>
      <c r="VR16" s="508" t="s">
        <v>581</v>
      </c>
      <c r="VS16" s="508" t="s">
        <v>581</v>
      </c>
      <c r="VT16" s="508" t="s">
        <v>581</v>
      </c>
      <c r="VU16" s="508" t="s">
        <v>581</v>
      </c>
      <c r="VV16" s="508" t="s">
        <v>581</v>
      </c>
      <c r="VW16" s="508" t="s">
        <v>581</v>
      </c>
      <c r="VX16" s="508" t="s">
        <v>581</v>
      </c>
      <c r="VY16" s="508" t="s">
        <v>581</v>
      </c>
      <c r="VZ16" s="508" t="s">
        <v>581</v>
      </c>
      <c r="WA16" s="508" t="s">
        <v>581</v>
      </c>
      <c r="WB16" s="508" t="s">
        <v>581</v>
      </c>
      <c r="WC16" s="508" t="s">
        <v>581</v>
      </c>
      <c r="WD16" s="508" t="s">
        <v>581</v>
      </c>
      <c r="WE16" s="508" t="s">
        <v>581</v>
      </c>
      <c r="WF16" s="508" t="s">
        <v>581</v>
      </c>
      <c r="WG16" s="508" t="s">
        <v>581</v>
      </c>
      <c r="WH16" s="508" t="s">
        <v>581</v>
      </c>
      <c r="WI16" s="508" t="s">
        <v>581</v>
      </c>
      <c r="WJ16" s="508" t="s">
        <v>581</v>
      </c>
      <c r="WK16" s="508" t="s">
        <v>581</v>
      </c>
      <c r="WL16" s="508" t="s">
        <v>581</v>
      </c>
      <c r="WM16" s="508" t="s">
        <v>581</v>
      </c>
      <c r="WN16" s="508" t="s">
        <v>581</v>
      </c>
      <c r="WO16" s="508" t="s">
        <v>581</v>
      </c>
      <c r="WP16" s="508" t="s">
        <v>581</v>
      </c>
      <c r="WQ16" s="508" t="s">
        <v>581</v>
      </c>
      <c r="WR16" s="508" t="s">
        <v>581</v>
      </c>
      <c r="WS16" s="508" t="s">
        <v>581</v>
      </c>
      <c r="WT16" s="508" t="s">
        <v>581</v>
      </c>
      <c r="WU16" s="508" t="s">
        <v>581</v>
      </c>
      <c r="WV16" s="508" t="s">
        <v>581</v>
      </c>
      <c r="WW16" s="508" t="s">
        <v>581</v>
      </c>
      <c r="WX16" s="508" t="s">
        <v>581</v>
      </c>
      <c r="WY16" s="508" t="s">
        <v>581</v>
      </c>
      <c r="WZ16" s="508" t="s">
        <v>581</v>
      </c>
      <c r="XA16" s="508" t="s">
        <v>581</v>
      </c>
      <c r="XB16" s="508" t="s">
        <v>581</v>
      </c>
      <c r="XC16" s="508" t="s">
        <v>581</v>
      </c>
      <c r="XD16" s="508" t="s">
        <v>581</v>
      </c>
      <c r="XE16" s="508" t="s">
        <v>581</v>
      </c>
      <c r="XF16" s="508" t="s">
        <v>581</v>
      </c>
      <c r="XG16" s="508" t="s">
        <v>581</v>
      </c>
      <c r="XH16" s="508" t="s">
        <v>581</v>
      </c>
      <c r="XI16" s="508" t="s">
        <v>581</v>
      </c>
      <c r="XJ16" s="508" t="s">
        <v>581</v>
      </c>
      <c r="XK16" s="508" t="s">
        <v>581</v>
      </c>
      <c r="XL16" s="508" t="s">
        <v>581</v>
      </c>
      <c r="XM16" s="508" t="s">
        <v>581</v>
      </c>
      <c r="XN16" s="508" t="s">
        <v>581</v>
      </c>
      <c r="XO16" s="508" t="s">
        <v>581</v>
      </c>
      <c r="XP16" s="508" t="s">
        <v>581</v>
      </c>
      <c r="XQ16" s="508" t="s">
        <v>581</v>
      </c>
      <c r="XR16" s="508" t="s">
        <v>581</v>
      </c>
      <c r="XS16" s="508" t="s">
        <v>581</v>
      </c>
      <c r="XT16" s="508" t="s">
        <v>581</v>
      </c>
      <c r="XU16" s="508" t="s">
        <v>581</v>
      </c>
      <c r="XV16" s="508" t="s">
        <v>581</v>
      </c>
      <c r="XW16" s="508" t="s">
        <v>581</v>
      </c>
      <c r="XX16" s="508" t="s">
        <v>581</v>
      </c>
      <c r="XY16" s="508" t="s">
        <v>581</v>
      </c>
      <c r="XZ16" s="508" t="s">
        <v>581</v>
      </c>
      <c r="YA16" s="508" t="s">
        <v>581</v>
      </c>
      <c r="YB16" s="508" t="s">
        <v>581</v>
      </c>
      <c r="YC16" s="508" t="s">
        <v>581</v>
      </c>
      <c r="YD16" s="508" t="s">
        <v>581</v>
      </c>
      <c r="YE16" s="508" t="s">
        <v>581</v>
      </c>
      <c r="YF16" s="508" t="s">
        <v>581</v>
      </c>
      <c r="YG16" s="508" t="s">
        <v>581</v>
      </c>
      <c r="YH16" s="508" t="s">
        <v>581</v>
      </c>
      <c r="YI16" s="508" t="s">
        <v>581</v>
      </c>
      <c r="YJ16" s="508" t="s">
        <v>581</v>
      </c>
      <c r="YK16" s="508" t="s">
        <v>581</v>
      </c>
      <c r="YL16" s="508" t="s">
        <v>581</v>
      </c>
      <c r="YM16" s="508" t="s">
        <v>581</v>
      </c>
      <c r="YN16" s="508" t="s">
        <v>581</v>
      </c>
      <c r="YO16" s="508" t="s">
        <v>581</v>
      </c>
      <c r="YP16" s="508" t="s">
        <v>581</v>
      </c>
      <c r="YQ16" s="508" t="s">
        <v>581</v>
      </c>
      <c r="YR16" s="508" t="s">
        <v>581</v>
      </c>
      <c r="YS16" s="508" t="s">
        <v>581</v>
      </c>
      <c r="YT16" s="508" t="s">
        <v>581</v>
      </c>
      <c r="YU16" s="508" t="s">
        <v>581</v>
      </c>
      <c r="YV16" s="508" t="s">
        <v>581</v>
      </c>
      <c r="YW16" s="508" t="s">
        <v>581</v>
      </c>
      <c r="YX16" s="508" t="s">
        <v>581</v>
      </c>
      <c r="YY16" s="508" t="s">
        <v>581</v>
      </c>
      <c r="YZ16" s="508" t="s">
        <v>581</v>
      </c>
      <c r="ZA16" s="508" t="s">
        <v>581</v>
      </c>
      <c r="ZB16" s="508" t="s">
        <v>581</v>
      </c>
      <c r="ZC16" s="508" t="s">
        <v>581</v>
      </c>
      <c r="ZD16" s="508" t="s">
        <v>581</v>
      </c>
      <c r="ZE16" s="508" t="s">
        <v>581</v>
      </c>
      <c r="ZF16" s="508" t="s">
        <v>581</v>
      </c>
      <c r="ZG16" s="508" t="s">
        <v>581</v>
      </c>
      <c r="ZH16" s="508" t="s">
        <v>581</v>
      </c>
      <c r="ZI16" s="508" t="s">
        <v>581</v>
      </c>
      <c r="ZJ16" s="508" t="s">
        <v>581</v>
      </c>
      <c r="ZK16" s="508" t="s">
        <v>581</v>
      </c>
      <c r="ZL16" s="508" t="s">
        <v>581</v>
      </c>
      <c r="ZM16" s="508" t="s">
        <v>581</v>
      </c>
      <c r="ZN16" s="508" t="s">
        <v>581</v>
      </c>
      <c r="ZO16" s="508" t="s">
        <v>581</v>
      </c>
      <c r="ZP16" s="508" t="s">
        <v>581</v>
      </c>
      <c r="ZQ16" s="508" t="s">
        <v>581</v>
      </c>
      <c r="ZR16" s="508" t="s">
        <v>581</v>
      </c>
      <c r="ZS16" s="508" t="s">
        <v>581</v>
      </c>
      <c r="ZT16" s="508" t="s">
        <v>581</v>
      </c>
      <c r="ZU16" s="508" t="s">
        <v>581</v>
      </c>
      <c r="ZV16" s="508" t="s">
        <v>581</v>
      </c>
      <c r="ZW16" s="508" t="s">
        <v>581</v>
      </c>
      <c r="ZX16" s="508" t="s">
        <v>581</v>
      </c>
      <c r="ZY16" s="508" t="s">
        <v>581</v>
      </c>
      <c r="ZZ16" s="508" t="s">
        <v>581</v>
      </c>
      <c r="AAA16" s="508" t="s">
        <v>581</v>
      </c>
      <c r="AAB16" s="508" t="s">
        <v>581</v>
      </c>
      <c r="AAC16" s="508" t="s">
        <v>581</v>
      </c>
      <c r="AAD16" s="508" t="s">
        <v>581</v>
      </c>
      <c r="AAE16" s="508" t="s">
        <v>581</v>
      </c>
      <c r="AAF16" s="508" t="s">
        <v>581</v>
      </c>
      <c r="AAG16" s="508" t="s">
        <v>581</v>
      </c>
      <c r="AAH16" s="508" t="s">
        <v>581</v>
      </c>
      <c r="AAI16" s="508" t="s">
        <v>581</v>
      </c>
      <c r="AAJ16" s="508" t="s">
        <v>581</v>
      </c>
      <c r="AAK16" s="508" t="s">
        <v>581</v>
      </c>
      <c r="AAL16" s="508" t="s">
        <v>581</v>
      </c>
      <c r="AAM16" s="508" t="s">
        <v>581</v>
      </c>
      <c r="AAN16" s="508" t="s">
        <v>581</v>
      </c>
      <c r="AAO16" s="508" t="s">
        <v>581</v>
      </c>
      <c r="AAP16" s="508" t="s">
        <v>581</v>
      </c>
      <c r="AAQ16" s="508" t="s">
        <v>581</v>
      </c>
      <c r="AAR16" s="508" t="s">
        <v>581</v>
      </c>
      <c r="AAS16" s="508" t="s">
        <v>581</v>
      </c>
      <c r="AAT16" s="508" t="s">
        <v>581</v>
      </c>
      <c r="AAU16" s="508" t="s">
        <v>581</v>
      </c>
      <c r="AAV16" s="508" t="s">
        <v>581</v>
      </c>
      <c r="AAW16" s="508" t="s">
        <v>581</v>
      </c>
      <c r="AAX16" s="508" t="s">
        <v>581</v>
      </c>
      <c r="AAY16" s="508" t="s">
        <v>581</v>
      </c>
      <c r="AAZ16" s="508" t="s">
        <v>581</v>
      </c>
      <c r="ABA16" s="508" t="s">
        <v>581</v>
      </c>
      <c r="ABB16" s="508" t="s">
        <v>581</v>
      </c>
      <c r="ABC16" s="508" t="s">
        <v>581</v>
      </c>
      <c r="ABD16" s="508" t="s">
        <v>581</v>
      </c>
      <c r="ABE16" s="508" t="s">
        <v>581</v>
      </c>
      <c r="ABF16" s="508" t="s">
        <v>581</v>
      </c>
      <c r="ABG16" s="508" t="s">
        <v>581</v>
      </c>
      <c r="ABH16" s="508" t="s">
        <v>581</v>
      </c>
      <c r="ABI16" s="508" t="s">
        <v>581</v>
      </c>
      <c r="ABJ16" s="508" t="s">
        <v>581</v>
      </c>
      <c r="ABK16" s="508" t="s">
        <v>581</v>
      </c>
      <c r="ABL16" s="508" t="s">
        <v>581</v>
      </c>
      <c r="ABM16" s="508" t="s">
        <v>581</v>
      </c>
      <c r="ABN16" s="508" t="s">
        <v>581</v>
      </c>
      <c r="ABO16" s="508" t="s">
        <v>581</v>
      </c>
      <c r="ABP16" s="508" t="s">
        <v>581</v>
      </c>
      <c r="ABQ16" s="508" t="s">
        <v>581</v>
      </c>
      <c r="ABR16" s="508" t="s">
        <v>581</v>
      </c>
      <c r="ABS16" s="508" t="s">
        <v>581</v>
      </c>
      <c r="ABT16" s="508" t="s">
        <v>581</v>
      </c>
      <c r="ABU16" s="508" t="s">
        <v>581</v>
      </c>
      <c r="ABV16" s="508" t="s">
        <v>581</v>
      </c>
      <c r="ABW16" s="508" t="s">
        <v>581</v>
      </c>
      <c r="ABX16" s="508" t="s">
        <v>581</v>
      </c>
      <c r="ABY16" s="508" t="s">
        <v>581</v>
      </c>
      <c r="ABZ16" s="508" t="s">
        <v>581</v>
      </c>
      <c r="ACA16" s="508" t="s">
        <v>581</v>
      </c>
      <c r="ACB16" s="508" t="s">
        <v>581</v>
      </c>
      <c r="ACC16" s="508" t="s">
        <v>581</v>
      </c>
      <c r="ACD16" s="508" t="s">
        <v>581</v>
      </c>
      <c r="ACE16" s="508" t="s">
        <v>581</v>
      </c>
      <c r="ACF16" s="508" t="s">
        <v>581</v>
      </c>
      <c r="ACG16" s="508" t="s">
        <v>581</v>
      </c>
      <c r="ACH16" s="508" t="s">
        <v>581</v>
      </c>
      <c r="ACI16" s="508" t="s">
        <v>581</v>
      </c>
      <c r="ACJ16" s="508" t="s">
        <v>581</v>
      </c>
      <c r="ACK16" s="508" t="s">
        <v>581</v>
      </c>
      <c r="ACL16" s="508" t="s">
        <v>581</v>
      </c>
      <c r="ACM16" s="508" t="s">
        <v>581</v>
      </c>
      <c r="ACN16" s="508" t="s">
        <v>581</v>
      </c>
      <c r="ACO16" s="508" t="s">
        <v>581</v>
      </c>
      <c r="ACP16" s="508" t="s">
        <v>581</v>
      </c>
      <c r="ACQ16" s="508" t="s">
        <v>581</v>
      </c>
      <c r="ACR16" s="508" t="s">
        <v>581</v>
      </c>
      <c r="ACS16" s="508" t="s">
        <v>581</v>
      </c>
      <c r="ACT16" s="508" t="s">
        <v>581</v>
      </c>
      <c r="ACU16" s="508" t="s">
        <v>581</v>
      </c>
      <c r="ACV16" s="508" t="s">
        <v>581</v>
      </c>
      <c r="ACW16" s="508" t="s">
        <v>581</v>
      </c>
      <c r="ACX16" s="508" t="s">
        <v>581</v>
      </c>
      <c r="ACY16" s="508" t="s">
        <v>581</v>
      </c>
      <c r="ACZ16" s="508" t="s">
        <v>581</v>
      </c>
      <c r="ADA16" s="508" t="s">
        <v>581</v>
      </c>
      <c r="ADB16" s="508" t="s">
        <v>581</v>
      </c>
      <c r="ADC16" s="508" t="s">
        <v>581</v>
      </c>
      <c r="ADD16" s="508" t="s">
        <v>581</v>
      </c>
      <c r="ADE16" s="508" t="s">
        <v>581</v>
      </c>
      <c r="ADF16" s="508" t="s">
        <v>581</v>
      </c>
      <c r="ADG16" s="508" t="s">
        <v>581</v>
      </c>
      <c r="ADH16" s="508" t="s">
        <v>581</v>
      </c>
      <c r="ADI16" s="508" t="s">
        <v>581</v>
      </c>
      <c r="ADJ16" s="508" t="s">
        <v>581</v>
      </c>
      <c r="ADK16" s="508" t="s">
        <v>581</v>
      </c>
      <c r="ADL16" s="508" t="s">
        <v>581</v>
      </c>
      <c r="ADM16" s="508" t="s">
        <v>581</v>
      </c>
      <c r="ADN16" s="508" t="s">
        <v>581</v>
      </c>
      <c r="ADO16" s="508" t="s">
        <v>581</v>
      </c>
      <c r="ADP16" s="508" t="s">
        <v>581</v>
      </c>
      <c r="ADQ16" s="508" t="s">
        <v>581</v>
      </c>
      <c r="ADR16" s="508" t="s">
        <v>581</v>
      </c>
      <c r="ADS16" s="508" t="s">
        <v>581</v>
      </c>
      <c r="ADT16" s="508" t="s">
        <v>581</v>
      </c>
      <c r="ADU16" s="508" t="s">
        <v>581</v>
      </c>
      <c r="ADV16" s="508" t="s">
        <v>581</v>
      </c>
      <c r="ADW16" s="508" t="s">
        <v>581</v>
      </c>
      <c r="ADX16" s="508" t="s">
        <v>581</v>
      </c>
      <c r="ADY16" s="508" t="s">
        <v>581</v>
      </c>
      <c r="ADZ16" s="508" t="s">
        <v>581</v>
      </c>
      <c r="AEA16" s="508" t="s">
        <v>581</v>
      </c>
      <c r="AEB16" s="508" t="s">
        <v>581</v>
      </c>
      <c r="AEC16" s="508" t="s">
        <v>581</v>
      </c>
      <c r="AED16" s="508" t="s">
        <v>581</v>
      </c>
      <c r="AEE16" s="508" t="s">
        <v>581</v>
      </c>
      <c r="AEF16" s="508" t="s">
        <v>581</v>
      </c>
      <c r="AEG16" s="508" t="s">
        <v>581</v>
      </c>
      <c r="AEH16" s="508" t="s">
        <v>581</v>
      </c>
      <c r="AEI16" s="508" t="s">
        <v>581</v>
      </c>
      <c r="AEJ16" s="508" t="s">
        <v>581</v>
      </c>
      <c r="AEK16" s="508" t="s">
        <v>581</v>
      </c>
      <c r="AEL16" s="508" t="s">
        <v>581</v>
      </c>
      <c r="AEM16" s="508" t="s">
        <v>581</v>
      </c>
      <c r="AEN16" s="508" t="s">
        <v>581</v>
      </c>
      <c r="AEO16" s="508" t="s">
        <v>581</v>
      </c>
      <c r="AEP16" s="508" t="s">
        <v>581</v>
      </c>
      <c r="AEQ16" s="508" t="s">
        <v>581</v>
      </c>
      <c r="AER16" s="508" t="s">
        <v>581</v>
      </c>
      <c r="AES16" s="508" t="s">
        <v>581</v>
      </c>
      <c r="AET16" s="508" t="s">
        <v>581</v>
      </c>
      <c r="AEU16" s="508" t="s">
        <v>581</v>
      </c>
      <c r="AEV16" s="508" t="s">
        <v>581</v>
      </c>
      <c r="AEW16" s="508" t="s">
        <v>581</v>
      </c>
      <c r="AEX16" s="508" t="s">
        <v>581</v>
      </c>
      <c r="AEY16" s="508" t="s">
        <v>581</v>
      </c>
      <c r="AEZ16" s="508" t="s">
        <v>581</v>
      </c>
      <c r="AFA16" s="508" t="s">
        <v>581</v>
      </c>
      <c r="AFB16" s="508" t="s">
        <v>581</v>
      </c>
      <c r="AFC16" s="508" t="s">
        <v>581</v>
      </c>
      <c r="AFD16" s="508" t="s">
        <v>581</v>
      </c>
      <c r="AFE16" s="508" t="s">
        <v>581</v>
      </c>
      <c r="AFF16" s="508" t="s">
        <v>581</v>
      </c>
      <c r="AFG16" s="508" t="s">
        <v>581</v>
      </c>
      <c r="AFH16" s="508" t="s">
        <v>581</v>
      </c>
      <c r="AFI16" s="508" t="s">
        <v>581</v>
      </c>
      <c r="AFJ16" s="508" t="s">
        <v>581</v>
      </c>
      <c r="AFK16" s="508" t="s">
        <v>581</v>
      </c>
      <c r="AFL16" s="508" t="s">
        <v>581</v>
      </c>
      <c r="AFM16" s="508" t="s">
        <v>581</v>
      </c>
      <c r="AFN16" s="508" t="s">
        <v>581</v>
      </c>
      <c r="AFO16" s="508" t="s">
        <v>581</v>
      </c>
      <c r="AFP16" s="508" t="s">
        <v>581</v>
      </c>
      <c r="AFQ16" s="508" t="s">
        <v>581</v>
      </c>
      <c r="AFR16" s="508" t="s">
        <v>581</v>
      </c>
      <c r="AFS16" s="508" t="s">
        <v>581</v>
      </c>
      <c r="AFT16" s="508" t="s">
        <v>581</v>
      </c>
      <c r="AFU16" s="508" t="s">
        <v>581</v>
      </c>
      <c r="AFV16" s="508" t="s">
        <v>581</v>
      </c>
      <c r="AFW16" s="508" t="s">
        <v>581</v>
      </c>
      <c r="AFX16" s="508" t="s">
        <v>581</v>
      </c>
      <c r="AFY16" s="508" t="s">
        <v>581</v>
      </c>
      <c r="AFZ16" s="508" t="s">
        <v>581</v>
      </c>
      <c r="AGA16" s="508" t="s">
        <v>581</v>
      </c>
      <c r="AGB16" s="508" t="s">
        <v>581</v>
      </c>
      <c r="AGC16" s="508" t="s">
        <v>581</v>
      </c>
      <c r="AGD16" s="508" t="s">
        <v>581</v>
      </c>
      <c r="AGE16" s="508" t="s">
        <v>581</v>
      </c>
      <c r="AGF16" s="508" t="s">
        <v>581</v>
      </c>
      <c r="AGG16" s="508" t="s">
        <v>581</v>
      </c>
      <c r="AGH16" s="508" t="s">
        <v>581</v>
      </c>
      <c r="AGI16" s="508" t="s">
        <v>581</v>
      </c>
      <c r="AGJ16" s="508" t="s">
        <v>581</v>
      </c>
      <c r="AGK16" s="508" t="s">
        <v>581</v>
      </c>
      <c r="AGL16" s="508" t="s">
        <v>581</v>
      </c>
      <c r="AGM16" s="508" t="s">
        <v>581</v>
      </c>
      <c r="AGN16" s="508" t="s">
        <v>581</v>
      </c>
      <c r="AGO16" s="508" t="s">
        <v>581</v>
      </c>
      <c r="AGP16" s="508" t="s">
        <v>581</v>
      </c>
      <c r="AGQ16" s="508" t="s">
        <v>581</v>
      </c>
      <c r="AGR16" s="508" t="s">
        <v>581</v>
      </c>
      <c r="AGS16" s="508" t="s">
        <v>581</v>
      </c>
      <c r="AGT16" s="508" t="s">
        <v>581</v>
      </c>
      <c r="AGU16" s="508" t="s">
        <v>581</v>
      </c>
      <c r="AGV16" s="508" t="s">
        <v>581</v>
      </c>
      <c r="AGW16" s="508" t="s">
        <v>581</v>
      </c>
      <c r="AGX16" s="508" t="s">
        <v>581</v>
      </c>
      <c r="AGY16" s="508" t="s">
        <v>581</v>
      </c>
      <c r="AGZ16" s="508" t="s">
        <v>581</v>
      </c>
      <c r="AHA16" s="508" t="s">
        <v>581</v>
      </c>
      <c r="AHB16" s="508" t="s">
        <v>581</v>
      </c>
      <c r="AHC16" s="508" t="s">
        <v>581</v>
      </c>
      <c r="AHD16" s="508" t="s">
        <v>581</v>
      </c>
      <c r="AHE16" s="508" t="s">
        <v>581</v>
      </c>
      <c r="AHF16" s="508" t="s">
        <v>581</v>
      </c>
      <c r="AHG16" s="508" t="s">
        <v>581</v>
      </c>
      <c r="AHH16" s="508" t="s">
        <v>581</v>
      </c>
      <c r="AHI16" s="508" t="s">
        <v>581</v>
      </c>
      <c r="AHJ16" s="508" t="s">
        <v>581</v>
      </c>
      <c r="AHK16" s="508" t="s">
        <v>581</v>
      </c>
      <c r="AHL16" s="508" t="s">
        <v>581</v>
      </c>
      <c r="AHM16" s="508" t="s">
        <v>581</v>
      </c>
      <c r="AHN16" s="508" t="s">
        <v>581</v>
      </c>
      <c r="AHO16" s="508" t="s">
        <v>581</v>
      </c>
      <c r="AHP16" s="508" t="s">
        <v>581</v>
      </c>
      <c r="AHQ16" s="508" t="s">
        <v>581</v>
      </c>
      <c r="AHR16" s="508" t="s">
        <v>581</v>
      </c>
      <c r="AHS16" s="508" t="s">
        <v>581</v>
      </c>
      <c r="AHT16" s="508" t="s">
        <v>581</v>
      </c>
      <c r="AHU16" s="508" t="s">
        <v>581</v>
      </c>
      <c r="AHV16" s="508" t="s">
        <v>581</v>
      </c>
      <c r="AHW16" s="508" t="s">
        <v>581</v>
      </c>
      <c r="AHX16" s="508" t="s">
        <v>581</v>
      </c>
      <c r="AHY16" s="508" t="s">
        <v>581</v>
      </c>
      <c r="AHZ16" s="508" t="s">
        <v>581</v>
      </c>
      <c r="AIA16" s="508" t="s">
        <v>581</v>
      </c>
      <c r="AIB16" s="508" t="s">
        <v>581</v>
      </c>
      <c r="AIC16" s="508" t="s">
        <v>581</v>
      </c>
      <c r="AID16" s="508" t="s">
        <v>581</v>
      </c>
      <c r="AIE16" s="508" t="s">
        <v>581</v>
      </c>
      <c r="AIF16" s="508" t="s">
        <v>581</v>
      </c>
      <c r="AIG16" s="508" t="s">
        <v>581</v>
      </c>
      <c r="AIH16" s="508" t="s">
        <v>581</v>
      </c>
      <c r="AII16" s="508" t="s">
        <v>581</v>
      </c>
      <c r="AIJ16" s="508" t="s">
        <v>581</v>
      </c>
      <c r="AIK16" s="508" t="s">
        <v>581</v>
      </c>
      <c r="AIL16" s="508" t="s">
        <v>581</v>
      </c>
      <c r="AIM16" s="508" t="s">
        <v>581</v>
      </c>
      <c r="AIN16" s="508" t="s">
        <v>581</v>
      </c>
      <c r="AIO16" s="508" t="s">
        <v>581</v>
      </c>
      <c r="AIP16" s="508" t="s">
        <v>581</v>
      </c>
      <c r="AIQ16" s="508" t="s">
        <v>581</v>
      </c>
      <c r="AIR16" s="508" t="s">
        <v>581</v>
      </c>
      <c r="AIS16" s="508" t="s">
        <v>581</v>
      </c>
      <c r="AIT16" s="508" t="s">
        <v>581</v>
      </c>
      <c r="AIU16" s="508" t="s">
        <v>581</v>
      </c>
      <c r="AIV16" s="508" t="s">
        <v>581</v>
      </c>
      <c r="AIW16" s="508" t="s">
        <v>581</v>
      </c>
      <c r="AIX16" s="508" t="s">
        <v>581</v>
      </c>
      <c r="AIY16" s="508" t="s">
        <v>581</v>
      </c>
      <c r="AIZ16" s="508" t="s">
        <v>581</v>
      </c>
      <c r="AJA16" s="508" t="s">
        <v>581</v>
      </c>
      <c r="AJB16" s="508" t="s">
        <v>581</v>
      </c>
      <c r="AJC16" s="508" t="s">
        <v>581</v>
      </c>
      <c r="AJD16" s="508" t="s">
        <v>581</v>
      </c>
      <c r="AJE16" s="508" t="s">
        <v>581</v>
      </c>
      <c r="AJF16" s="508" t="s">
        <v>581</v>
      </c>
      <c r="AJG16" s="508" t="s">
        <v>581</v>
      </c>
      <c r="AJH16" s="508" t="s">
        <v>581</v>
      </c>
      <c r="AJI16" s="508" t="s">
        <v>581</v>
      </c>
      <c r="AJJ16" s="508" t="s">
        <v>581</v>
      </c>
      <c r="AJK16" s="508" t="s">
        <v>581</v>
      </c>
      <c r="AJL16" s="508" t="s">
        <v>581</v>
      </c>
      <c r="AJM16" s="508" t="s">
        <v>581</v>
      </c>
      <c r="AJN16" s="508" t="s">
        <v>581</v>
      </c>
      <c r="AJO16" s="508" t="s">
        <v>581</v>
      </c>
      <c r="AJP16" s="508" t="s">
        <v>581</v>
      </c>
      <c r="AJQ16" s="508" t="s">
        <v>581</v>
      </c>
      <c r="AJR16" s="508" t="s">
        <v>581</v>
      </c>
      <c r="AJS16" s="508" t="s">
        <v>581</v>
      </c>
      <c r="AJT16" s="508" t="s">
        <v>581</v>
      </c>
      <c r="AJU16" s="508" t="s">
        <v>581</v>
      </c>
      <c r="AJV16" s="508" t="s">
        <v>581</v>
      </c>
      <c r="AJW16" s="508" t="s">
        <v>581</v>
      </c>
      <c r="AJX16" s="508" t="s">
        <v>581</v>
      </c>
      <c r="AJY16" s="508" t="s">
        <v>581</v>
      </c>
      <c r="AJZ16" s="508" t="s">
        <v>581</v>
      </c>
      <c r="AKA16" s="508" t="s">
        <v>581</v>
      </c>
      <c r="AKB16" s="508" t="s">
        <v>581</v>
      </c>
      <c r="AKC16" s="508" t="s">
        <v>581</v>
      </c>
      <c r="AKD16" s="508" t="s">
        <v>581</v>
      </c>
      <c r="AKE16" s="508" t="s">
        <v>581</v>
      </c>
      <c r="AKF16" s="508" t="s">
        <v>581</v>
      </c>
      <c r="AKG16" s="508" t="s">
        <v>581</v>
      </c>
      <c r="AKH16" s="508" t="s">
        <v>581</v>
      </c>
      <c r="AKI16" s="508" t="s">
        <v>581</v>
      </c>
      <c r="AKJ16" s="508" t="s">
        <v>581</v>
      </c>
      <c r="AKK16" s="508" t="s">
        <v>581</v>
      </c>
      <c r="AKL16" s="508" t="s">
        <v>581</v>
      </c>
      <c r="AKM16" s="508" t="s">
        <v>581</v>
      </c>
      <c r="AKN16" s="508" t="s">
        <v>581</v>
      </c>
      <c r="AKO16" s="508" t="s">
        <v>581</v>
      </c>
      <c r="AKP16" s="508" t="s">
        <v>581</v>
      </c>
      <c r="AKQ16" s="508" t="s">
        <v>581</v>
      </c>
      <c r="AKR16" s="508" t="s">
        <v>581</v>
      </c>
      <c r="AKS16" s="508" t="s">
        <v>581</v>
      </c>
      <c r="AKT16" s="508" t="s">
        <v>581</v>
      </c>
      <c r="AKU16" s="508" t="s">
        <v>581</v>
      </c>
      <c r="AKV16" s="508" t="s">
        <v>581</v>
      </c>
      <c r="AKW16" s="508" t="s">
        <v>581</v>
      </c>
      <c r="AKX16" s="508" t="s">
        <v>581</v>
      </c>
      <c r="AKY16" s="508" t="s">
        <v>581</v>
      </c>
      <c r="AKZ16" s="508" t="s">
        <v>581</v>
      </c>
      <c r="ALA16" s="508" t="s">
        <v>581</v>
      </c>
      <c r="ALB16" s="508" t="s">
        <v>581</v>
      </c>
      <c r="ALC16" s="508" t="s">
        <v>581</v>
      </c>
      <c r="ALD16" s="508" t="s">
        <v>581</v>
      </c>
      <c r="ALE16" s="508" t="s">
        <v>581</v>
      </c>
      <c r="ALF16" s="508" t="s">
        <v>581</v>
      </c>
      <c r="ALG16" s="508" t="s">
        <v>581</v>
      </c>
      <c r="ALH16" s="508" t="s">
        <v>581</v>
      </c>
      <c r="ALI16" s="508" t="s">
        <v>581</v>
      </c>
      <c r="ALJ16" s="508" t="s">
        <v>581</v>
      </c>
      <c r="ALK16" s="508" t="s">
        <v>581</v>
      </c>
      <c r="ALL16" s="508" t="s">
        <v>581</v>
      </c>
      <c r="ALM16" s="508" t="s">
        <v>581</v>
      </c>
      <c r="ALN16" s="508" t="s">
        <v>581</v>
      </c>
      <c r="ALO16" s="508" t="s">
        <v>581</v>
      </c>
      <c r="ALP16" s="508" t="s">
        <v>581</v>
      </c>
      <c r="ALQ16" s="508" t="s">
        <v>581</v>
      </c>
      <c r="ALR16" s="508" t="s">
        <v>581</v>
      </c>
      <c r="ALS16" s="508" t="s">
        <v>581</v>
      </c>
      <c r="ALT16" s="508" t="s">
        <v>581</v>
      </c>
      <c r="ALU16" s="508" t="s">
        <v>581</v>
      </c>
      <c r="ALV16" s="508" t="s">
        <v>581</v>
      </c>
      <c r="ALW16" s="508" t="s">
        <v>581</v>
      </c>
      <c r="ALX16" s="508" t="s">
        <v>581</v>
      </c>
      <c r="ALY16" s="508" t="s">
        <v>581</v>
      </c>
      <c r="ALZ16" s="508" t="s">
        <v>581</v>
      </c>
      <c r="AMA16" s="508" t="s">
        <v>581</v>
      </c>
      <c r="AMB16" s="508" t="s">
        <v>581</v>
      </c>
      <c r="AMC16" s="508" t="s">
        <v>581</v>
      </c>
      <c r="AMD16" s="508" t="s">
        <v>581</v>
      </c>
      <c r="AME16" s="508" t="s">
        <v>581</v>
      </c>
      <c r="AMF16" s="508" t="s">
        <v>581</v>
      </c>
      <c r="AMG16" s="508" t="s">
        <v>581</v>
      </c>
      <c r="AMH16" s="508" t="s">
        <v>581</v>
      </c>
      <c r="AMI16" s="508" t="s">
        <v>581</v>
      </c>
      <c r="AMJ16" s="508" t="s">
        <v>581</v>
      </c>
      <c r="AMK16" s="508" t="s">
        <v>581</v>
      </c>
      <c r="AML16" s="508" t="s">
        <v>581</v>
      </c>
      <c r="AMM16" s="508" t="s">
        <v>581</v>
      </c>
      <c r="AMN16" s="508" t="s">
        <v>581</v>
      </c>
      <c r="AMO16" s="508" t="s">
        <v>581</v>
      </c>
      <c r="AMP16" s="508" t="s">
        <v>581</v>
      </c>
      <c r="AMQ16" s="508" t="s">
        <v>581</v>
      </c>
      <c r="AMR16" s="508" t="s">
        <v>581</v>
      </c>
      <c r="AMS16" s="508" t="s">
        <v>581</v>
      </c>
      <c r="AMT16" s="508" t="s">
        <v>581</v>
      </c>
      <c r="AMU16" s="508" t="s">
        <v>581</v>
      </c>
      <c r="AMV16" s="508" t="s">
        <v>581</v>
      </c>
      <c r="AMW16" s="508" t="s">
        <v>581</v>
      </c>
      <c r="AMX16" s="508" t="s">
        <v>581</v>
      </c>
      <c r="AMY16" s="508" t="s">
        <v>581</v>
      </c>
      <c r="AMZ16" s="508" t="s">
        <v>581</v>
      </c>
      <c r="ANA16" s="508" t="s">
        <v>581</v>
      </c>
      <c r="ANB16" s="508" t="s">
        <v>581</v>
      </c>
      <c r="ANC16" s="508" t="s">
        <v>581</v>
      </c>
      <c r="AND16" s="508" t="s">
        <v>581</v>
      </c>
      <c r="ANE16" s="508" t="s">
        <v>581</v>
      </c>
      <c r="ANF16" s="508" t="s">
        <v>581</v>
      </c>
      <c r="ANG16" s="508" t="s">
        <v>581</v>
      </c>
      <c r="ANH16" s="508" t="s">
        <v>581</v>
      </c>
      <c r="ANI16" s="508" t="s">
        <v>581</v>
      </c>
      <c r="ANJ16" s="508" t="s">
        <v>581</v>
      </c>
      <c r="ANK16" s="508" t="s">
        <v>581</v>
      </c>
      <c r="ANL16" s="508" t="s">
        <v>581</v>
      </c>
      <c r="ANM16" s="508" t="s">
        <v>581</v>
      </c>
      <c r="ANN16" s="508" t="s">
        <v>581</v>
      </c>
      <c r="ANO16" s="508" t="s">
        <v>581</v>
      </c>
      <c r="ANP16" s="508" t="s">
        <v>581</v>
      </c>
      <c r="ANQ16" s="508" t="s">
        <v>581</v>
      </c>
      <c r="ANR16" s="508" t="s">
        <v>581</v>
      </c>
      <c r="ANS16" s="508" t="s">
        <v>581</v>
      </c>
      <c r="ANT16" s="508" t="s">
        <v>581</v>
      </c>
      <c r="ANU16" s="508" t="s">
        <v>581</v>
      </c>
      <c r="ANV16" s="508" t="s">
        <v>581</v>
      </c>
      <c r="ANW16" s="508" t="s">
        <v>581</v>
      </c>
      <c r="ANX16" s="508" t="s">
        <v>581</v>
      </c>
      <c r="ANY16" s="508" t="s">
        <v>581</v>
      </c>
      <c r="ANZ16" s="508" t="s">
        <v>581</v>
      </c>
      <c r="AOA16" s="508" t="s">
        <v>581</v>
      </c>
      <c r="AOB16" s="508" t="s">
        <v>581</v>
      </c>
      <c r="AOC16" s="508" t="s">
        <v>581</v>
      </c>
      <c r="AOD16" s="508" t="s">
        <v>581</v>
      </c>
      <c r="AOE16" s="508" t="s">
        <v>581</v>
      </c>
      <c r="AOF16" s="508" t="s">
        <v>581</v>
      </c>
      <c r="AOG16" s="508" t="s">
        <v>581</v>
      </c>
      <c r="AOH16" s="508" t="s">
        <v>581</v>
      </c>
      <c r="AOI16" s="508" t="s">
        <v>581</v>
      </c>
      <c r="AOJ16" s="508" t="s">
        <v>581</v>
      </c>
      <c r="AOK16" s="508" t="s">
        <v>581</v>
      </c>
      <c r="AOL16" s="508" t="s">
        <v>581</v>
      </c>
      <c r="AOM16" s="508" t="s">
        <v>581</v>
      </c>
      <c r="AON16" s="508" t="s">
        <v>581</v>
      </c>
      <c r="AOO16" s="508" t="s">
        <v>581</v>
      </c>
      <c r="AOP16" s="508" t="s">
        <v>581</v>
      </c>
      <c r="AOQ16" s="508" t="s">
        <v>581</v>
      </c>
      <c r="AOR16" s="508" t="s">
        <v>581</v>
      </c>
      <c r="AOS16" s="508" t="s">
        <v>581</v>
      </c>
      <c r="AOT16" s="508" t="s">
        <v>581</v>
      </c>
      <c r="AOU16" s="508" t="s">
        <v>581</v>
      </c>
      <c r="AOV16" s="508" t="s">
        <v>581</v>
      </c>
      <c r="AOW16" s="508" t="s">
        <v>581</v>
      </c>
      <c r="AOX16" s="508" t="s">
        <v>581</v>
      </c>
      <c r="AOY16" s="508" t="s">
        <v>581</v>
      </c>
      <c r="AOZ16" s="508" t="s">
        <v>581</v>
      </c>
      <c r="APA16" s="508" t="s">
        <v>581</v>
      </c>
      <c r="APB16" s="508" t="s">
        <v>581</v>
      </c>
      <c r="APC16" s="508" t="s">
        <v>581</v>
      </c>
      <c r="APD16" s="508" t="s">
        <v>581</v>
      </c>
      <c r="APE16" s="508" t="s">
        <v>581</v>
      </c>
      <c r="APF16" s="508" t="s">
        <v>581</v>
      </c>
      <c r="APG16" s="508" t="s">
        <v>581</v>
      </c>
      <c r="APH16" s="508" t="s">
        <v>581</v>
      </c>
      <c r="API16" s="508" t="s">
        <v>581</v>
      </c>
      <c r="APJ16" s="508" t="s">
        <v>581</v>
      </c>
      <c r="APK16" s="508" t="s">
        <v>581</v>
      </c>
      <c r="APL16" s="508" t="s">
        <v>581</v>
      </c>
      <c r="APM16" s="508" t="s">
        <v>581</v>
      </c>
      <c r="APN16" s="508" t="s">
        <v>581</v>
      </c>
      <c r="APO16" s="508" t="s">
        <v>581</v>
      </c>
      <c r="APP16" s="508" t="s">
        <v>581</v>
      </c>
      <c r="APQ16" s="508" t="s">
        <v>581</v>
      </c>
      <c r="APR16" s="508" t="s">
        <v>581</v>
      </c>
      <c r="APS16" s="508" t="s">
        <v>581</v>
      </c>
      <c r="APT16" s="508" t="s">
        <v>581</v>
      </c>
      <c r="APU16" s="508" t="s">
        <v>581</v>
      </c>
      <c r="APV16" s="508" t="s">
        <v>581</v>
      </c>
      <c r="APW16" s="508" t="s">
        <v>581</v>
      </c>
      <c r="APX16" s="508" t="s">
        <v>581</v>
      </c>
      <c r="APY16" s="508" t="s">
        <v>581</v>
      </c>
      <c r="APZ16" s="508" t="s">
        <v>581</v>
      </c>
      <c r="AQA16" s="508" t="s">
        <v>581</v>
      </c>
      <c r="AQB16" s="508" t="s">
        <v>581</v>
      </c>
      <c r="AQC16" s="508" t="s">
        <v>581</v>
      </c>
      <c r="AQD16" s="508" t="s">
        <v>581</v>
      </c>
      <c r="AQE16" s="508" t="s">
        <v>581</v>
      </c>
      <c r="AQF16" s="508" t="s">
        <v>581</v>
      </c>
      <c r="AQG16" s="508" t="s">
        <v>581</v>
      </c>
      <c r="AQH16" s="508" t="s">
        <v>581</v>
      </c>
      <c r="AQI16" s="508" t="s">
        <v>581</v>
      </c>
      <c r="AQJ16" s="508" t="s">
        <v>581</v>
      </c>
      <c r="AQK16" s="508" t="s">
        <v>581</v>
      </c>
      <c r="AQL16" s="508" t="s">
        <v>581</v>
      </c>
      <c r="AQM16" s="508" t="s">
        <v>581</v>
      </c>
      <c r="AQN16" s="508" t="s">
        <v>581</v>
      </c>
      <c r="AQO16" s="508" t="s">
        <v>581</v>
      </c>
      <c r="AQP16" s="508" t="s">
        <v>581</v>
      </c>
      <c r="AQQ16" s="508" t="s">
        <v>581</v>
      </c>
      <c r="AQR16" s="508" t="s">
        <v>581</v>
      </c>
      <c r="AQS16" s="508" t="s">
        <v>581</v>
      </c>
      <c r="AQT16" s="508" t="s">
        <v>581</v>
      </c>
      <c r="AQU16" s="508" t="s">
        <v>581</v>
      </c>
      <c r="AQV16" s="508" t="s">
        <v>581</v>
      </c>
      <c r="AQW16" s="508" t="s">
        <v>581</v>
      </c>
      <c r="AQX16" s="508" t="s">
        <v>581</v>
      </c>
      <c r="AQY16" s="508" t="s">
        <v>581</v>
      </c>
      <c r="AQZ16" s="508" t="s">
        <v>581</v>
      </c>
      <c r="ARA16" s="508" t="s">
        <v>581</v>
      </c>
      <c r="ARB16" s="508" t="s">
        <v>581</v>
      </c>
      <c r="ARC16" s="508" t="s">
        <v>581</v>
      </c>
      <c r="ARD16" s="508" t="s">
        <v>581</v>
      </c>
      <c r="ARE16" s="508" t="s">
        <v>581</v>
      </c>
      <c r="ARF16" s="508" t="s">
        <v>581</v>
      </c>
      <c r="ARG16" s="508" t="s">
        <v>581</v>
      </c>
      <c r="ARH16" s="508" t="s">
        <v>581</v>
      </c>
      <c r="ARI16" s="508" t="s">
        <v>581</v>
      </c>
      <c r="ARJ16" s="508" t="s">
        <v>581</v>
      </c>
      <c r="ARK16" s="508" t="s">
        <v>581</v>
      </c>
      <c r="ARL16" s="508" t="s">
        <v>581</v>
      </c>
      <c r="ARM16" s="508" t="s">
        <v>581</v>
      </c>
      <c r="ARN16" s="508" t="s">
        <v>581</v>
      </c>
      <c r="ARO16" s="508" t="s">
        <v>581</v>
      </c>
      <c r="ARP16" s="508" t="s">
        <v>581</v>
      </c>
      <c r="ARQ16" s="508" t="s">
        <v>581</v>
      </c>
      <c r="ARR16" s="508" t="s">
        <v>581</v>
      </c>
      <c r="ARS16" s="508" t="s">
        <v>581</v>
      </c>
      <c r="ART16" s="508" t="s">
        <v>581</v>
      </c>
      <c r="ARU16" s="508" t="s">
        <v>581</v>
      </c>
      <c r="ARV16" s="508" t="s">
        <v>581</v>
      </c>
      <c r="ARW16" s="508" t="s">
        <v>581</v>
      </c>
      <c r="ARX16" s="508" t="s">
        <v>581</v>
      </c>
      <c r="ARY16" s="508" t="s">
        <v>581</v>
      </c>
      <c r="ARZ16" s="508" t="s">
        <v>581</v>
      </c>
      <c r="ASA16" s="508" t="s">
        <v>581</v>
      </c>
      <c r="ASB16" s="508" t="s">
        <v>581</v>
      </c>
      <c r="ASC16" s="508" t="s">
        <v>581</v>
      </c>
      <c r="ASD16" s="508" t="s">
        <v>581</v>
      </c>
      <c r="ASE16" s="508" t="s">
        <v>581</v>
      </c>
      <c r="ASF16" s="508" t="s">
        <v>581</v>
      </c>
      <c r="ASG16" s="508" t="s">
        <v>581</v>
      </c>
      <c r="ASH16" s="508" t="s">
        <v>581</v>
      </c>
      <c r="ASI16" s="508" t="s">
        <v>581</v>
      </c>
      <c r="ASJ16" s="508" t="s">
        <v>581</v>
      </c>
      <c r="ASK16" s="508" t="s">
        <v>581</v>
      </c>
      <c r="ASL16" s="508" t="s">
        <v>581</v>
      </c>
      <c r="ASM16" s="508" t="s">
        <v>581</v>
      </c>
      <c r="ASN16" s="508" t="s">
        <v>581</v>
      </c>
      <c r="ASO16" s="508" t="s">
        <v>581</v>
      </c>
      <c r="ASP16" s="508" t="s">
        <v>581</v>
      </c>
      <c r="ASQ16" s="508" t="s">
        <v>581</v>
      </c>
      <c r="ASR16" s="508" t="s">
        <v>581</v>
      </c>
      <c r="ASS16" s="508" t="s">
        <v>581</v>
      </c>
      <c r="AST16" s="508" t="s">
        <v>581</v>
      </c>
      <c r="ASU16" s="508" t="s">
        <v>581</v>
      </c>
      <c r="ASV16" s="508" t="s">
        <v>581</v>
      </c>
      <c r="ASW16" s="508" t="s">
        <v>581</v>
      </c>
      <c r="ASX16" s="508" t="s">
        <v>581</v>
      </c>
      <c r="ASY16" s="508" t="s">
        <v>581</v>
      </c>
      <c r="ASZ16" s="508" t="s">
        <v>581</v>
      </c>
      <c r="ATA16" s="508" t="s">
        <v>581</v>
      </c>
      <c r="ATB16" s="508" t="s">
        <v>581</v>
      </c>
      <c r="ATC16" s="508" t="s">
        <v>581</v>
      </c>
      <c r="ATD16" s="508" t="s">
        <v>581</v>
      </c>
      <c r="ATE16" s="508" t="s">
        <v>581</v>
      </c>
      <c r="ATF16" s="508" t="s">
        <v>581</v>
      </c>
      <c r="ATG16" s="508" t="s">
        <v>581</v>
      </c>
      <c r="ATH16" s="508" t="s">
        <v>581</v>
      </c>
      <c r="ATI16" s="508" t="s">
        <v>581</v>
      </c>
      <c r="ATJ16" s="508" t="s">
        <v>581</v>
      </c>
      <c r="ATK16" s="508" t="s">
        <v>581</v>
      </c>
      <c r="ATL16" s="508" t="s">
        <v>581</v>
      </c>
      <c r="ATM16" s="508" t="s">
        <v>581</v>
      </c>
      <c r="ATN16" s="508" t="s">
        <v>581</v>
      </c>
      <c r="ATO16" s="508" t="s">
        <v>581</v>
      </c>
      <c r="ATP16" s="508" t="s">
        <v>581</v>
      </c>
      <c r="ATQ16" s="508" t="s">
        <v>581</v>
      </c>
      <c r="ATR16" s="508" t="s">
        <v>581</v>
      </c>
      <c r="ATS16" s="508" t="s">
        <v>581</v>
      </c>
      <c r="ATT16" s="508" t="s">
        <v>581</v>
      </c>
      <c r="ATU16" s="508" t="s">
        <v>581</v>
      </c>
      <c r="ATV16" s="508" t="s">
        <v>581</v>
      </c>
      <c r="ATW16" s="508" t="s">
        <v>581</v>
      </c>
      <c r="ATX16" s="508" t="s">
        <v>581</v>
      </c>
      <c r="ATY16" s="508" t="s">
        <v>581</v>
      </c>
      <c r="ATZ16" s="508" t="s">
        <v>581</v>
      </c>
      <c r="AUA16" s="508" t="s">
        <v>581</v>
      </c>
      <c r="AUB16" s="508" t="s">
        <v>581</v>
      </c>
      <c r="AUC16" s="508" t="s">
        <v>581</v>
      </c>
      <c r="AUD16" s="508" t="s">
        <v>581</v>
      </c>
      <c r="AUE16" s="508" t="s">
        <v>581</v>
      </c>
      <c r="AUF16" s="508" t="s">
        <v>581</v>
      </c>
      <c r="AUG16" s="508" t="s">
        <v>581</v>
      </c>
      <c r="AUH16" s="508" t="s">
        <v>581</v>
      </c>
      <c r="AUI16" s="508" t="s">
        <v>581</v>
      </c>
      <c r="AUJ16" s="508" t="s">
        <v>581</v>
      </c>
      <c r="AUK16" s="508" t="s">
        <v>581</v>
      </c>
      <c r="AUL16" s="508" t="s">
        <v>581</v>
      </c>
      <c r="AUM16" s="508" t="s">
        <v>581</v>
      </c>
      <c r="AUN16" s="508" t="s">
        <v>581</v>
      </c>
      <c r="AUO16" s="508" t="s">
        <v>581</v>
      </c>
      <c r="AUP16" s="508" t="s">
        <v>581</v>
      </c>
      <c r="AUQ16" s="508" t="s">
        <v>581</v>
      </c>
      <c r="AUR16" s="508" t="s">
        <v>581</v>
      </c>
      <c r="AUS16" s="508" t="s">
        <v>581</v>
      </c>
      <c r="AUT16" s="508" t="s">
        <v>581</v>
      </c>
      <c r="AUU16" s="508" t="s">
        <v>581</v>
      </c>
      <c r="AUV16" s="508" t="s">
        <v>581</v>
      </c>
      <c r="AUW16" s="508" t="s">
        <v>581</v>
      </c>
      <c r="AUX16" s="508" t="s">
        <v>581</v>
      </c>
      <c r="AUY16" s="508" t="s">
        <v>581</v>
      </c>
      <c r="AUZ16" s="508" t="s">
        <v>581</v>
      </c>
      <c r="AVA16" s="508" t="s">
        <v>581</v>
      </c>
      <c r="AVB16" s="508" t="s">
        <v>581</v>
      </c>
      <c r="AVC16" s="508" t="s">
        <v>581</v>
      </c>
      <c r="AVD16" s="508" t="s">
        <v>581</v>
      </c>
      <c r="AVE16" s="508" t="s">
        <v>581</v>
      </c>
      <c r="AVF16" s="508" t="s">
        <v>581</v>
      </c>
      <c r="AVG16" s="508" t="s">
        <v>581</v>
      </c>
      <c r="AVH16" s="508" t="s">
        <v>581</v>
      </c>
      <c r="AVI16" s="508" t="s">
        <v>581</v>
      </c>
      <c r="AVJ16" s="508" t="s">
        <v>581</v>
      </c>
      <c r="AVK16" s="508" t="s">
        <v>581</v>
      </c>
      <c r="AVL16" s="508" t="s">
        <v>581</v>
      </c>
      <c r="AVM16" s="508" t="s">
        <v>581</v>
      </c>
      <c r="AVN16" s="508" t="s">
        <v>581</v>
      </c>
      <c r="AVO16" s="508" t="s">
        <v>581</v>
      </c>
      <c r="AVP16" s="508" t="s">
        <v>581</v>
      </c>
      <c r="AVQ16" s="508" t="s">
        <v>581</v>
      </c>
      <c r="AVR16" s="508" t="s">
        <v>581</v>
      </c>
      <c r="AVS16" s="508" t="s">
        <v>581</v>
      </c>
      <c r="AVT16" s="508" t="s">
        <v>581</v>
      </c>
      <c r="AVU16" s="508" t="s">
        <v>581</v>
      </c>
      <c r="AVV16" s="508" t="s">
        <v>581</v>
      </c>
      <c r="AVW16" s="508" t="s">
        <v>581</v>
      </c>
      <c r="AVX16" s="508" t="s">
        <v>581</v>
      </c>
      <c r="AVY16" s="508" t="s">
        <v>581</v>
      </c>
      <c r="AVZ16" s="508" t="s">
        <v>581</v>
      </c>
      <c r="AWA16" s="508" t="s">
        <v>581</v>
      </c>
      <c r="AWB16" s="508" t="s">
        <v>581</v>
      </c>
      <c r="AWC16" s="508" t="s">
        <v>581</v>
      </c>
      <c r="AWD16" s="508" t="s">
        <v>581</v>
      </c>
      <c r="AWE16" s="508" t="s">
        <v>581</v>
      </c>
      <c r="AWF16" s="508" t="s">
        <v>581</v>
      </c>
      <c r="AWG16" s="508" t="s">
        <v>581</v>
      </c>
      <c r="AWH16" s="508" t="s">
        <v>581</v>
      </c>
      <c r="AWI16" s="508" t="s">
        <v>581</v>
      </c>
      <c r="AWJ16" s="508" t="s">
        <v>581</v>
      </c>
      <c r="AWK16" s="508" t="s">
        <v>581</v>
      </c>
      <c r="AWL16" s="508" t="s">
        <v>581</v>
      </c>
      <c r="AWM16" s="508" t="s">
        <v>581</v>
      </c>
      <c r="AWN16" s="508" t="s">
        <v>581</v>
      </c>
      <c r="AWO16" s="508" t="s">
        <v>581</v>
      </c>
      <c r="AWP16" s="508" t="s">
        <v>581</v>
      </c>
      <c r="AWQ16" s="508" t="s">
        <v>581</v>
      </c>
      <c r="AWR16" s="508" t="s">
        <v>581</v>
      </c>
      <c r="AWS16" s="508" t="s">
        <v>581</v>
      </c>
      <c r="AWT16" s="508" t="s">
        <v>581</v>
      </c>
      <c r="AWU16" s="508" t="s">
        <v>581</v>
      </c>
      <c r="AWV16" s="508" t="s">
        <v>581</v>
      </c>
      <c r="AWW16" s="508" t="s">
        <v>581</v>
      </c>
      <c r="AWX16" s="508" t="s">
        <v>581</v>
      </c>
      <c r="AWY16" s="508" t="s">
        <v>581</v>
      </c>
      <c r="AWZ16" s="508" t="s">
        <v>581</v>
      </c>
      <c r="AXA16" s="508" t="s">
        <v>581</v>
      </c>
      <c r="AXB16" s="508" t="s">
        <v>581</v>
      </c>
      <c r="AXC16" s="508" t="s">
        <v>581</v>
      </c>
      <c r="AXD16" s="508" t="s">
        <v>581</v>
      </c>
      <c r="AXE16" s="508" t="s">
        <v>581</v>
      </c>
      <c r="AXF16" s="508" t="s">
        <v>581</v>
      </c>
      <c r="AXG16" s="508" t="s">
        <v>581</v>
      </c>
      <c r="AXH16" s="508" t="s">
        <v>581</v>
      </c>
      <c r="AXI16" s="508" t="s">
        <v>581</v>
      </c>
      <c r="AXJ16" s="508" t="s">
        <v>581</v>
      </c>
      <c r="AXK16" s="508" t="s">
        <v>581</v>
      </c>
      <c r="AXL16" s="508" t="s">
        <v>581</v>
      </c>
      <c r="AXM16" s="508" t="s">
        <v>581</v>
      </c>
      <c r="AXN16" s="508" t="s">
        <v>581</v>
      </c>
      <c r="AXO16" s="508" t="s">
        <v>581</v>
      </c>
      <c r="AXP16" s="508" t="s">
        <v>581</v>
      </c>
      <c r="AXQ16" s="508" t="s">
        <v>581</v>
      </c>
      <c r="AXR16" s="508" t="s">
        <v>581</v>
      </c>
      <c r="AXS16" s="508" t="s">
        <v>581</v>
      </c>
      <c r="AXT16" s="508" t="s">
        <v>581</v>
      </c>
      <c r="AXU16" s="508" t="s">
        <v>581</v>
      </c>
      <c r="AXV16" s="508" t="s">
        <v>581</v>
      </c>
      <c r="AXW16" s="508" t="s">
        <v>581</v>
      </c>
      <c r="AXX16" s="508" t="s">
        <v>581</v>
      </c>
      <c r="AXY16" s="508" t="s">
        <v>581</v>
      </c>
      <c r="AXZ16" s="508" t="s">
        <v>581</v>
      </c>
      <c r="AYA16" s="508" t="s">
        <v>581</v>
      </c>
      <c r="AYB16" s="508" t="s">
        <v>581</v>
      </c>
      <c r="AYC16" s="508" t="s">
        <v>581</v>
      </c>
      <c r="AYD16" s="508" t="s">
        <v>581</v>
      </c>
      <c r="AYE16" s="508" t="s">
        <v>581</v>
      </c>
      <c r="AYF16" s="508" t="s">
        <v>581</v>
      </c>
      <c r="AYG16" s="508" t="s">
        <v>581</v>
      </c>
      <c r="AYH16" s="508" t="s">
        <v>581</v>
      </c>
      <c r="AYI16" s="508" t="s">
        <v>581</v>
      </c>
      <c r="AYJ16" s="508" t="s">
        <v>581</v>
      </c>
      <c r="AYK16" s="508" t="s">
        <v>581</v>
      </c>
      <c r="AYL16" s="508" t="s">
        <v>581</v>
      </c>
      <c r="AYM16" s="508" t="s">
        <v>581</v>
      </c>
      <c r="AYN16" s="508" t="s">
        <v>581</v>
      </c>
      <c r="AYO16" s="508" t="s">
        <v>581</v>
      </c>
      <c r="AYP16" s="508" t="s">
        <v>581</v>
      </c>
      <c r="AYQ16" s="508" t="s">
        <v>581</v>
      </c>
      <c r="AYR16" s="508" t="s">
        <v>581</v>
      </c>
      <c r="AYS16" s="508" t="s">
        <v>581</v>
      </c>
      <c r="AYT16" s="508" t="s">
        <v>581</v>
      </c>
      <c r="AYU16" s="508" t="s">
        <v>581</v>
      </c>
      <c r="AYV16" s="508" t="s">
        <v>581</v>
      </c>
      <c r="AYW16" s="508" t="s">
        <v>581</v>
      </c>
      <c r="AYX16" s="508" t="s">
        <v>581</v>
      </c>
      <c r="AYY16" s="508" t="s">
        <v>581</v>
      </c>
      <c r="AYZ16" s="508" t="s">
        <v>581</v>
      </c>
      <c r="AZA16" s="508" t="s">
        <v>581</v>
      </c>
      <c r="AZB16" s="508" t="s">
        <v>581</v>
      </c>
      <c r="AZC16" s="508" t="s">
        <v>581</v>
      </c>
      <c r="AZD16" s="508" t="s">
        <v>581</v>
      </c>
      <c r="AZE16" s="508" t="s">
        <v>581</v>
      </c>
      <c r="AZF16" s="508" t="s">
        <v>581</v>
      </c>
      <c r="AZG16" s="508" t="s">
        <v>581</v>
      </c>
      <c r="AZH16" s="508" t="s">
        <v>581</v>
      </c>
      <c r="AZI16" s="508" t="s">
        <v>581</v>
      </c>
      <c r="AZJ16" s="508" t="s">
        <v>581</v>
      </c>
      <c r="AZK16" s="508" t="s">
        <v>581</v>
      </c>
      <c r="AZL16" s="508" t="s">
        <v>581</v>
      </c>
      <c r="AZM16" s="508" t="s">
        <v>581</v>
      </c>
      <c r="AZN16" s="508" t="s">
        <v>581</v>
      </c>
      <c r="AZO16" s="508" t="s">
        <v>581</v>
      </c>
      <c r="AZP16" s="508" t="s">
        <v>581</v>
      </c>
      <c r="AZQ16" s="508" t="s">
        <v>581</v>
      </c>
      <c r="AZR16" s="508" t="s">
        <v>581</v>
      </c>
      <c r="AZS16" s="508" t="s">
        <v>581</v>
      </c>
      <c r="AZT16" s="508" t="s">
        <v>581</v>
      </c>
      <c r="AZU16" s="508" t="s">
        <v>581</v>
      </c>
      <c r="AZV16" s="508" t="s">
        <v>581</v>
      </c>
      <c r="AZW16" s="508" t="s">
        <v>581</v>
      </c>
      <c r="AZX16" s="508" t="s">
        <v>581</v>
      </c>
      <c r="AZY16" s="508" t="s">
        <v>581</v>
      </c>
      <c r="AZZ16" s="508" t="s">
        <v>581</v>
      </c>
      <c r="BAA16" s="508" t="s">
        <v>581</v>
      </c>
      <c r="BAB16" s="508" t="s">
        <v>581</v>
      </c>
      <c r="BAC16" s="508" t="s">
        <v>581</v>
      </c>
      <c r="BAD16" s="508" t="s">
        <v>581</v>
      </c>
      <c r="BAE16" s="508" t="s">
        <v>581</v>
      </c>
      <c r="BAF16" s="508" t="s">
        <v>581</v>
      </c>
      <c r="BAG16" s="508" t="s">
        <v>581</v>
      </c>
      <c r="BAH16" s="508" t="s">
        <v>581</v>
      </c>
      <c r="BAI16" s="508" t="s">
        <v>581</v>
      </c>
      <c r="BAJ16" s="508" t="s">
        <v>581</v>
      </c>
      <c r="BAK16" s="508" t="s">
        <v>581</v>
      </c>
      <c r="BAL16" s="508" t="s">
        <v>581</v>
      </c>
      <c r="BAM16" s="508" t="s">
        <v>581</v>
      </c>
      <c r="BAN16" s="508" t="s">
        <v>581</v>
      </c>
      <c r="BAO16" s="508" t="s">
        <v>581</v>
      </c>
      <c r="BAP16" s="508" t="s">
        <v>581</v>
      </c>
      <c r="BAQ16" s="508" t="s">
        <v>581</v>
      </c>
      <c r="BAR16" s="508" t="s">
        <v>581</v>
      </c>
      <c r="BAS16" s="508" t="s">
        <v>581</v>
      </c>
      <c r="BAT16" s="508" t="s">
        <v>581</v>
      </c>
      <c r="BAU16" s="508" t="s">
        <v>581</v>
      </c>
      <c r="BAV16" s="508" t="s">
        <v>581</v>
      </c>
      <c r="BAW16" s="508" t="s">
        <v>581</v>
      </c>
      <c r="BAX16" s="508" t="s">
        <v>581</v>
      </c>
      <c r="BAY16" s="508" t="s">
        <v>581</v>
      </c>
      <c r="BAZ16" s="508" t="s">
        <v>581</v>
      </c>
      <c r="BBA16" s="508" t="s">
        <v>581</v>
      </c>
      <c r="BBB16" s="508" t="s">
        <v>581</v>
      </c>
      <c r="BBC16" s="508" t="s">
        <v>581</v>
      </c>
      <c r="BBD16" s="508" t="s">
        <v>581</v>
      </c>
      <c r="BBE16" s="508" t="s">
        <v>581</v>
      </c>
      <c r="BBF16" s="508" t="s">
        <v>581</v>
      </c>
      <c r="BBG16" s="508" t="s">
        <v>581</v>
      </c>
      <c r="BBH16" s="508" t="s">
        <v>581</v>
      </c>
      <c r="BBI16" s="508" t="s">
        <v>581</v>
      </c>
      <c r="BBJ16" s="508" t="s">
        <v>581</v>
      </c>
      <c r="BBK16" s="508" t="s">
        <v>581</v>
      </c>
      <c r="BBL16" s="508" t="s">
        <v>581</v>
      </c>
      <c r="BBM16" s="508" t="s">
        <v>581</v>
      </c>
      <c r="BBN16" s="508" t="s">
        <v>581</v>
      </c>
      <c r="BBO16" s="508" t="s">
        <v>581</v>
      </c>
      <c r="BBP16" s="508" t="s">
        <v>581</v>
      </c>
      <c r="BBQ16" s="508" t="s">
        <v>581</v>
      </c>
      <c r="BBR16" s="508" t="s">
        <v>581</v>
      </c>
      <c r="BBS16" s="508" t="s">
        <v>581</v>
      </c>
      <c r="BBT16" s="508" t="s">
        <v>581</v>
      </c>
      <c r="BBU16" s="508" t="s">
        <v>581</v>
      </c>
      <c r="BBV16" s="508" t="s">
        <v>581</v>
      </c>
      <c r="BBW16" s="508" t="s">
        <v>581</v>
      </c>
      <c r="BBX16" s="508" t="s">
        <v>581</v>
      </c>
      <c r="BBY16" s="508" t="s">
        <v>581</v>
      </c>
      <c r="BBZ16" s="508" t="s">
        <v>581</v>
      </c>
      <c r="BCA16" s="508" t="s">
        <v>581</v>
      </c>
      <c r="BCB16" s="508" t="s">
        <v>581</v>
      </c>
      <c r="BCC16" s="508" t="s">
        <v>581</v>
      </c>
      <c r="BCD16" s="508" t="s">
        <v>581</v>
      </c>
      <c r="BCE16" s="508" t="s">
        <v>581</v>
      </c>
      <c r="BCF16" s="508" t="s">
        <v>581</v>
      </c>
      <c r="BCG16" s="508" t="s">
        <v>581</v>
      </c>
      <c r="BCH16" s="508" t="s">
        <v>581</v>
      </c>
      <c r="BCI16" s="508" t="s">
        <v>581</v>
      </c>
      <c r="BCJ16" s="508" t="s">
        <v>581</v>
      </c>
      <c r="BCK16" s="508" t="s">
        <v>581</v>
      </c>
      <c r="BCL16" s="508" t="s">
        <v>581</v>
      </c>
      <c r="BCM16" s="508" t="s">
        <v>581</v>
      </c>
      <c r="BCN16" s="508" t="s">
        <v>581</v>
      </c>
      <c r="BCO16" s="508" t="s">
        <v>581</v>
      </c>
      <c r="BCP16" s="508" t="s">
        <v>581</v>
      </c>
      <c r="BCQ16" s="508" t="s">
        <v>581</v>
      </c>
      <c r="BCR16" s="508" t="s">
        <v>581</v>
      </c>
      <c r="BCS16" s="508" t="s">
        <v>581</v>
      </c>
      <c r="BCT16" s="508" t="s">
        <v>581</v>
      </c>
      <c r="BCU16" s="508" t="s">
        <v>581</v>
      </c>
      <c r="BCV16" s="508" t="s">
        <v>581</v>
      </c>
      <c r="BCW16" s="508" t="s">
        <v>581</v>
      </c>
      <c r="BCX16" s="508" t="s">
        <v>581</v>
      </c>
      <c r="BCY16" s="508" t="s">
        <v>581</v>
      </c>
      <c r="BCZ16" s="508" t="s">
        <v>581</v>
      </c>
      <c r="BDA16" s="508" t="s">
        <v>581</v>
      </c>
      <c r="BDB16" s="508" t="s">
        <v>581</v>
      </c>
      <c r="BDC16" s="508" t="s">
        <v>581</v>
      </c>
      <c r="BDD16" s="508" t="s">
        <v>581</v>
      </c>
      <c r="BDE16" s="508" t="s">
        <v>581</v>
      </c>
      <c r="BDF16" s="508" t="s">
        <v>581</v>
      </c>
      <c r="BDG16" s="508" t="s">
        <v>581</v>
      </c>
      <c r="BDH16" s="508" t="s">
        <v>581</v>
      </c>
      <c r="BDI16" s="508" t="s">
        <v>581</v>
      </c>
      <c r="BDJ16" s="508" t="s">
        <v>581</v>
      </c>
      <c r="BDK16" s="508" t="s">
        <v>581</v>
      </c>
      <c r="BDL16" s="508" t="s">
        <v>581</v>
      </c>
      <c r="BDM16" s="508" t="s">
        <v>581</v>
      </c>
      <c r="BDN16" s="508" t="s">
        <v>581</v>
      </c>
      <c r="BDO16" s="508" t="s">
        <v>581</v>
      </c>
      <c r="BDP16" s="508" t="s">
        <v>581</v>
      </c>
      <c r="BDQ16" s="508" t="s">
        <v>581</v>
      </c>
      <c r="BDR16" s="508" t="s">
        <v>581</v>
      </c>
      <c r="BDS16" s="508" t="s">
        <v>581</v>
      </c>
      <c r="BDT16" s="508" t="s">
        <v>581</v>
      </c>
      <c r="BDU16" s="508" t="s">
        <v>581</v>
      </c>
      <c r="BDV16" s="508" t="s">
        <v>581</v>
      </c>
      <c r="BDW16" s="508" t="s">
        <v>581</v>
      </c>
      <c r="BDX16" s="508" t="s">
        <v>581</v>
      </c>
      <c r="BDY16" s="508" t="s">
        <v>581</v>
      </c>
      <c r="BDZ16" s="508" t="s">
        <v>581</v>
      </c>
      <c r="BEA16" s="508" t="s">
        <v>581</v>
      </c>
      <c r="BEB16" s="508" t="s">
        <v>581</v>
      </c>
      <c r="BEC16" s="508" t="s">
        <v>581</v>
      </c>
      <c r="BED16" s="508" t="s">
        <v>581</v>
      </c>
      <c r="BEE16" s="508" t="s">
        <v>581</v>
      </c>
      <c r="BEF16" s="508" t="s">
        <v>581</v>
      </c>
      <c r="BEG16" s="508" t="s">
        <v>581</v>
      </c>
      <c r="BEH16" s="508" t="s">
        <v>581</v>
      </c>
      <c r="BEI16" s="508" t="s">
        <v>581</v>
      </c>
      <c r="BEJ16" s="508" t="s">
        <v>581</v>
      </c>
      <c r="BEK16" s="508" t="s">
        <v>581</v>
      </c>
      <c r="BEL16" s="508" t="s">
        <v>581</v>
      </c>
      <c r="BEM16" s="508" t="s">
        <v>581</v>
      </c>
      <c r="BEN16" s="508" t="s">
        <v>581</v>
      </c>
      <c r="BEO16" s="508" t="s">
        <v>581</v>
      </c>
      <c r="BEP16" s="508" t="s">
        <v>581</v>
      </c>
      <c r="BEQ16" s="508" t="s">
        <v>581</v>
      </c>
      <c r="BER16" s="508" t="s">
        <v>581</v>
      </c>
      <c r="BES16" s="508" t="s">
        <v>581</v>
      </c>
      <c r="BET16" s="508" t="s">
        <v>581</v>
      </c>
      <c r="BEU16" s="508" t="s">
        <v>581</v>
      </c>
      <c r="BEV16" s="508" t="s">
        <v>581</v>
      </c>
      <c r="BEW16" s="508" t="s">
        <v>581</v>
      </c>
      <c r="BEX16" s="508" t="s">
        <v>581</v>
      </c>
      <c r="BEY16" s="508" t="s">
        <v>581</v>
      </c>
      <c r="BEZ16" s="508" t="s">
        <v>581</v>
      </c>
      <c r="BFA16" s="508" t="s">
        <v>581</v>
      </c>
      <c r="BFB16" s="508" t="s">
        <v>581</v>
      </c>
      <c r="BFC16" s="508" t="s">
        <v>581</v>
      </c>
      <c r="BFD16" s="508" t="s">
        <v>581</v>
      </c>
      <c r="BFE16" s="508" t="s">
        <v>581</v>
      </c>
      <c r="BFF16" s="508" t="s">
        <v>581</v>
      </c>
      <c r="BFG16" s="508" t="s">
        <v>581</v>
      </c>
      <c r="BFH16" s="508" t="s">
        <v>581</v>
      </c>
      <c r="BFI16" s="508" t="s">
        <v>581</v>
      </c>
      <c r="BFJ16" s="508" t="s">
        <v>581</v>
      </c>
      <c r="BFK16" s="508" t="s">
        <v>581</v>
      </c>
      <c r="BFL16" s="508" t="s">
        <v>581</v>
      </c>
      <c r="BFM16" s="508" t="s">
        <v>581</v>
      </c>
      <c r="BFN16" s="508" t="s">
        <v>581</v>
      </c>
      <c r="BFO16" s="508" t="s">
        <v>581</v>
      </c>
      <c r="BFP16" s="508" t="s">
        <v>581</v>
      </c>
      <c r="BFQ16" s="508" t="s">
        <v>581</v>
      </c>
      <c r="BFR16" s="508" t="s">
        <v>581</v>
      </c>
      <c r="BFS16" s="508" t="s">
        <v>581</v>
      </c>
      <c r="BFT16" s="508" t="s">
        <v>581</v>
      </c>
      <c r="BFU16" s="508" t="s">
        <v>581</v>
      </c>
      <c r="BFV16" s="508" t="s">
        <v>581</v>
      </c>
      <c r="BFW16" s="508" t="s">
        <v>581</v>
      </c>
      <c r="BFX16" s="508" t="s">
        <v>581</v>
      </c>
      <c r="BFY16" s="508" t="s">
        <v>581</v>
      </c>
      <c r="BFZ16" s="508" t="s">
        <v>581</v>
      </c>
      <c r="BGA16" s="508" t="s">
        <v>581</v>
      </c>
      <c r="BGB16" s="508" t="s">
        <v>581</v>
      </c>
      <c r="BGC16" s="508" t="s">
        <v>581</v>
      </c>
      <c r="BGD16" s="508" t="s">
        <v>581</v>
      </c>
      <c r="BGE16" s="508" t="s">
        <v>581</v>
      </c>
      <c r="BGF16" s="508" t="s">
        <v>581</v>
      </c>
      <c r="BGG16" s="508" t="s">
        <v>581</v>
      </c>
      <c r="BGH16" s="508" t="s">
        <v>581</v>
      </c>
      <c r="BGI16" s="508" t="s">
        <v>581</v>
      </c>
      <c r="BGJ16" s="508" t="s">
        <v>581</v>
      </c>
      <c r="BGK16" s="508" t="s">
        <v>581</v>
      </c>
      <c r="BGL16" s="508" t="s">
        <v>581</v>
      </c>
      <c r="BGM16" s="508" t="s">
        <v>581</v>
      </c>
      <c r="BGN16" s="508" t="s">
        <v>581</v>
      </c>
      <c r="BGO16" s="508" t="s">
        <v>581</v>
      </c>
      <c r="BGP16" s="508" t="s">
        <v>581</v>
      </c>
      <c r="BGQ16" s="508" t="s">
        <v>581</v>
      </c>
      <c r="BGR16" s="508" t="s">
        <v>581</v>
      </c>
      <c r="BGS16" s="508" t="s">
        <v>581</v>
      </c>
      <c r="BGT16" s="508" t="s">
        <v>581</v>
      </c>
      <c r="BGU16" s="508" t="s">
        <v>581</v>
      </c>
      <c r="BGV16" s="508" t="s">
        <v>581</v>
      </c>
      <c r="BGW16" s="508" t="s">
        <v>581</v>
      </c>
      <c r="BGX16" s="508" t="s">
        <v>581</v>
      </c>
      <c r="BGY16" s="508" t="s">
        <v>581</v>
      </c>
      <c r="BGZ16" s="508" t="s">
        <v>581</v>
      </c>
      <c r="BHA16" s="508" t="s">
        <v>581</v>
      </c>
      <c r="BHB16" s="508" t="s">
        <v>581</v>
      </c>
      <c r="BHC16" s="508" t="s">
        <v>581</v>
      </c>
      <c r="BHD16" s="508" t="s">
        <v>581</v>
      </c>
      <c r="BHE16" s="508" t="s">
        <v>581</v>
      </c>
      <c r="BHF16" s="508" t="s">
        <v>581</v>
      </c>
      <c r="BHG16" s="508" t="s">
        <v>581</v>
      </c>
      <c r="BHH16" s="508" t="s">
        <v>581</v>
      </c>
      <c r="BHI16" s="508" t="s">
        <v>581</v>
      </c>
      <c r="BHJ16" s="508" t="s">
        <v>581</v>
      </c>
      <c r="BHK16" s="508" t="s">
        <v>581</v>
      </c>
      <c r="BHL16" s="508" t="s">
        <v>581</v>
      </c>
      <c r="BHM16" s="508" t="s">
        <v>581</v>
      </c>
      <c r="BHN16" s="508" t="s">
        <v>581</v>
      </c>
      <c r="BHO16" s="508" t="s">
        <v>581</v>
      </c>
      <c r="BHP16" s="508" t="s">
        <v>581</v>
      </c>
      <c r="BHQ16" s="508" t="s">
        <v>581</v>
      </c>
      <c r="BHR16" s="508" t="s">
        <v>581</v>
      </c>
      <c r="BHS16" s="508" t="s">
        <v>581</v>
      </c>
      <c r="BHT16" s="508" t="s">
        <v>581</v>
      </c>
      <c r="BHU16" s="508" t="s">
        <v>581</v>
      </c>
      <c r="BHV16" s="508" t="s">
        <v>581</v>
      </c>
      <c r="BHW16" s="508" t="s">
        <v>581</v>
      </c>
      <c r="BHX16" s="508" t="s">
        <v>581</v>
      </c>
      <c r="BHY16" s="508" t="s">
        <v>581</v>
      </c>
      <c r="BHZ16" s="508" t="s">
        <v>581</v>
      </c>
      <c r="BIA16" s="508" t="s">
        <v>581</v>
      </c>
      <c r="BIB16" s="508" t="s">
        <v>581</v>
      </c>
      <c r="BIC16" s="508" t="s">
        <v>581</v>
      </c>
      <c r="BID16" s="508" t="s">
        <v>581</v>
      </c>
      <c r="BIE16" s="508" t="s">
        <v>581</v>
      </c>
      <c r="BIF16" s="508" t="s">
        <v>581</v>
      </c>
      <c r="BIG16" s="508" t="s">
        <v>581</v>
      </c>
      <c r="BIH16" s="508" t="s">
        <v>581</v>
      </c>
      <c r="BII16" s="508" t="s">
        <v>581</v>
      </c>
      <c r="BIJ16" s="508" t="s">
        <v>581</v>
      </c>
      <c r="BIK16" s="508" t="s">
        <v>581</v>
      </c>
      <c r="BIL16" s="508" t="s">
        <v>581</v>
      </c>
      <c r="BIM16" s="508" t="s">
        <v>581</v>
      </c>
      <c r="BIN16" s="508" t="s">
        <v>581</v>
      </c>
      <c r="BIO16" s="508" t="s">
        <v>581</v>
      </c>
      <c r="BIP16" s="508" t="s">
        <v>581</v>
      </c>
      <c r="BIQ16" s="508" t="s">
        <v>581</v>
      </c>
      <c r="BIR16" s="508" t="s">
        <v>581</v>
      </c>
      <c r="BIS16" s="508" t="s">
        <v>581</v>
      </c>
      <c r="BIT16" s="508" t="s">
        <v>581</v>
      </c>
      <c r="BIU16" s="508" t="s">
        <v>581</v>
      </c>
      <c r="BIV16" s="508" t="s">
        <v>581</v>
      </c>
      <c r="BIW16" s="508" t="s">
        <v>581</v>
      </c>
      <c r="BIX16" s="508" t="s">
        <v>581</v>
      </c>
      <c r="BIY16" s="508" t="s">
        <v>581</v>
      </c>
      <c r="BIZ16" s="508" t="s">
        <v>581</v>
      </c>
      <c r="BJA16" s="508" t="s">
        <v>581</v>
      </c>
      <c r="BJB16" s="508" t="s">
        <v>581</v>
      </c>
      <c r="BJC16" s="508" t="s">
        <v>581</v>
      </c>
      <c r="BJD16" s="508" t="s">
        <v>581</v>
      </c>
      <c r="BJE16" s="508" t="s">
        <v>581</v>
      </c>
      <c r="BJF16" s="508" t="s">
        <v>581</v>
      </c>
      <c r="BJG16" s="508" t="s">
        <v>581</v>
      </c>
      <c r="BJH16" s="508" t="s">
        <v>581</v>
      </c>
      <c r="BJI16" s="508" t="s">
        <v>581</v>
      </c>
      <c r="BJJ16" s="508" t="s">
        <v>581</v>
      </c>
      <c r="BJK16" s="508" t="s">
        <v>581</v>
      </c>
      <c r="BJL16" s="508" t="s">
        <v>581</v>
      </c>
      <c r="BJM16" s="508" t="s">
        <v>581</v>
      </c>
      <c r="BJN16" s="508" t="s">
        <v>581</v>
      </c>
      <c r="BJO16" s="508" t="s">
        <v>581</v>
      </c>
      <c r="BJP16" s="508" t="s">
        <v>581</v>
      </c>
      <c r="BJQ16" s="508" t="s">
        <v>581</v>
      </c>
      <c r="BJR16" s="508" t="s">
        <v>581</v>
      </c>
      <c r="BJS16" s="508" t="s">
        <v>581</v>
      </c>
      <c r="BJT16" s="508" t="s">
        <v>581</v>
      </c>
      <c r="BJU16" s="508" t="s">
        <v>581</v>
      </c>
      <c r="BJV16" s="508" t="s">
        <v>581</v>
      </c>
      <c r="BJW16" s="508" t="s">
        <v>581</v>
      </c>
      <c r="BJX16" s="508" t="s">
        <v>581</v>
      </c>
      <c r="BJY16" s="508" t="s">
        <v>581</v>
      </c>
      <c r="BJZ16" s="508" t="s">
        <v>581</v>
      </c>
      <c r="BKA16" s="508" t="s">
        <v>581</v>
      </c>
      <c r="BKB16" s="508" t="s">
        <v>581</v>
      </c>
      <c r="BKC16" s="508" t="s">
        <v>581</v>
      </c>
      <c r="BKD16" s="508" t="s">
        <v>581</v>
      </c>
      <c r="BKE16" s="508" t="s">
        <v>581</v>
      </c>
      <c r="BKF16" s="508" t="s">
        <v>581</v>
      </c>
      <c r="BKG16" s="508" t="s">
        <v>581</v>
      </c>
      <c r="BKH16" s="508" t="s">
        <v>581</v>
      </c>
      <c r="BKI16" s="508" t="s">
        <v>581</v>
      </c>
      <c r="BKJ16" s="508" t="s">
        <v>581</v>
      </c>
      <c r="BKK16" s="508" t="s">
        <v>581</v>
      </c>
      <c r="BKL16" s="508" t="s">
        <v>581</v>
      </c>
      <c r="BKM16" s="508" t="s">
        <v>581</v>
      </c>
      <c r="BKN16" s="508" t="s">
        <v>581</v>
      </c>
      <c r="BKO16" s="508" t="s">
        <v>581</v>
      </c>
      <c r="BKP16" s="508" t="s">
        <v>581</v>
      </c>
      <c r="BKQ16" s="508" t="s">
        <v>581</v>
      </c>
      <c r="BKR16" s="508" t="s">
        <v>581</v>
      </c>
      <c r="BKS16" s="508" t="s">
        <v>581</v>
      </c>
      <c r="BKT16" s="508" t="s">
        <v>581</v>
      </c>
      <c r="BKU16" s="508" t="s">
        <v>581</v>
      </c>
      <c r="BKV16" s="508" t="s">
        <v>581</v>
      </c>
      <c r="BKW16" s="508" t="s">
        <v>581</v>
      </c>
      <c r="BKX16" s="508" t="s">
        <v>581</v>
      </c>
      <c r="BKY16" s="508" t="s">
        <v>581</v>
      </c>
      <c r="BKZ16" s="508" t="s">
        <v>581</v>
      </c>
      <c r="BLA16" s="508" t="s">
        <v>581</v>
      </c>
      <c r="BLB16" s="508" t="s">
        <v>581</v>
      </c>
      <c r="BLC16" s="508" t="s">
        <v>581</v>
      </c>
      <c r="BLD16" s="508" t="s">
        <v>581</v>
      </c>
      <c r="BLE16" s="508" t="s">
        <v>581</v>
      </c>
      <c r="BLF16" s="508" t="s">
        <v>581</v>
      </c>
      <c r="BLG16" s="508" t="s">
        <v>581</v>
      </c>
      <c r="BLH16" s="508" t="s">
        <v>581</v>
      </c>
      <c r="BLI16" s="508" t="s">
        <v>581</v>
      </c>
      <c r="BLJ16" s="508" t="s">
        <v>581</v>
      </c>
      <c r="BLK16" s="508" t="s">
        <v>581</v>
      </c>
      <c r="BLL16" s="508" t="s">
        <v>581</v>
      </c>
      <c r="BLM16" s="508" t="s">
        <v>581</v>
      </c>
      <c r="BLN16" s="508" t="s">
        <v>581</v>
      </c>
      <c r="BLO16" s="508" t="s">
        <v>581</v>
      </c>
      <c r="BLP16" s="508" t="s">
        <v>581</v>
      </c>
      <c r="BLQ16" s="508" t="s">
        <v>581</v>
      </c>
      <c r="BLR16" s="508" t="s">
        <v>581</v>
      </c>
      <c r="BLS16" s="508" t="s">
        <v>581</v>
      </c>
      <c r="BLT16" s="508" t="s">
        <v>581</v>
      </c>
      <c r="BLU16" s="508" t="s">
        <v>581</v>
      </c>
      <c r="BLV16" s="508" t="s">
        <v>581</v>
      </c>
      <c r="BLW16" s="508" t="s">
        <v>581</v>
      </c>
      <c r="BLX16" s="508" t="s">
        <v>581</v>
      </c>
      <c r="BLY16" s="508" t="s">
        <v>581</v>
      </c>
      <c r="BLZ16" s="508" t="s">
        <v>581</v>
      </c>
      <c r="BMA16" s="508" t="s">
        <v>581</v>
      </c>
      <c r="BMB16" s="508" t="s">
        <v>581</v>
      </c>
      <c r="BMC16" s="508" t="s">
        <v>581</v>
      </c>
      <c r="BMD16" s="508" t="s">
        <v>581</v>
      </c>
      <c r="BME16" s="508" t="s">
        <v>581</v>
      </c>
      <c r="BMF16" s="508" t="s">
        <v>581</v>
      </c>
      <c r="BMG16" s="508" t="s">
        <v>581</v>
      </c>
      <c r="BMH16" s="508" t="s">
        <v>581</v>
      </c>
      <c r="BMI16" s="508" t="s">
        <v>581</v>
      </c>
      <c r="BMJ16" s="508" t="s">
        <v>581</v>
      </c>
      <c r="BMK16" s="508" t="s">
        <v>581</v>
      </c>
      <c r="BML16" s="508" t="s">
        <v>581</v>
      </c>
      <c r="BMM16" s="508" t="s">
        <v>581</v>
      </c>
      <c r="BMN16" s="508" t="s">
        <v>581</v>
      </c>
      <c r="BMO16" s="508" t="s">
        <v>581</v>
      </c>
      <c r="BMP16" s="508" t="s">
        <v>581</v>
      </c>
      <c r="BMQ16" s="508" t="s">
        <v>581</v>
      </c>
      <c r="BMR16" s="508" t="s">
        <v>581</v>
      </c>
      <c r="BMS16" s="508" t="s">
        <v>581</v>
      </c>
      <c r="BMT16" s="508" t="s">
        <v>581</v>
      </c>
      <c r="BMU16" s="508" t="s">
        <v>581</v>
      </c>
      <c r="BMV16" s="508" t="s">
        <v>581</v>
      </c>
      <c r="BMW16" s="508" t="s">
        <v>581</v>
      </c>
      <c r="BMX16" s="508" t="s">
        <v>581</v>
      </c>
      <c r="BMY16" s="508" t="s">
        <v>581</v>
      </c>
      <c r="BMZ16" s="508" t="s">
        <v>581</v>
      </c>
      <c r="BNA16" s="508" t="s">
        <v>581</v>
      </c>
      <c r="BNB16" s="508" t="s">
        <v>581</v>
      </c>
      <c r="BNC16" s="508" t="s">
        <v>581</v>
      </c>
      <c r="BND16" s="508" t="s">
        <v>581</v>
      </c>
      <c r="BNE16" s="508" t="s">
        <v>581</v>
      </c>
      <c r="BNF16" s="508" t="s">
        <v>581</v>
      </c>
      <c r="BNG16" s="508" t="s">
        <v>581</v>
      </c>
      <c r="BNH16" s="508" t="s">
        <v>581</v>
      </c>
      <c r="BNI16" s="508" t="s">
        <v>581</v>
      </c>
      <c r="BNJ16" s="508" t="s">
        <v>581</v>
      </c>
      <c r="BNK16" s="508" t="s">
        <v>581</v>
      </c>
      <c r="BNL16" s="508" t="s">
        <v>581</v>
      </c>
      <c r="BNM16" s="508" t="s">
        <v>581</v>
      </c>
      <c r="BNN16" s="508" t="s">
        <v>581</v>
      </c>
      <c r="BNO16" s="508" t="s">
        <v>581</v>
      </c>
      <c r="BNP16" s="508" t="s">
        <v>581</v>
      </c>
      <c r="BNQ16" s="508" t="s">
        <v>581</v>
      </c>
      <c r="BNR16" s="508" t="s">
        <v>581</v>
      </c>
      <c r="BNS16" s="508" t="s">
        <v>581</v>
      </c>
      <c r="BNT16" s="508" t="s">
        <v>581</v>
      </c>
      <c r="BNU16" s="508" t="s">
        <v>581</v>
      </c>
      <c r="BNV16" s="508" t="s">
        <v>581</v>
      </c>
      <c r="BNW16" s="508" t="s">
        <v>581</v>
      </c>
      <c r="BNX16" s="508" t="s">
        <v>581</v>
      </c>
      <c r="BNY16" s="508" t="s">
        <v>581</v>
      </c>
      <c r="BNZ16" s="508" t="s">
        <v>581</v>
      </c>
      <c r="BOA16" s="508" t="s">
        <v>581</v>
      </c>
      <c r="BOB16" s="508" t="s">
        <v>581</v>
      </c>
      <c r="BOC16" s="508" t="s">
        <v>581</v>
      </c>
      <c r="BOD16" s="508" t="s">
        <v>581</v>
      </c>
      <c r="BOE16" s="508" t="s">
        <v>581</v>
      </c>
      <c r="BOF16" s="508" t="s">
        <v>581</v>
      </c>
      <c r="BOG16" s="508" t="s">
        <v>581</v>
      </c>
      <c r="BOH16" s="508" t="s">
        <v>581</v>
      </c>
      <c r="BOI16" s="508" t="s">
        <v>581</v>
      </c>
      <c r="BOJ16" s="508" t="s">
        <v>581</v>
      </c>
      <c r="BOK16" s="508" t="s">
        <v>581</v>
      </c>
      <c r="BOL16" s="508" t="s">
        <v>581</v>
      </c>
      <c r="BOM16" s="508" t="s">
        <v>581</v>
      </c>
      <c r="BON16" s="508" t="s">
        <v>581</v>
      </c>
      <c r="BOO16" s="508" t="s">
        <v>581</v>
      </c>
      <c r="BOP16" s="508" t="s">
        <v>581</v>
      </c>
      <c r="BOQ16" s="508" t="s">
        <v>581</v>
      </c>
      <c r="BOR16" s="508" t="s">
        <v>581</v>
      </c>
      <c r="BOS16" s="508" t="s">
        <v>581</v>
      </c>
      <c r="BOT16" s="508" t="s">
        <v>581</v>
      </c>
      <c r="BOU16" s="508" t="s">
        <v>581</v>
      </c>
      <c r="BOV16" s="508" t="s">
        <v>581</v>
      </c>
      <c r="BOW16" s="508" t="s">
        <v>581</v>
      </c>
      <c r="BOX16" s="508" t="s">
        <v>581</v>
      </c>
      <c r="BOY16" s="508" t="s">
        <v>581</v>
      </c>
      <c r="BOZ16" s="508" t="s">
        <v>581</v>
      </c>
      <c r="BPA16" s="508" t="s">
        <v>581</v>
      </c>
      <c r="BPB16" s="508" t="s">
        <v>581</v>
      </c>
      <c r="BPC16" s="508" t="s">
        <v>581</v>
      </c>
      <c r="BPD16" s="508" t="s">
        <v>581</v>
      </c>
      <c r="BPE16" s="508" t="s">
        <v>581</v>
      </c>
      <c r="BPF16" s="508" t="s">
        <v>581</v>
      </c>
      <c r="BPG16" s="508" t="s">
        <v>581</v>
      </c>
      <c r="BPH16" s="508" t="s">
        <v>581</v>
      </c>
      <c r="BPI16" s="508" t="s">
        <v>581</v>
      </c>
      <c r="BPJ16" s="508" t="s">
        <v>581</v>
      </c>
      <c r="BPK16" s="508" t="s">
        <v>581</v>
      </c>
      <c r="BPL16" s="508" t="s">
        <v>581</v>
      </c>
      <c r="BPM16" s="508" t="s">
        <v>581</v>
      </c>
      <c r="BPN16" s="508" t="s">
        <v>581</v>
      </c>
      <c r="BPO16" s="508" t="s">
        <v>581</v>
      </c>
      <c r="BPP16" s="508" t="s">
        <v>581</v>
      </c>
      <c r="BPQ16" s="508" t="s">
        <v>581</v>
      </c>
      <c r="BPR16" s="508" t="s">
        <v>581</v>
      </c>
      <c r="BPS16" s="508" t="s">
        <v>581</v>
      </c>
      <c r="BPT16" s="508" t="s">
        <v>581</v>
      </c>
      <c r="BPU16" s="508" t="s">
        <v>581</v>
      </c>
      <c r="BPV16" s="508" t="s">
        <v>581</v>
      </c>
      <c r="BPW16" s="508" t="s">
        <v>581</v>
      </c>
      <c r="BPX16" s="508" t="s">
        <v>581</v>
      </c>
      <c r="BPY16" s="508" t="s">
        <v>581</v>
      </c>
      <c r="BPZ16" s="508" t="s">
        <v>581</v>
      </c>
      <c r="BQA16" s="508" t="s">
        <v>581</v>
      </c>
      <c r="BQB16" s="508" t="s">
        <v>581</v>
      </c>
      <c r="BQC16" s="508" t="s">
        <v>581</v>
      </c>
      <c r="BQD16" s="508" t="s">
        <v>581</v>
      </c>
      <c r="BQE16" s="508" t="s">
        <v>581</v>
      </c>
      <c r="BQF16" s="508" t="s">
        <v>581</v>
      </c>
      <c r="BQG16" s="508" t="s">
        <v>581</v>
      </c>
      <c r="BQH16" s="508" t="s">
        <v>581</v>
      </c>
      <c r="BQI16" s="508" t="s">
        <v>581</v>
      </c>
      <c r="BQJ16" s="508" t="s">
        <v>581</v>
      </c>
      <c r="BQK16" s="508" t="s">
        <v>581</v>
      </c>
      <c r="BQL16" s="508" t="s">
        <v>581</v>
      </c>
      <c r="BQM16" s="508" t="s">
        <v>581</v>
      </c>
      <c r="BQN16" s="508" t="s">
        <v>581</v>
      </c>
      <c r="BQO16" s="508" t="s">
        <v>581</v>
      </c>
      <c r="BQP16" s="508" t="s">
        <v>581</v>
      </c>
      <c r="BQQ16" s="508" t="s">
        <v>581</v>
      </c>
      <c r="BQR16" s="508" t="s">
        <v>581</v>
      </c>
      <c r="BQS16" s="508" t="s">
        <v>581</v>
      </c>
      <c r="BQT16" s="508" t="s">
        <v>581</v>
      </c>
      <c r="BQU16" s="508" t="s">
        <v>581</v>
      </c>
      <c r="BQV16" s="508" t="s">
        <v>581</v>
      </c>
      <c r="BQW16" s="508" t="s">
        <v>581</v>
      </c>
      <c r="BQX16" s="508" t="s">
        <v>581</v>
      </c>
      <c r="BQY16" s="508" t="s">
        <v>581</v>
      </c>
      <c r="BQZ16" s="508" t="s">
        <v>581</v>
      </c>
      <c r="BRA16" s="508" t="s">
        <v>581</v>
      </c>
      <c r="BRB16" s="508" t="s">
        <v>581</v>
      </c>
      <c r="BRC16" s="508" t="s">
        <v>581</v>
      </c>
      <c r="BRD16" s="508" t="s">
        <v>581</v>
      </c>
      <c r="BRE16" s="508" t="s">
        <v>581</v>
      </c>
      <c r="BRF16" s="508" t="s">
        <v>581</v>
      </c>
      <c r="BRG16" s="508" t="s">
        <v>581</v>
      </c>
      <c r="BRH16" s="508" t="s">
        <v>581</v>
      </c>
      <c r="BRI16" s="508" t="s">
        <v>581</v>
      </c>
      <c r="BRJ16" s="508" t="s">
        <v>581</v>
      </c>
      <c r="BRK16" s="508" t="s">
        <v>581</v>
      </c>
      <c r="BRL16" s="508" t="s">
        <v>581</v>
      </c>
      <c r="BRM16" s="508" t="s">
        <v>581</v>
      </c>
      <c r="BRN16" s="508" t="s">
        <v>581</v>
      </c>
      <c r="BRO16" s="508" t="s">
        <v>581</v>
      </c>
      <c r="BRP16" s="508" t="s">
        <v>581</v>
      </c>
      <c r="BRQ16" s="508" t="s">
        <v>581</v>
      </c>
      <c r="BRR16" s="508" t="s">
        <v>581</v>
      </c>
      <c r="BRS16" s="508" t="s">
        <v>581</v>
      </c>
      <c r="BRT16" s="508" t="s">
        <v>581</v>
      </c>
      <c r="BRU16" s="508" t="s">
        <v>581</v>
      </c>
      <c r="BRV16" s="508" t="s">
        <v>581</v>
      </c>
      <c r="BRW16" s="508" t="s">
        <v>581</v>
      </c>
      <c r="BRX16" s="508" t="s">
        <v>581</v>
      </c>
      <c r="BRY16" s="508" t="s">
        <v>581</v>
      </c>
      <c r="BRZ16" s="508" t="s">
        <v>581</v>
      </c>
      <c r="BSA16" s="508" t="s">
        <v>581</v>
      </c>
      <c r="BSB16" s="508" t="s">
        <v>581</v>
      </c>
      <c r="BSC16" s="508" t="s">
        <v>581</v>
      </c>
      <c r="BSD16" s="508" t="s">
        <v>581</v>
      </c>
      <c r="BSE16" s="508" t="s">
        <v>581</v>
      </c>
      <c r="BSF16" s="508" t="s">
        <v>581</v>
      </c>
      <c r="BSG16" s="508" t="s">
        <v>581</v>
      </c>
      <c r="BSH16" s="508" t="s">
        <v>581</v>
      </c>
      <c r="BSI16" s="508" t="s">
        <v>581</v>
      </c>
      <c r="BSJ16" s="508" t="s">
        <v>581</v>
      </c>
      <c r="BSK16" s="508" t="s">
        <v>581</v>
      </c>
      <c r="BSL16" s="508" t="s">
        <v>581</v>
      </c>
      <c r="BSM16" s="508" t="s">
        <v>581</v>
      </c>
      <c r="BSN16" s="508" t="s">
        <v>581</v>
      </c>
      <c r="BSO16" s="508" t="s">
        <v>581</v>
      </c>
      <c r="BSP16" s="508" t="s">
        <v>581</v>
      </c>
      <c r="BSQ16" s="508" t="s">
        <v>581</v>
      </c>
      <c r="BSR16" s="508" t="s">
        <v>581</v>
      </c>
      <c r="BSS16" s="508" t="s">
        <v>581</v>
      </c>
      <c r="BST16" s="508" t="s">
        <v>581</v>
      </c>
      <c r="BSU16" s="508" t="s">
        <v>581</v>
      </c>
      <c r="BSV16" s="508" t="s">
        <v>581</v>
      </c>
      <c r="BSW16" s="508" t="s">
        <v>581</v>
      </c>
      <c r="BSX16" s="508" t="s">
        <v>581</v>
      </c>
      <c r="BSY16" s="508" t="s">
        <v>581</v>
      </c>
      <c r="BSZ16" s="508" t="s">
        <v>581</v>
      </c>
      <c r="BTA16" s="508" t="s">
        <v>581</v>
      </c>
      <c r="BTB16" s="508" t="s">
        <v>581</v>
      </c>
      <c r="BTC16" s="508" t="s">
        <v>581</v>
      </c>
      <c r="BTD16" s="508" t="s">
        <v>581</v>
      </c>
      <c r="BTE16" s="508" t="s">
        <v>581</v>
      </c>
      <c r="BTF16" s="508" t="s">
        <v>581</v>
      </c>
      <c r="BTG16" s="508" t="s">
        <v>581</v>
      </c>
      <c r="BTH16" s="508" t="s">
        <v>581</v>
      </c>
      <c r="BTI16" s="508" t="s">
        <v>581</v>
      </c>
      <c r="BTJ16" s="508" t="s">
        <v>581</v>
      </c>
      <c r="BTK16" s="508" t="s">
        <v>581</v>
      </c>
      <c r="BTL16" s="508" t="s">
        <v>581</v>
      </c>
      <c r="BTM16" s="508" t="s">
        <v>581</v>
      </c>
      <c r="BTN16" s="508" t="s">
        <v>581</v>
      </c>
      <c r="BTO16" s="508" t="s">
        <v>581</v>
      </c>
      <c r="BTP16" s="508" t="s">
        <v>581</v>
      </c>
      <c r="BTQ16" s="508" t="s">
        <v>581</v>
      </c>
      <c r="BTR16" s="508" t="s">
        <v>581</v>
      </c>
      <c r="BTS16" s="508" t="s">
        <v>581</v>
      </c>
      <c r="BTT16" s="508" t="s">
        <v>581</v>
      </c>
      <c r="BTU16" s="508" t="s">
        <v>581</v>
      </c>
      <c r="BTV16" s="508" t="s">
        <v>581</v>
      </c>
      <c r="BTW16" s="508" t="s">
        <v>581</v>
      </c>
      <c r="BTX16" s="508" t="s">
        <v>581</v>
      </c>
      <c r="BTY16" s="508" t="s">
        <v>581</v>
      </c>
      <c r="BTZ16" s="508" t="s">
        <v>581</v>
      </c>
      <c r="BUA16" s="508" t="s">
        <v>581</v>
      </c>
      <c r="BUB16" s="508" t="s">
        <v>581</v>
      </c>
      <c r="BUC16" s="508" t="s">
        <v>581</v>
      </c>
      <c r="BUD16" s="508" t="s">
        <v>581</v>
      </c>
      <c r="BUE16" s="508" t="s">
        <v>581</v>
      </c>
      <c r="BUF16" s="508" t="s">
        <v>581</v>
      </c>
      <c r="BUG16" s="508" t="s">
        <v>581</v>
      </c>
      <c r="BUH16" s="508" t="s">
        <v>581</v>
      </c>
      <c r="BUI16" s="508" t="s">
        <v>581</v>
      </c>
      <c r="BUJ16" s="508" t="s">
        <v>581</v>
      </c>
      <c r="BUK16" s="508" t="s">
        <v>581</v>
      </c>
      <c r="BUL16" s="508" t="s">
        <v>581</v>
      </c>
      <c r="BUM16" s="508" t="s">
        <v>581</v>
      </c>
      <c r="BUN16" s="508" t="s">
        <v>581</v>
      </c>
      <c r="BUO16" s="508" t="s">
        <v>581</v>
      </c>
      <c r="BUP16" s="508" t="s">
        <v>581</v>
      </c>
      <c r="BUQ16" s="508" t="s">
        <v>581</v>
      </c>
      <c r="BUR16" s="508" t="s">
        <v>581</v>
      </c>
      <c r="BUS16" s="508" t="s">
        <v>581</v>
      </c>
      <c r="BUT16" s="508" t="s">
        <v>581</v>
      </c>
      <c r="BUU16" s="508" t="s">
        <v>581</v>
      </c>
      <c r="BUV16" s="508" t="s">
        <v>581</v>
      </c>
      <c r="BUW16" s="508" t="s">
        <v>581</v>
      </c>
      <c r="BUX16" s="508" t="s">
        <v>581</v>
      </c>
      <c r="BUY16" s="508" t="s">
        <v>581</v>
      </c>
      <c r="BUZ16" s="508" t="s">
        <v>581</v>
      </c>
      <c r="BVA16" s="508" t="s">
        <v>581</v>
      </c>
      <c r="BVB16" s="508" t="s">
        <v>581</v>
      </c>
      <c r="BVC16" s="508" t="s">
        <v>581</v>
      </c>
      <c r="BVD16" s="508" t="s">
        <v>581</v>
      </c>
      <c r="BVE16" s="508" t="s">
        <v>581</v>
      </c>
      <c r="BVF16" s="508" t="s">
        <v>581</v>
      </c>
      <c r="BVG16" s="508" t="s">
        <v>581</v>
      </c>
      <c r="BVH16" s="508" t="s">
        <v>581</v>
      </c>
      <c r="BVI16" s="508" t="s">
        <v>581</v>
      </c>
      <c r="BVJ16" s="508" t="s">
        <v>581</v>
      </c>
      <c r="BVK16" s="508" t="s">
        <v>581</v>
      </c>
      <c r="BVL16" s="508" t="s">
        <v>581</v>
      </c>
      <c r="BVM16" s="508" t="s">
        <v>581</v>
      </c>
      <c r="BVN16" s="508" t="s">
        <v>581</v>
      </c>
      <c r="BVO16" s="508" t="s">
        <v>581</v>
      </c>
      <c r="BVP16" s="508" t="s">
        <v>581</v>
      </c>
      <c r="BVQ16" s="508" t="s">
        <v>581</v>
      </c>
      <c r="BVR16" s="508" t="s">
        <v>581</v>
      </c>
      <c r="BVS16" s="508" t="s">
        <v>581</v>
      </c>
      <c r="BVT16" s="508" t="s">
        <v>581</v>
      </c>
      <c r="BVU16" s="508" t="s">
        <v>581</v>
      </c>
      <c r="BVV16" s="508" t="s">
        <v>581</v>
      </c>
      <c r="BVW16" s="508" t="s">
        <v>581</v>
      </c>
      <c r="BVX16" s="508" t="s">
        <v>581</v>
      </c>
      <c r="BVY16" s="508" t="s">
        <v>581</v>
      </c>
      <c r="BVZ16" s="508" t="s">
        <v>581</v>
      </c>
      <c r="BWA16" s="508" t="s">
        <v>581</v>
      </c>
      <c r="BWB16" s="508" t="s">
        <v>581</v>
      </c>
      <c r="BWC16" s="508" t="s">
        <v>581</v>
      </c>
      <c r="BWD16" s="508" t="s">
        <v>581</v>
      </c>
      <c r="BWE16" s="508" t="s">
        <v>581</v>
      </c>
      <c r="BWF16" s="508" t="s">
        <v>581</v>
      </c>
      <c r="BWG16" s="508" t="s">
        <v>581</v>
      </c>
      <c r="BWH16" s="508" t="s">
        <v>581</v>
      </c>
      <c r="BWI16" s="508" t="s">
        <v>581</v>
      </c>
      <c r="BWJ16" s="508" t="s">
        <v>581</v>
      </c>
      <c r="BWK16" s="508" t="s">
        <v>581</v>
      </c>
      <c r="BWL16" s="508" t="s">
        <v>581</v>
      </c>
      <c r="BWM16" s="508" t="s">
        <v>581</v>
      </c>
      <c r="BWN16" s="508" t="s">
        <v>581</v>
      </c>
      <c r="BWO16" s="508" t="s">
        <v>581</v>
      </c>
      <c r="BWP16" s="508" t="s">
        <v>581</v>
      </c>
      <c r="BWQ16" s="508" t="s">
        <v>581</v>
      </c>
      <c r="BWR16" s="508" t="s">
        <v>581</v>
      </c>
      <c r="BWS16" s="508" t="s">
        <v>581</v>
      </c>
      <c r="BWT16" s="508" t="s">
        <v>581</v>
      </c>
      <c r="BWU16" s="508" t="s">
        <v>581</v>
      </c>
      <c r="BWV16" s="508" t="s">
        <v>581</v>
      </c>
      <c r="BWW16" s="508" t="s">
        <v>581</v>
      </c>
      <c r="BWX16" s="508" t="s">
        <v>581</v>
      </c>
      <c r="BWY16" s="508" t="s">
        <v>581</v>
      </c>
      <c r="BWZ16" s="508" t="s">
        <v>581</v>
      </c>
      <c r="BXA16" s="508" t="s">
        <v>581</v>
      </c>
      <c r="BXB16" s="508" t="s">
        <v>581</v>
      </c>
      <c r="BXC16" s="508" t="s">
        <v>581</v>
      </c>
      <c r="BXD16" s="508" t="s">
        <v>581</v>
      </c>
      <c r="BXE16" s="508" t="s">
        <v>581</v>
      </c>
      <c r="BXF16" s="508" t="s">
        <v>581</v>
      </c>
      <c r="BXG16" s="508" t="s">
        <v>581</v>
      </c>
      <c r="BXH16" s="508" t="s">
        <v>581</v>
      </c>
      <c r="BXI16" s="508" t="s">
        <v>581</v>
      </c>
      <c r="BXJ16" s="508" t="s">
        <v>581</v>
      </c>
      <c r="BXK16" s="508" t="s">
        <v>581</v>
      </c>
      <c r="BXL16" s="508" t="s">
        <v>581</v>
      </c>
      <c r="BXM16" s="508" t="s">
        <v>581</v>
      </c>
      <c r="BXN16" s="508" t="s">
        <v>581</v>
      </c>
      <c r="BXO16" s="508" t="s">
        <v>581</v>
      </c>
      <c r="BXP16" s="508" t="s">
        <v>581</v>
      </c>
      <c r="BXQ16" s="508" t="s">
        <v>581</v>
      </c>
      <c r="BXR16" s="508" t="s">
        <v>581</v>
      </c>
      <c r="BXS16" s="508" t="s">
        <v>581</v>
      </c>
      <c r="BXT16" s="508" t="s">
        <v>581</v>
      </c>
      <c r="BXU16" s="508" t="s">
        <v>581</v>
      </c>
      <c r="BXV16" s="508" t="s">
        <v>581</v>
      </c>
      <c r="BXW16" s="508" t="s">
        <v>581</v>
      </c>
      <c r="BXX16" s="508" t="s">
        <v>581</v>
      </c>
      <c r="BXY16" s="508" t="s">
        <v>581</v>
      </c>
      <c r="BXZ16" s="508" t="s">
        <v>581</v>
      </c>
      <c r="BYA16" s="508" t="s">
        <v>581</v>
      </c>
      <c r="BYB16" s="508" t="s">
        <v>581</v>
      </c>
      <c r="BYC16" s="508" t="s">
        <v>581</v>
      </c>
      <c r="BYD16" s="508" t="s">
        <v>581</v>
      </c>
      <c r="BYE16" s="508" t="s">
        <v>581</v>
      </c>
      <c r="BYF16" s="508" t="s">
        <v>581</v>
      </c>
      <c r="BYG16" s="508" t="s">
        <v>581</v>
      </c>
      <c r="BYH16" s="508" t="s">
        <v>581</v>
      </c>
      <c r="BYI16" s="508" t="s">
        <v>581</v>
      </c>
      <c r="BYJ16" s="508" t="s">
        <v>581</v>
      </c>
      <c r="BYK16" s="508" t="s">
        <v>581</v>
      </c>
      <c r="BYL16" s="508" t="s">
        <v>581</v>
      </c>
      <c r="BYM16" s="508" t="s">
        <v>581</v>
      </c>
      <c r="BYN16" s="508" t="s">
        <v>581</v>
      </c>
      <c r="BYO16" s="508" t="s">
        <v>581</v>
      </c>
      <c r="BYP16" s="508" t="s">
        <v>581</v>
      </c>
      <c r="BYQ16" s="508" t="s">
        <v>581</v>
      </c>
      <c r="BYR16" s="508" t="s">
        <v>581</v>
      </c>
      <c r="BYS16" s="508" t="s">
        <v>581</v>
      </c>
      <c r="BYT16" s="508" t="s">
        <v>581</v>
      </c>
      <c r="BYU16" s="508" t="s">
        <v>581</v>
      </c>
      <c r="BYV16" s="508" t="s">
        <v>581</v>
      </c>
      <c r="BYW16" s="508" t="s">
        <v>581</v>
      </c>
      <c r="BYX16" s="508" t="s">
        <v>581</v>
      </c>
      <c r="BYY16" s="508" t="s">
        <v>581</v>
      </c>
      <c r="BYZ16" s="508" t="s">
        <v>581</v>
      </c>
      <c r="BZA16" s="508" t="s">
        <v>581</v>
      </c>
      <c r="BZB16" s="508" t="s">
        <v>581</v>
      </c>
      <c r="BZC16" s="508" t="s">
        <v>581</v>
      </c>
      <c r="BZD16" s="508" t="s">
        <v>581</v>
      </c>
      <c r="BZE16" s="508" t="s">
        <v>581</v>
      </c>
      <c r="BZF16" s="508" t="s">
        <v>581</v>
      </c>
      <c r="BZG16" s="508" t="s">
        <v>581</v>
      </c>
      <c r="BZH16" s="508" t="s">
        <v>581</v>
      </c>
      <c r="BZI16" s="508" t="s">
        <v>581</v>
      </c>
      <c r="BZJ16" s="508" t="s">
        <v>581</v>
      </c>
      <c r="BZK16" s="508" t="s">
        <v>581</v>
      </c>
      <c r="BZL16" s="508" t="s">
        <v>581</v>
      </c>
      <c r="BZM16" s="508" t="s">
        <v>581</v>
      </c>
      <c r="BZN16" s="508" t="s">
        <v>581</v>
      </c>
      <c r="BZO16" s="508" t="s">
        <v>581</v>
      </c>
      <c r="BZP16" s="508" t="s">
        <v>581</v>
      </c>
      <c r="BZQ16" s="508" t="s">
        <v>581</v>
      </c>
      <c r="BZR16" s="508" t="s">
        <v>581</v>
      </c>
      <c r="BZS16" s="508" t="s">
        <v>581</v>
      </c>
      <c r="BZT16" s="508" t="s">
        <v>581</v>
      </c>
      <c r="BZU16" s="508" t="s">
        <v>581</v>
      </c>
      <c r="BZV16" s="508" t="s">
        <v>581</v>
      </c>
      <c r="BZW16" s="508" t="s">
        <v>581</v>
      </c>
      <c r="BZX16" s="508" t="s">
        <v>581</v>
      </c>
      <c r="BZY16" s="508" t="s">
        <v>581</v>
      </c>
      <c r="BZZ16" s="508" t="s">
        <v>581</v>
      </c>
      <c r="CAA16" s="508" t="s">
        <v>581</v>
      </c>
      <c r="CAB16" s="508" t="s">
        <v>581</v>
      </c>
      <c r="CAC16" s="508" t="s">
        <v>581</v>
      </c>
      <c r="CAD16" s="508" t="s">
        <v>581</v>
      </c>
      <c r="CAE16" s="508" t="s">
        <v>581</v>
      </c>
      <c r="CAF16" s="508" t="s">
        <v>581</v>
      </c>
      <c r="CAG16" s="508" t="s">
        <v>581</v>
      </c>
      <c r="CAH16" s="508" t="s">
        <v>581</v>
      </c>
      <c r="CAI16" s="508" t="s">
        <v>581</v>
      </c>
      <c r="CAJ16" s="508" t="s">
        <v>581</v>
      </c>
      <c r="CAK16" s="508" t="s">
        <v>581</v>
      </c>
      <c r="CAL16" s="508" t="s">
        <v>581</v>
      </c>
      <c r="CAM16" s="508" t="s">
        <v>581</v>
      </c>
      <c r="CAN16" s="508" t="s">
        <v>581</v>
      </c>
      <c r="CAO16" s="508" t="s">
        <v>581</v>
      </c>
      <c r="CAP16" s="508" t="s">
        <v>581</v>
      </c>
      <c r="CAQ16" s="508" t="s">
        <v>581</v>
      </c>
      <c r="CAR16" s="508" t="s">
        <v>581</v>
      </c>
      <c r="CAS16" s="508" t="s">
        <v>581</v>
      </c>
      <c r="CAT16" s="508" t="s">
        <v>581</v>
      </c>
      <c r="CAU16" s="508" t="s">
        <v>581</v>
      </c>
      <c r="CAV16" s="508" t="s">
        <v>581</v>
      </c>
      <c r="CAW16" s="508" t="s">
        <v>581</v>
      </c>
      <c r="CAX16" s="508" t="s">
        <v>581</v>
      </c>
      <c r="CAY16" s="508" t="s">
        <v>581</v>
      </c>
      <c r="CAZ16" s="508" t="s">
        <v>581</v>
      </c>
      <c r="CBA16" s="508" t="s">
        <v>581</v>
      </c>
      <c r="CBB16" s="508" t="s">
        <v>581</v>
      </c>
      <c r="CBC16" s="508" t="s">
        <v>581</v>
      </c>
      <c r="CBD16" s="508" t="s">
        <v>581</v>
      </c>
      <c r="CBE16" s="508" t="s">
        <v>581</v>
      </c>
      <c r="CBF16" s="508" t="s">
        <v>581</v>
      </c>
      <c r="CBG16" s="508" t="s">
        <v>581</v>
      </c>
      <c r="CBH16" s="508" t="s">
        <v>581</v>
      </c>
      <c r="CBI16" s="508" t="s">
        <v>581</v>
      </c>
      <c r="CBJ16" s="508" t="s">
        <v>581</v>
      </c>
      <c r="CBK16" s="508" t="s">
        <v>581</v>
      </c>
      <c r="CBL16" s="508" t="s">
        <v>581</v>
      </c>
      <c r="CBM16" s="508" t="s">
        <v>581</v>
      </c>
      <c r="CBN16" s="508" t="s">
        <v>581</v>
      </c>
      <c r="CBO16" s="508" t="s">
        <v>581</v>
      </c>
      <c r="CBP16" s="508" t="s">
        <v>581</v>
      </c>
      <c r="CBQ16" s="508" t="s">
        <v>581</v>
      </c>
      <c r="CBR16" s="508" t="s">
        <v>581</v>
      </c>
      <c r="CBS16" s="508" t="s">
        <v>581</v>
      </c>
      <c r="CBT16" s="508" t="s">
        <v>581</v>
      </c>
      <c r="CBU16" s="508" t="s">
        <v>581</v>
      </c>
      <c r="CBV16" s="508" t="s">
        <v>581</v>
      </c>
      <c r="CBW16" s="508" t="s">
        <v>581</v>
      </c>
      <c r="CBX16" s="508" t="s">
        <v>581</v>
      </c>
      <c r="CBY16" s="508" t="s">
        <v>581</v>
      </c>
      <c r="CBZ16" s="508" t="s">
        <v>581</v>
      </c>
      <c r="CCA16" s="508" t="s">
        <v>581</v>
      </c>
      <c r="CCB16" s="508" t="s">
        <v>581</v>
      </c>
      <c r="CCC16" s="508" t="s">
        <v>581</v>
      </c>
      <c r="CCD16" s="508" t="s">
        <v>581</v>
      </c>
      <c r="CCE16" s="508" t="s">
        <v>581</v>
      </c>
      <c r="CCF16" s="508" t="s">
        <v>581</v>
      </c>
      <c r="CCG16" s="508" t="s">
        <v>581</v>
      </c>
      <c r="CCH16" s="508" t="s">
        <v>581</v>
      </c>
      <c r="CCI16" s="508" t="s">
        <v>581</v>
      </c>
      <c r="CCJ16" s="508" t="s">
        <v>581</v>
      </c>
      <c r="CCK16" s="508" t="s">
        <v>581</v>
      </c>
      <c r="CCL16" s="508" t="s">
        <v>581</v>
      </c>
      <c r="CCM16" s="508" t="s">
        <v>581</v>
      </c>
      <c r="CCN16" s="508" t="s">
        <v>581</v>
      </c>
      <c r="CCO16" s="508" t="s">
        <v>581</v>
      </c>
      <c r="CCP16" s="508" t="s">
        <v>581</v>
      </c>
      <c r="CCQ16" s="508" t="s">
        <v>581</v>
      </c>
      <c r="CCR16" s="508" t="s">
        <v>581</v>
      </c>
      <c r="CCS16" s="508" t="s">
        <v>581</v>
      </c>
      <c r="CCT16" s="508" t="s">
        <v>581</v>
      </c>
      <c r="CCU16" s="508" t="s">
        <v>581</v>
      </c>
      <c r="CCV16" s="508" t="s">
        <v>581</v>
      </c>
      <c r="CCW16" s="508" t="s">
        <v>581</v>
      </c>
      <c r="CCX16" s="508" t="s">
        <v>581</v>
      </c>
      <c r="CCY16" s="508" t="s">
        <v>581</v>
      </c>
      <c r="CCZ16" s="508" t="s">
        <v>581</v>
      </c>
      <c r="CDA16" s="508" t="s">
        <v>581</v>
      </c>
      <c r="CDB16" s="508" t="s">
        <v>581</v>
      </c>
      <c r="CDC16" s="508" t="s">
        <v>581</v>
      </c>
      <c r="CDD16" s="508" t="s">
        <v>581</v>
      </c>
      <c r="CDE16" s="508" t="s">
        <v>581</v>
      </c>
      <c r="CDF16" s="508" t="s">
        <v>581</v>
      </c>
      <c r="CDG16" s="508" t="s">
        <v>581</v>
      </c>
      <c r="CDH16" s="508" t="s">
        <v>581</v>
      </c>
      <c r="CDI16" s="508" t="s">
        <v>581</v>
      </c>
      <c r="CDJ16" s="508" t="s">
        <v>581</v>
      </c>
      <c r="CDK16" s="508" t="s">
        <v>581</v>
      </c>
      <c r="CDL16" s="508" t="s">
        <v>581</v>
      </c>
      <c r="CDM16" s="508" t="s">
        <v>581</v>
      </c>
      <c r="CDN16" s="508" t="s">
        <v>581</v>
      </c>
      <c r="CDO16" s="508" t="s">
        <v>581</v>
      </c>
      <c r="CDP16" s="508" t="s">
        <v>581</v>
      </c>
      <c r="CDQ16" s="508" t="s">
        <v>581</v>
      </c>
      <c r="CDR16" s="508" t="s">
        <v>581</v>
      </c>
      <c r="CDS16" s="508" t="s">
        <v>581</v>
      </c>
      <c r="CDT16" s="508" t="s">
        <v>581</v>
      </c>
      <c r="CDU16" s="508" t="s">
        <v>581</v>
      </c>
      <c r="CDV16" s="508" t="s">
        <v>581</v>
      </c>
      <c r="CDW16" s="508" t="s">
        <v>581</v>
      </c>
      <c r="CDX16" s="508" t="s">
        <v>581</v>
      </c>
      <c r="CDY16" s="508" t="s">
        <v>581</v>
      </c>
      <c r="CDZ16" s="508" t="s">
        <v>581</v>
      </c>
      <c r="CEA16" s="508" t="s">
        <v>581</v>
      </c>
      <c r="CEB16" s="508" t="s">
        <v>581</v>
      </c>
      <c r="CEC16" s="508" t="s">
        <v>581</v>
      </c>
      <c r="CED16" s="508" t="s">
        <v>581</v>
      </c>
      <c r="CEE16" s="508" t="s">
        <v>581</v>
      </c>
      <c r="CEF16" s="508" t="s">
        <v>581</v>
      </c>
      <c r="CEG16" s="508" t="s">
        <v>581</v>
      </c>
      <c r="CEH16" s="508" t="s">
        <v>581</v>
      </c>
      <c r="CEI16" s="508" t="s">
        <v>581</v>
      </c>
      <c r="CEJ16" s="508" t="s">
        <v>581</v>
      </c>
      <c r="CEK16" s="508" t="s">
        <v>581</v>
      </c>
      <c r="CEL16" s="508" t="s">
        <v>581</v>
      </c>
      <c r="CEM16" s="508" t="s">
        <v>581</v>
      </c>
      <c r="CEN16" s="508" t="s">
        <v>581</v>
      </c>
      <c r="CEO16" s="508" t="s">
        <v>581</v>
      </c>
      <c r="CEP16" s="508" t="s">
        <v>581</v>
      </c>
      <c r="CEQ16" s="508" t="s">
        <v>581</v>
      </c>
      <c r="CER16" s="508" t="s">
        <v>581</v>
      </c>
      <c r="CES16" s="508" t="s">
        <v>581</v>
      </c>
      <c r="CET16" s="508" t="s">
        <v>581</v>
      </c>
      <c r="CEU16" s="508" t="s">
        <v>581</v>
      </c>
      <c r="CEV16" s="508" t="s">
        <v>581</v>
      </c>
      <c r="CEW16" s="508" t="s">
        <v>581</v>
      </c>
      <c r="CEX16" s="508" t="s">
        <v>581</v>
      </c>
      <c r="CEY16" s="508" t="s">
        <v>581</v>
      </c>
      <c r="CEZ16" s="508" t="s">
        <v>581</v>
      </c>
      <c r="CFA16" s="508" t="s">
        <v>581</v>
      </c>
      <c r="CFB16" s="508" t="s">
        <v>581</v>
      </c>
      <c r="CFC16" s="508" t="s">
        <v>581</v>
      </c>
      <c r="CFD16" s="508" t="s">
        <v>581</v>
      </c>
      <c r="CFE16" s="508" t="s">
        <v>581</v>
      </c>
      <c r="CFF16" s="508" t="s">
        <v>581</v>
      </c>
      <c r="CFG16" s="508" t="s">
        <v>581</v>
      </c>
      <c r="CFH16" s="508" t="s">
        <v>581</v>
      </c>
      <c r="CFI16" s="508" t="s">
        <v>581</v>
      </c>
      <c r="CFJ16" s="508" t="s">
        <v>581</v>
      </c>
      <c r="CFK16" s="508" t="s">
        <v>581</v>
      </c>
      <c r="CFL16" s="508" t="s">
        <v>581</v>
      </c>
      <c r="CFM16" s="508" t="s">
        <v>581</v>
      </c>
      <c r="CFN16" s="508" t="s">
        <v>581</v>
      </c>
      <c r="CFO16" s="508" t="s">
        <v>581</v>
      </c>
      <c r="CFP16" s="508" t="s">
        <v>581</v>
      </c>
      <c r="CFQ16" s="508" t="s">
        <v>581</v>
      </c>
      <c r="CFR16" s="508" t="s">
        <v>581</v>
      </c>
      <c r="CFS16" s="508" t="s">
        <v>581</v>
      </c>
      <c r="CFT16" s="508" t="s">
        <v>581</v>
      </c>
      <c r="CFU16" s="508" t="s">
        <v>581</v>
      </c>
      <c r="CFV16" s="508" t="s">
        <v>581</v>
      </c>
      <c r="CFW16" s="508" t="s">
        <v>581</v>
      </c>
      <c r="CFX16" s="508" t="s">
        <v>581</v>
      </c>
      <c r="CFY16" s="508" t="s">
        <v>581</v>
      </c>
      <c r="CFZ16" s="508" t="s">
        <v>581</v>
      </c>
      <c r="CGA16" s="508" t="s">
        <v>581</v>
      </c>
      <c r="CGB16" s="508" t="s">
        <v>581</v>
      </c>
      <c r="CGC16" s="508" t="s">
        <v>581</v>
      </c>
      <c r="CGD16" s="508" t="s">
        <v>581</v>
      </c>
      <c r="CGE16" s="508" t="s">
        <v>581</v>
      </c>
      <c r="CGF16" s="508" t="s">
        <v>581</v>
      </c>
      <c r="CGG16" s="508" t="s">
        <v>581</v>
      </c>
      <c r="CGH16" s="508" t="s">
        <v>581</v>
      </c>
      <c r="CGI16" s="508" t="s">
        <v>581</v>
      </c>
      <c r="CGJ16" s="508" t="s">
        <v>581</v>
      </c>
      <c r="CGK16" s="508" t="s">
        <v>581</v>
      </c>
      <c r="CGL16" s="508" t="s">
        <v>581</v>
      </c>
      <c r="CGM16" s="508" t="s">
        <v>581</v>
      </c>
      <c r="CGN16" s="508" t="s">
        <v>581</v>
      </c>
      <c r="CGO16" s="508" t="s">
        <v>581</v>
      </c>
      <c r="CGP16" s="508" t="s">
        <v>581</v>
      </c>
      <c r="CGQ16" s="508" t="s">
        <v>581</v>
      </c>
      <c r="CGR16" s="508" t="s">
        <v>581</v>
      </c>
      <c r="CGS16" s="508" t="s">
        <v>581</v>
      </c>
      <c r="CGT16" s="508" t="s">
        <v>581</v>
      </c>
      <c r="CGU16" s="508" t="s">
        <v>581</v>
      </c>
      <c r="CGV16" s="508" t="s">
        <v>581</v>
      </c>
      <c r="CGW16" s="508" t="s">
        <v>581</v>
      </c>
      <c r="CGX16" s="508" t="s">
        <v>581</v>
      </c>
      <c r="CGY16" s="508" t="s">
        <v>581</v>
      </c>
      <c r="CGZ16" s="508" t="s">
        <v>581</v>
      </c>
      <c r="CHA16" s="508" t="s">
        <v>581</v>
      </c>
      <c r="CHB16" s="508" t="s">
        <v>581</v>
      </c>
      <c r="CHC16" s="508" t="s">
        <v>581</v>
      </c>
      <c r="CHD16" s="508" t="s">
        <v>581</v>
      </c>
      <c r="CHE16" s="508" t="s">
        <v>581</v>
      </c>
      <c r="CHF16" s="508" t="s">
        <v>581</v>
      </c>
      <c r="CHG16" s="508" t="s">
        <v>581</v>
      </c>
      <c r="CHH16" s="508" t="s">
        <v>581</v>
      </c>
      <c r="CHI16" s="508" t="s">
        <v>581</v>
      </c>
      <c r="CHJ16" s="508" t="s">
        <v>581</v>
      </c>
      <c r="CHK16" s="508" t="s">
        <v>581</v>
      </c>
      <c r="CHL16" s="508" t="s">
        <v>581</v>
      </c>
      <c r="CHM16" s="508" t="s">
        <v>581</v>
      </c>
      <c r="CHN16" s="508" t="s">
        <v>581</v>
      </c>
      <c r="CHO16" s="508" t="s">
        <v>581</v>
      </c>
      <c r="CHP16" s="508" t="s">
        <v>581</v>
      </c>
      <c r="CHQ16" s="508" t="s">
        <v>581</v>
      </c>
      <c r="CHR16" s="508" t="s">
        <v>581</v>
      </c>
      <c r="CHS16" s="508" t="s">
        <v>581</v>
      </c>
      <c r="CHT16" s="508" t="s">
        <v>581</v>
      </c>
      <c r="CHU16" s="508" t="s">
        <v>581</v>
      </c>
      <c r="CHV16" s="508" t="s">
        <v>581</v>
      </c>
      <c r="CHW16" s="508" t="s">
        <v>581</v>
      </c>
      <c r="CHX16" s="508" t="s">
        <v>581</v>
      </c>
      <c r="CHY16" s="508" t="s">
        <v>581</v>
      </c>
      <c r="CHZ16" s="508" t="s">
        <v>581</v>
      </c>
      <c r="CIA16" s="508" t="s">
        <v>581</v>
      </c>
      <c r="CIB16" s="508" t="s">
        <v>581</v>
      </c>
      <c r="CIC16" s="508" t="s">
        <v>581</v>
      </c>
      <c r="CID16" s="508" t="s">
        <v>581</v>
      </c>
      <c r="CIE16" s="508" t="s">
        <v>581</v>
      </c>
      <c r="CIF16" s="508" t="s">
        <v>581</v>
      </c>
      <c r="CIG16" s="508" t="s">
        <v>581</v>
      </c>
      <c r="CIH16" s="508" t="s">
        <v>581</v>
      </c>
      <c r="CII16" s="508" t="s">
        <v>581</v>
      </c>
      <c r="CIJ16" s="508" t="s">
        <v>581</v>
      </c>
      <c r="CIK16" s="508" t="s">
        <v>581</v>
      </c>
      <c r="CIL16" s="508" t="s">
        <v>581</v>
      </c>
      <c r="CIM16" s="508" t="s">
        <v>581</v>
      </c>
      <c r="CIN16" s="508" t="s">
        <v>581</v>
      </c>
      <c r="CIO16" s="508" t="s">
        <v>581</v>
      </c>
      <c r="CIP16" s="508" t="s">
        <v>581</v>
      </c>
      <c r="CIQ16" s="508" t="s">
        <v>581</v>
      </c>
      <c r="CIR16" s="508" t="s">
        <v>581</v>
      </c>
      <c r="CIS16" s="508" t="s">
        <v>581</v>
      </c>
      <c r="CIT16" s="508" t="s">
        <v>581</v>
      </c>
      <c r="CIU16" s="508" t="s">
        <v>581</v>
      </c>
      <c r="CIV16" s="508" t="s">
        <v>581</v>
      </c>
      <c r="CIW16" s="508" t="s">
        <v>581</v>
      </c>
      <c r="CIX16" s="508" t="s">
        <v>581</v>
      </c>
      <c r="CIY16" s="508" t="s">
        <v>581</v>
      </c>
      <c r="CIZ16" s="508" t="s">
        <v>581</v>
      </c>
      <c r="CJA16" s="508" t="s">
        <v>581</v>
      </c>
      <c r="CJB16" s="508" t="s">
        <v>581</v>
      </c>
      <c r="CJC16" s="508" t="s">
        <v>581</v>
      </c>
      <c r="CJD16" s="508" t="s">
        <v>581</v>
      </c>
      <c r="CJE16" s="508" t="s">
        <v>581</v>
      </c>
      <c r="CJF16" s="508" t="s">
        <v>581</v>
      </c>
      <c r="CJG16" s="508" t="s">
        <v>581</v>
      </c>
      <c r="CJH16" s="508" t="s">
        <v>581</v>
      </c>
      <c r="CJI16" s="508" t="s">
        <v>581</v>
      </c>
      <c r="CJJ16" s="508" t="s">
        <v>581</v>
      </c>
      <c r="CJK16" s="508" t="s">
        <v>581</v>
      </c>
      <c r="CJL16" s="508" t="s">
        <v>581</v>
      </c>
      <c r="CJM16" s="508" t="s">
        <v>581</v>
      </c>
      <c r="CJN16" s="508" t="s">
        <v>581</v>
      </c>
      <c r="CJO16" s="508" t="s">
        <v>581</v>
      </c>
      <c r="CJP16" s="508" t="s">
        <v>581</v>
      </c>
      <c r="CJQ16" s="508" t="s">
        <v>581</v>
      </c>
      <c r="CJR16" s="508" t="s">
        <v>581</v>
      </c>
      <c r="CJS16" s="508" t="s">
        <v>581</v>
      </c>
      <c r="CJT16" s="508" t="s">
        <v>581</v>
      </c>
      <c r="CJU16" s="508" t="s">
        <v>581</v>
      </c>
      <c r="CJV16" s="508" t="s">
        <v>581</v>
      </c>
      <c r="CJW16" s="508" t="s">
        <v>581</v>
      </c>
      <c r="CJX16" s="508" t="s">
        <v>581</v>
      </c>
      <c r="CJY16" s="508" t="s">
        <v>581</v>
      </c>
      <c r="CJZ16" s="508" t="s">
        <v>581</v>
      </c>
      <c r="CKA16" s="508" t="s">
        <v>581</v>
      </c>
      <c r="CKB16" s="508" t="s">
        <v>581</v>
      </c>
      <c r="CKC16" s="508" t="s">
        <v>581</v>
      </c>
      <c r="CKD16" s="508" t="s">
        <v>581</v>
      </c>
      <c r="CKE16" s="508" t="s">
        <v>581</v>
      </c>
      <c r="CKF16" s="508" t="s">
        <v>581</v>
      </c>
      <c r="CKG16" s="508" t="s">
        <v>581</v>
      </c>
      <c r="CKH16" s="508" t="s">
        <v>581</v>
      </c>
      <c r="CKI16" s="508" t="s">
        <v>581</v>
      </c>
      <c r="CKJ16" s="508" t="s">
        <v>581</v>
      </c>
      <c r="CKK16" s="508" t="s">
        <v>581</v>
      </c>
      <c r="CKL16" s="508" t="s">
        <v>581</v>
      </c>
      <c r="CKM16" s="508" t="s">
        <v>581</v>
      </c>
      <c r="CKN16" s="508" t="s">
        <v>581</v>
      </c>
      <c r="CKO16" s="508" t="s">
        <v>581</v>
      </c>
      <c r="CKP16" s="508" t="s">
        <v>581</v>
      </c>
      <c r="CKQ16" s="508" t="s">
        <v>581</v>
      </c>
      <c r="CKR16" s="508" t="s">
        <v>581</v>
      </c>
      <c r="CKS16" s="508" t="s">
        <v>581</v>
      </c>
      <c r="CKT16" s="508" t="s">
        <v>581</v>
      </c>
      <c r="CKU16" s="508" t="s">
        <v>581</v>
      </c>
      <c r="CKV16" s="508" t="s">
        <v>581</v>
      </c>
      <c r="CKW16" s="508" t="s">
        <v>581</v>
      </c>
      <c r="CKX16" s="508" t="s">
        <v>581</v>
      </c>
      <c r="CKY16" s="508" t="s">
        <v>581</v>
      </c>
      <c r="CKZ16" s="508" t="s">
        <v>581</v>
      </c>
      <c r="CLA16" s="508" t="s">
        <v>581</v>
      </c>
      <c r="CLB16" s="508" t="s">
        <v>581</v>
      </c>
      <c r="CLC16" s="508" t="s">
        <v>581</v>
      </c>
      <c r="CLD16" s="508" t="s">
        <v>581</v>
      </c>
      <c r="CLE16" s="508" t="s">
        <v>581</v>
      </c>
      <c r="CLF16" s="508" t="s">
        <v>581</v>
      </c>
      <c r="CLG16" s="508" t="s">
        <v>581</v>
      </c>
      <c r="CLH16" s="508" t="s">
        <v>581</v>
      </c>
      <c r="CLI16" s="508" t="s">
        <v>581</v>
      </c>
      <c r="CLJ16" s="508" t="s">
        <v>581</v>
      </c>
      <c r="CLK16" s="508" t="s">
        <v>581</v>
      </c>
      <c r="CLL16" s="508" t="s">
        <v>581</v>
      </c>
      <c r="CLM16" s="508" t="s">
        <v>581</v>
      </c>
      <c r="CLN16" s="508" t="s">
        <v>581</v>
      </c>
      <c r="CLO16" s="508" t="s">
        <v>581</v>
      </c>
      <c r="CLP16" s="508" t="s">
        <v>581</v>
      </c>
      <c r="CLQ16" s="508" t="s">
        <v>581</v>
      </c>
      <c r="CLR16" s="508" t="s">
        <v>581</v>
      </c>
      <c r="CLS16" s="508" t="s">
        <v>581</v>
      </c>
      <c r="CLT16" s="508" t="s">
        <v>581</v>
      </c>
      <c r="CLU16" s="508" t="s">
        <v>581</v>
      </c>
      <c r="CLV16" s="508" t="s">
        <v>581</v>
      </c>
      <c r="CLW16" s="508" t="s">
        <v>581</v>
      </c>
      <c r="CLX16" s="508" t="s">
        <v>581</v>
      </c>
      <c r="CLY16" s="508" t="s">
        <v>581</v>
      </c>
      <c r="CLZ16" s="508" t="s">
        <v>581</v>
      </c>
      <c r="CMA16" s="508" t="s">
        <v>581</v>
      </c>
      <c r="CMB16" s="508" t="s">
        <v>581</v>
      </c>
      <c r="CMC16" s="508" t="s">
        <v>581</v>
      </c>
      <c r="CMD16" s="508" t="s">
        <v>581</v>
      </c>
      <c r="CME16" s="508" t="s">
        <v>581</v>
      </c>
      <c r="CMF16" s="508" t="s">
        <v>581</v>
      </c>
      <c r="CMG16" s="508" t="s">
        <v>581</v>
      </c>
      <c r="CMH16" s="508" t="s">
        <v>581</v>
      </c>
      <c r="CMI16" s="508" t="s">
        <v>581</v>
      </c>
      <c r="CMJ16" s="508" t="s">
        <v>581</v>
      </c>
      <c r="CMK16" s="508" t="s">
        <v>581</v>
      </c>
      <c r="CML16" s="508" t="s">
        <v>581</v>
      </c>
      <c r="CMM16" s="508" t="s">
        <v>581</v>
      </c>
      <c r="CMN16" s="508" t="s">
        <v>581</v>
      </c>
      <c r="CMO16" s="508" t="s">
        <v>581</v>
      </c>
      <c r="CMP16" s="508" t="s">
        <v>581</v>
      </c>
      <c r="CMQ16" s="508" t="s">
        <v>581</v>
      </c>
      <c r="CMR16" s="508" t="s">
        <v>581</v>
      </c>
      <c r="CMS16" s="508" t="s">
        <v>581</v>
      </c>
      <c r="CMT16" s="508" t="s">
        <v>581</v>
      </c>
      <c r="CMU16" s="508" t="s">
        <v>581</v>
      </c>
      <c r="CMV16" s="508" t="s">
        <v>581</v>
      </c>
      <c r="CMW16" s="508" t="s">
        <v>581</v>
      </c>
      <c r="CMX16" s="508" t="s">
        <v>581</v>
      </c>
      <c r="CMY16" s="508" t="s">
        <v>581</v>
      </c>
      <c r="CMZ16" s="508" t="s">
        <v>581</v>
      </c>
      <c r="CNA16" s="508" t="s">
        <v>581</v>
      </c>
      <c r="CNB16" s="508" t="s">
        <v>581</v>
      </c>
      <c r="CNC16" s="508" t="s">
        <v>581</v>
      </c>
      <c r="CND16" s="508" t="s">
        <v>581</v>
      </c>
      <c r="CNE16" s="508" t="s">
        <v>581</v>
      </c>
      <c r="CNF16" s="508" t="s">
        <v>581</v>
      </c>
      <c r="CNG16" s="508" t="s">
        <v>581</v>
      </c>
      <c r="CNH16" s="508" t="s">
        <v>581</v>
      </c>
      <c r="CNI16" s="508" t="s">
        <v>581</v>
      </c>
      <c r="CNJ16" s="508" t="s">
        <v>581</v>
      </c>
      <c r="CNK16" s="508" t="s">
        <v>581</v>
      </c>
      <c r="CNL16" s="508" t="s">
        <v>581</v>
      </c>
      <c r="CNM16" s="508" t="s">
        <v>581</v>
      </c>
      <c r="CNN16" s="508" t="s">
        <v>581</v>
      </c>
      <c r="CNO16" s="508" t="s">
        <v>581</v>
      </c>
      <c r="CNP16" s="508" t="s">
        <v>581</v>
      </c>
      <c r="CNQ16" s="508" t="s">
        <v>581</v>
      </c>
      <c r="CNR16" s="508" t="s">
        <v>581</v>
      </c>
      <c r="CNS16" s="508" t="s">
        <v>581</v>
      </c>
      <c r="CNT16" s="508" t="s">
        <v>581</v>
      </c>
      <c r="CNU16" s="508" t="s">
        <v>581</v>
      </c>
      <c r="CNV16" s="508" t="s">
        <v>581</v>
      </c>
      <c r="CNW16" s="508" t="s">
        <v>581</v>
      </c>
      <c r="CNX16" s="508" t="s">
        <v>581</v>
      </c>
      <c r="CNY16" s="508" t="s">
        <v>581</v>
      </c>
      <c r="CNZ16" s="508" t="s">
        <v>581</v>
      </c>
      <c r="COA16" s="508" t="s">
        <v>581</v>
      </c>
      <c r="COB16" s="508" t="s">
        <v>581</v>
      </c>
      <c r="COC16" s="508" t="s">
        <v>581</v>
      </c>
      <c r="COD16" s="508" t="s">
        <v>581</v>
      </c>
      <c r="COE16" s="508" t="s">
        <v>581</v>
      </c>
      <c r="COF16" s="508" t="s">
        <v>581</v>
      </c>
      <c r="COG16" s="508" t="s">
        <v>581</v>
      </c>
      <c r="COH16" s="508" t="s">
        <v>581</v>
      </c>
      <c r="COI16" s="508" t="s">
        <v>581</v>
      </c>
      <c r="COJ16" s="508" t="s">
        <v>581</v>
      </c>
      <c r="COK16" s="508" t="s">
        <v>581</v>
      </c>
      <c r="COL16" s="508" t="s">
        <v>581</v>
      </c>
      <c r="COM16" s="508" t="s">
        <v>581</v>
      </c>
      <c r="CON16" s="508" t="s">
        <v>581</v>
      </c>
      <c r="COO16" s="508" t="s">
        <v>581</v>
      </c>
      <c r="COP16" s="508" t="s">
        <v>581</v>
      </c>
      <c r="COQ16" s="508" t="s">
        <v>581</v>
      </c>
      <c r="COR16" s="508" t="s">
        <v>581</v>
      </c>
      <c r="COS16" s="508" t="s">
        <v>581</v>
      </c>
      <c r="COT16" s="508" t="s">
        <v>581</v>
      </c>
      <c r="COU16" s="508" t="s">
        <v>581</v>
      </c>
      <c r="COV16" s="508" t="s">
        <v>581</v>
      </c>
      <c r="COW16" s="508" t="s">
        <v>581</v>
      </c>
      <c r="COX16" s="508" t="s">
        <v>581</v>
      </c>
      <c r="COY16" s="508" t="s">
        <v>581</v>
      </c>
      <c r="COZ16" s="508" t="s">
        <v>581</v>
      </c>
      <c r="CPA16" s="508" t="s">
        <v>581</v>
      </c>
      <c r="CPB16" s="508" t="s">
        <v>581</v>
      </c>
      <c r="CPC16" s="508" t="s">
        <v>581</v>
      </c>
      <c r="CPD16" s="508" t="s">
        <v>581</v>
      </c>
      <c r="CPE16" s="508" t="s">
        <v>581</v>
      </c>
      <c r="CPF16" s="508" t="s">
        <v>581</v>
      </c>
      <c r="CPG16" s="508" t="s">
        <v>581</v>
      </c>
      <c r="CPH16" s="508" t="s">
        <v>581</v>
      </c>
      <c r="CPI16" s="508" t="s">
        <v>581</v>
      </c>
      <c r="CPJ16" s="508" t="s">
        <v>581</v>
      </c>
      <c r="CPK16" s="508" t="s">
        <v>581</v>
      </c>
      <c r="CPL16" s="508" t="s">
        <v>581</v>
      </c>
      <c r="CPM16" s="508" t="s">
        <v>581</v>
      </c>
      <c r="CPN16" s="508" t="s">
        <v>581</v>
      </c>
      <c r="CPO16" s="508" t="s">
        <v>581</v>
      </c>
      <c r="CPP16" s="508" t="s">
        <v>581</v>
      </c>
      <c r="CPQ16" s="508" t="s">
        <v>581</v>
      </c>
      <c r="CPR16" s="508" t="s">
        <v>581</v>
      </c>
      <c r="CPS16" s="508" t="s">
        <v>581</v>
      </c>
      <c r="CPT16" s="508" t="s">
        <v>581</v>
      </c>
      <c r="CPU16" s="508" t="s">
        <v>581</v>
      </c>
      <c r="CPV16" s="508" t="s">
        <v>581</v>
      </c>
      <c r="CPW16" s="508" t="s">
        <v>581</v>
      </c>
      <c r="CPX16" s="508" t="s">
        <v>581</v>
      </c>
      <c r="CPY16" s="508" t="s">
        <v>581</v>
      </c>
      <c r="CPZ16" s="508" t="s">
        <v>581</v>
      </c>
      <c r="CQA16" s="508" t="s">
        <v>581</v>
      </c>
      <c r="CQB16" s="508" t="s">
        <v>581</v>
      </c>
      <c r="CQC16" s="508" t="s">
        <v>581</v>
      </c>
      <c r="CQD16" s="508" t="s">
        <v>581</v>
      </c>
      <c r="CQE16" s="508" t="s">
        <v>581</v>
      </c>
      <c r="CQF16" s="508" t="s">
        <v>581</v>
      </c>
      <c r="CQG16" s="508" t="s">
        <v>581</v>
      </c>
      <c r="CQH16" s="508" t="s">
        <v>581</v>
      </c>
      <c r="CQI16" s="508" t="s">
        <v>581</v>
      </c>
      <c r="CQJ16" s="508" t="s">
        <v>581</v>
      </c>
      <c r="CQK16" s="508" t="s">
        <v>581</v>
      </c>
      <c r="CQL16" s="508" t="s">
        <v>581</v>
      </c>
      <c r="CQM16" s="508" t="s">
        <v>581</v>
      </c>
      <c r="CQN16" s="508" t="s">
        <v>581</v>
      </c>
      <c r="CQO16" s="508" t="s">
        <v>581</v>
      </c>
      <c r="CQP16" s="508" t="s">
        <v>581</v>
      </c>
      <c r="CQQ16" s="508" t="s">
        <v>581</v>
      </c>
      <c r="CQR16" s="508" t="s">
        <v>581</v>
      </c>
      <c r="CQS16" s="508" t="s">
        <v>581</v>
      </c>
      <c r="CQT16" s="508" t="s">
        <v>581</v>
      </c>
      <c r="CQU16" s="508" t="s">
        <v>581</v>
      </c>
      <c r="CQV16" s="508" t="s">
        <v>581</v>
      </c>
      <c r="CQW16" s="508" t="s">
        <v>581</v>
      </c>
      <c r="CQX16" s="508" t="s">
        <v>581</v>
      </c>
      <c r="CQY16" s="508" t="s">
        <v>581</v>
      </c>
      <c r="CQZ16" s="508" t="s">
        <v>581</v>
      </c>
      <c r="CRA16" s="508" t="s">
        <v>581</v>
      </c>
      <c r="CRB16" s="508" t="s">
        <v>581</v>
      </c>
      <c r="CRC16" s="508" t="s">
        <v>581</v>
      </c>
      <c r="CRD16" s="508" t="s">
        <v>581</v>
      </c>
      <c r="CRE16" s="508" t="s">
        <v>581</v>
      </c>
      <c r="CRF16" s="508" t="s">
        <v>581</v>
      </c>
      <c r="CRG16" s="508" t="s">
        <v>581</v>
      </c>
      <c r="CRH16" s="508" t="s">
        <v>581</v>
      </c>
      <c r="CRI16" s="508" t="s">
        <v>581</v>
      </c>
      <c r="CRJ16" s="508" t="s">
        <v>581</v>
      </c>
      <c r="CRK16" s="508" t="s">
        <v>581</v>
      </c>
      <c r="CRL16" s="508" t="s">
        <v>581</v>
      </c>
      <c r="CRM16" s="508" t="s">
        <v>581</v>
      </c>
      <c r="CRN16" s="508" t="s">
        <v>581</v>
      </c>
      <c r="CRO16" s="508" t="s">
        <v>581</v>
      </c>
      <c r="CRP16" s="508" t="s">
        <v>581</v>
      </c>
      <c r="CRQ16" s="508" t="s">
        <v>581</v>
      </c>
      <c r="CRR16" s="508" t="s">
        <v>581</v>
      </c>
      <c r="CRS16" s="508" t="s">
        <v>581</v>
      </c>
      <c r="CRT16" s="508" t="s">
        <v>581</v>
      </c>
      <c r="CRU16" s="508" t="s">
        <v>581</v>
      </c>
      <c r="CRV16" s="508" t="s">
        <v>581</v>
      </c>
      <c r="CRW16" s="508" t="s">
        <v>581</v>
      </c>
      <c r="CRX16" s="508" t="s">
        <v>581</v>
      </c>
      <c r="CRY16" s="508" t="s">
        <v>581</v>
      </c>
      <c r="CRZ16" s="508" t="s">
        <v>581</v>
      </c>
      <c r="CSA16" s="508" t="s">
        <v>581</v>
      </c>
      <c r="CSB16" s="508" t="s">
        <v>581</v>
      </c>
      <c r="CSC16" s="508" t="s">
        <v>581</v>
      </c>
      <c r="CSD16" s="508" t="s">
        <v>581</v>
      </c>
      <c r="CSE16" s="508" t="s">
        <v>581</v>
      </c>
      <c r="CSF16" s="508" t="s">
        <v>581</v>
      </c>
      <c r="CSG16" s="508" t="s">
        <v>581</v>
      </c>
      <c r="CSH16" s="508" t="s">
        <v>581</v>
      </c>
      <c r="CSI16" s="508" t="s">
        <v>581</v>
      </c>
      <c r="CSJ16" s="508" t="s">
        <v>581</v>
      </c>
      <c r="CSK16" s="508" t="s">
        <v>581</v>
      </c>
      <c r="CSL16" s="508" t="s">
        <v>581</v>
      </c>
      <c r="CSM16" s="508" t="s">
        <v>581</v>
      </c>
      <c r="CSN16" s="508" t="s">
        <v>581</v>
      </c>
      <c r="CSO16" s="508" t="s">
        <v>581</v>
      </c>
      <c r="CSP16" s="508" t="s">
        <v>581</v>
      </c>
      <c r="CSQ16" s="508" t="s">
        <v>581</v>
      </c>
      <c r="CSR16" s="508" t="s">
        <v>581</v>
      </c>
      <c r="CSS16" s="508" t="s">
        <v>581</v>
      </c>
      <c r="CST16" s="508" t="s">
        <v>581</v>
      </c>
      <c r="CSU16" s="508" t="s">
        <v>581</v>
      </c>
      <c r="CSV16" s="508" t="s">
        <v>581</v>
      </c>
      <c r="CSW16" s="508" t="s">
        <v>581</v>
      </c>
      <c r="CSX16" s="508" t="s">
        <v>581</v>
      </c>
      <c r="CSY16" s="508" t="s">
        <v>581</v>
      </c>
      <c r="CSZ16" s="508" t="s">
        <v>581</v>
      </c>
      <c r="CTA16" s="508" t="s">
        <v>581</v>
      </c>
      <c r="CTB16" s="508" t="s">
        <v>581</v>
      </c>
      <c r="CTC16" s="508" t="s">
        <v>581</v>
      </c>
      <c r="CTD16" s="508" t="s">
        <v>581</v>
      </c>
      <c r="CTE16" s="508" t="s">
        <v>581</v>
      </c>
      <c r="CTF16" s="508" t="s">
        <v>581</v>
      </c>
      <c r="CTG16" s="508" t="s">
        <v>581</v>
      </c>
      <c r="CTH16" s="508" t="s">
        <v>581</v>
      </c>
      <c r="CTI16" s="508" t="s">
        <v>581</v>
      </c>
      <c r="CTJ16" s="508" t="s">
        <v>581</v>
      </c>
      <c r="CTK16" s="508" t="s">
        <v>581</v>
      </c>
      <c r="CTL16" s="508" t="s">
        <v>581</v>
      </c>
      <c r="CTM16" s="508" t="s">
        <v>581</v>
      </c>
      <c r="CTN16" s="508" t="s">
        <v>581</v>
      </c>
      <c r="CTO16" s="508" t="s">
        <v>581</v>
      </c>
      <c r="CTP16" s="508" t="s">
        <v>581</v>
      </c>
      <c r="CTQ16" s="508" t="s">
        <v>581</v>
      </c>
      <c r="CTR16" s="508" t="s">
        <v>581</v>
      </c>
      <c r="CTS16" s="508" t="s">
        <v>581</v>
      </c>
      <c r="CTT16" s="508" t="s">
        <v>581</v>
      </c>
      <c r="CTU16" s="508" t="s">
        <v>581</v>
      </c>
      <c r="CTV16" s="508" t="s">
        <v>581</v>
      </c>
      <c r="CTW16" s="508" t="s">
        <v>581</v>
      </c>
      <c r="CTX16" s="508" t="s">
        <v>581</v>
      </c>
      <c r="CTY16" s="508" t="s">
        <v>581</v>
      </c>
      <c r="CTZ16" s="508" t="s">
        <v>581</v>
      </c>
      <c r="CUA16" s="508" t="s">
        <v>581</v>
      </c>
      <c r="CUB16" s="508" t="s">
        <v>581</v>
      </c>
      <c r="CUC16" s="508" t="s">
        <v>581</v>
      </c>
      <c r="CUD16" s="508" t="s">
        <v>581</v>
      </c>
      <c r="CUE16" s="508" t="s">
        <v>581</v>
      </c>
      <c r="CUF16" s="508" t="s">
        <v>581</v>
      </c>
      <c r="CUG16" s="508" t="s">
        <v>581</v>
      </c>
      <c r="CUH16" s="508" t="s">
        <v>581</v>
      </c>
      <c r="CUI16" s="508" t="s">
        <v>581</v>
      </c>
      <c r="CUJ16" s="508" t="s">
        <v>581</v>
      </c>
      <c r="CUK16" s="508" t="s">
        <v>581</v>
      </c>
      <c r="CUL16" s="508" t="s">
        <v>581</v>
      </c>
      <c r="CUM16" s="508" t="s">
        <v>581</v>
      </c>
      <c r="CUN16" s="508" t="s">
        <v>581</v>
      </c>
      <c r="CUO16" s="508" t="s">
        <v>581</v>
      </c>
      <c r="CUP16" s="508" t="s">
        <v>581</v>
      </c>
      <c r="CUQ16" s="508" t="s">
        <v>581</v>
      </c>
      <c r="CUR16" s="508" t="s">
        <v>581</v>
      </c>
      <c r="CUS16" s="508" t="s">
        <v>581</v>
      </c>
      <c r="CUT16" s="508" t="s">
        <v>581</v>
      </c>
      <c r="CUU16" s="508" t="s">
        <v>581</v>
      </c>
      <c r="CUV16" s="508" t="s">
        <v>581</v>
      </c>
      <c r="CUW16" s="508" t="s">
        <v>581</v>
      </c>
      <c r="CUX16" s="508" t="s">
        <v>581</v>
      </c>
      <c r="CUY16" s="508" t="s">
        <v>581</v>
      </c>
      <c r="CUZ16" s="508" t="s">
        <v>581</v>
      </c>
      <c r="CVA16" s="508" t="s">
        <v>581</v>
      </c>
      <c r="CVB16" s="508" t="s">
        <v>581</v>
      </c>
      <c r="CVC16" s="508" t="s">
        <v>581</v>
      </c>
      <c r="CVD16" s="508" t="s">
        <v>581</v>
      </c>
      <c r="CVE16" s="508" t="s">
        <v>581</v>
      </c>
      <c r="CVF16" s="508" t="s">
        <v>581</v>
      </c>
      <c r="CVG16" s="508" t="s">
        <v>581</v>
      </c>
      <c r="CVH16" s="508" t="s">
        <v>581</v>
      </c>
      <c r="CVI16" s="508" t="s">
        <v>581</v>
      </c>
      <c r="CVJ16" s="508" t="s">
        <v>581</v>
      </c>
      <c r="CVK16" s="508" t="s">
        <v>581</v>
      </c>
      <c r="CVL16" s="508" t="s">
        <v>581</v>
      </c>
      <c r="CVM16" s="508" t="s">
        <v>581</v>
      </c>
      <c r="CVN16" s="508" t="s">
        <v>581</v>
      </c>
      <c r="CVO16" s="508" t="s">
        <v>581</v>
      </c>
      <c r="CVP16" s="508" t="s">
        <v>581</v>
      </c>
      <c r="CVQ16" s="508" t="s">
        <v>581</v>
      </c>
      <c r="CVR16" s="508" t="s">
        <v>581</v>
      </c>
      <c r="CVS16" s="508" t="s">
        <v>581</v>
      </c>
      <c r="CVT16" s="508" t="s">
        <v>581</v>
      </c>
      <c r="CVU16" s="508" t="s">
        <v>581</v>
      </c>
      <c r="CVV16" s="508" t="s">
        <v>581</v>
      </c>
      <c r="CVW16" s="508" t="s">
        <v>581</v>
      </c>
      <c r="CVX16" s="508" t="s">
        <v>581</v>
      </c>
      <c r="CVY16" s="508" t="s">
        <v>581</v>
      </c>
      <c r="CVZ16" s="508" t="s">
        <v>581</v>
      </c>
      <c r="CWA16" s="508" t="s">
        <v>581</v>
      </c>
      <c r="CWB16" s="508" t="s">
        <v>581</v>
      </c>
      <c r="CWC16" s="508" t="s">
        <v>581</v>
      </c>
      <c r="CWD16" s="508" t="s">
        <v>581</v>
      </c>
      <c r="CWE16" s="508" t="s">
        <v>581</v>
      </c>
      <c r="CWF16" s="508" t="s">
        <v>581</v>
      </c>
      <c r="CWG16" s="508" t="s">
        <v>581</v>
      </c>
      <c r="CWH16" s="508" t="s">
        <v>581</v>
      </c>
      <c r="CWI16" s="508" t="s">
        <v>581</v>
      </c>
      <c r="CWJ16" s="508" t="s">
        <v>581</v>
      </c>
      <c r="CWK16" s="508" t="s">
        <v>581</v>
      </c>
      <c r="CWL16" s="508" t="s">
        <v>581</v>
      </c>
      <c r="CWM16" s="508" t="s">
        <v>581</v>
      </c>
      <c r="CWN16" s="508" t="s">
        <v>581</v>
      </c>
      <c r="CWO16" s="508" t="s">
        <v>581</v>
      </c>
      <c r="CWP16" s="508" t="s">
        <v>581</v>
      </c>
      <c r="CWQ16" s="508" t="s">
        <v>581</v>
      </c>
      <c r="CWR16" s="508" t="s">
        <v>581</v>
      </c>
      <c r="CWS16" s="508" t="s">
        <v>581</v>
      </c>
      <c r="CWT16" s="508" t="s">
        <v>581</v>
      </c>
      <c r="CWU16" s="508" t="s">
        <v>581</v>
      </c>
      <c r="CWV16" s="508" t="s">
        <v>581</v>
      </c>
      <c r="CWW16" s="508" t="s">
        <v>581</v>
      </c>
      <c r="CWX16" s="508" t="s">
        <v>581</v>
      </c>
      <c r="CWY16" s="508" t="s">
        <v>581</v>
      </c>
      <c r="CWZ16" s="508" t="s">
        <v>581</v>
      </c>
      <c r="CXA16" s="508" t="s">
        <v>581</v>
      </c>
      <c r="CXB16" s="508" t="s">
        <v>581</v>
      </c>
      <c r="CXC16" s="508" t="s">
        <v>581</v>
      </c>
      <c r="CXD16" s="508" t="s">
        <v>581</v>
      </c>
      <c r="CXE16" s="508" t="s">
        <v>581</v>
      </c>
      <c r="CXF16" s="508" t="s">
        <v>581</v>
      </c>
      <c r="CXG16" s="508" t="s">
        <v>581</v>
      </c>
      <c r="CXH16" s="508" t="s">
        <v>581</v>
      </c>
      <c r="CXI16" s="508" t="s">
        <v>581</v>
      </c>
      <c r="CXJ16" s="508" t="s">
        <v>581</v>
      </c>
      <c r="CXK16" s="508" t="s">
        <v>581</v>
      </c>
      <c r="CXL16" s="508" t="s">
        <v>581</v>
      </c>
      <c r="CXM16" s="508" t="s">
        <v>581</v>
      </c>
      <c r="CXN16" s="508" t="s">
        <v>581</v>
      </c>
      <c r="CXO16" s="508" t="s">
        <v>581</v>
      </c>
      <c r="CXP16" s="508" t="s">
        <v>581</v>
      </c>
      <c r="CXQ16" s="508" t="s">
        <v>581</v>
      </c>
      <c r="CXR16" s="508" t="s">
        <v>581</v>
      </c>
      <c r="CXS16" s="508" t="s">
        <v>581</v>
      </c>
      <c r="CXT16" s="508" t="s">
        <v>581</v>
      </c>
      <c r="CXU16" s="508" t="s">
        <v>581</v>
      </c>
      <c r="CXV16" s="508" t="s">
        <v>581</v>
      </c>
      <c r="CXW16" s="508" t="s">
        <v>581</v>
      </c>
      <c r="CXX16" s="508" t="s">
        <v>581</v>
      </c>
      <c r="CXY16" s="508" t="s">
        <v>581</v>
      </c>
      <c r="CXZ16" s="508" t="s">
        <v>581</v>
      </c>
      <c r="CYA16" s="508" t="s">
        <v>581</v>
      </c>
      <c r="CYB16" s="508" t="s">
        <v>581</v>
      </c>
      <c r="CYC16" s="508" t="s">
        <v>581</v>
      </c>
      <c r="CYD16" s="508" t="s">
        <v>581</v>
      </c>
      <c r="CYE16" s="508" t="s">
        <v>581</v>
      </c>
      <c r="CYF16" s="508" t="s">
        <v>581</v>
      </c>
      <c r="CYG16" s="508" t="s">
        <v>581</v>
      </c>
      <c r="CYH16" s="508" t="s">
        <v>581</v>
      </c>
      <c r="CYI16" s="508" t="s">
        <v>581</v>
      </c>
      <c r="CYJ16" s="508" t="s">
        <v>581</v>
      </c>
      <c r="CYK16" s="508" t="s">
        <v>581</v>
      </c>
      <c r="CYL16" s="508" t="s">
        <v>581</v>
      </c>
      <c r="CYM16" s="508" t="s">
        <v>581</v>
      </c>
      <c r="CYN16" s="508" t="s">
        <v>581</v>
      </c>
      <c r="CYO16" s="508" t="s">
        <v>581</v>
      </c>
      <c r="CYP16" s="508" t="s">
        <v>581</v>
      </c>
      <c r="CYQ16" s="508" t="s">
        <v>581</v>
      </c>
      <c r="CYR16" s="508" t="s">
        <v>581</v>
      </c>
      <c r="CYS16" s="508" t="s">
        <v>581</v>
      </c>
      <c r="CYT16" s="508" t="s">
        <v>581</v>
      </c>
      <c r="CYU16" s="508" t="s">
        <v>581</v>
      </c>
      <c r="CYV16" s="508" t="s">
        <v>581</v>
      </c>
      <c r="CYW16" s="508" t="s">
        <v>581</v>
      </c>
      <c r="CYX16" s="508" t="s">
        <v>581</v>
      </c>
      <c r="CYY16" s="508" t="s">
        <v>581</v>
      </c>
      <c r="CYZ16" s="508" t="s">
        <v>581</v>
      </c>
      <c r="CZA16" s="508" t="s">
        <v>581</v>
      </c>
      <c r="CZB16" s="508" t="s">
        <v>581</v>
      </c>
      <c r="CZC16" s="508" t="s">
        <v>581</v>
      </c>
      <c r="CZD16" s="508" t="s">
        <v>581</v>
      </c>
      <c r="CZE16" s="508" t="s">
        <v>581</v>
      </c>
      <c r="CZF16" s="508" t="s">
        <v>581</v>
      </c>
      <c r="CZG16" s="508" t="s">
        <v>581</v>
      </c>
      <c r="CZH16" s="508" t="s">
        <v>581</v>
      </c>
      <c r="CZI16" s="508" t="s">
        <v>581</v>
      </c>
      <c r="CZJ16" s="508" t="s">
        <v>581</v>
      </c>
      <c r="CZK16" s="508" t="s">
        <v>581</v>
      </c>
      <c r="CZL16" s="508" t="s">
        <v>581</v>
      </c>
      <c r="CZM16" s="508" t="s">
        <v>581</v>
      </c>
      <c r="CZN16" s="508" t="s">
        <v>581</v>
      </c>
      <c r="CZO16" s="508" t="s">
        <v>581</v>
      </c>
      <c r="CZP16" s="508" t="s">
        <v>581</v>
      </c>
      <c r="CZQ16" s="508" t="s">
        <v>581</v>
      </c>
      <c r="CZR16" s="508" t="s">
        <v>581</v>
      </c>
      <c r="CZS16" s="508" t="s">
        <v>581</v>
      </c>
      <c r="CZT16" s="508" t="s">
        <v>581</v>
      </c>
      <c r="CZU16" s="508" t="s">
        <v>581</v>
      </c>
      <c r="CZV16" s="508" t="s">
        <v>581</v>
      </c>
      <c r="CZW16" s="508" t="s">
        <v>581</v>
      </c>
      <c r="CZX16" s="508" t="s">
        <v>581</v>
      </c>
      <c r="CZY16" s="508" t="s">
        <v>581</v>
      </c>
      <c r="CZZ16" s="508" t="s">
        <v>581</v>
      </c>
      <c r="DAA16" s="508" t="s">
        <v>581</v>
      </c>
      <c r="DAB16" s="508" t="s">
        <v>581</v>
      </c>
      <c r="DAC16" s="508" t="s">
        <v>581</v>
      </c>
      <c r="DAD16" s="508" t="s">
        <v>581</v>
      </c>
      <c r="DAE16" s="508" t="s">
        <v>581</v>
      </c>
      <c r="DAF16" s="508" t="s">
        <v>581</v>
      </c>
      <c r="DAG16" s="508" t="s">
        <v>581</v>
      </c>
      <c r="DAH16" s="508" t="s">
        <v>581</v>
      </c>
      <c r="DAI16" s="508" t="s">
        <v>581</v>
      </c>
      <c r="DAJ16" s="508" t="s">
        <v>581</v>
      </c>
      <c r="DAK16" s="508" t="s">
        <v>581</v>
      </c>
      <c r="DAL16" s="508" t="s">
        <v>581</v>
      </c>
      <c r="DAM16" s="508" t="s">
        <v>581</v>
      </c>
      <c r="DAN16" s="508" t="s">
        <v>581</v>
      </c>
      <c r="DAO16" s="508" t="s">
        <v>581</v>
      </c>
      <c r="DAP16" s="508" t="s">
        <v>581</v>
      </c>
      <c r="DAQ16" s="508" t="s">
        <v>581</v>
      </c>
      <c r="DAR16" s="508" t="s">
        <v>581</v>
      </c>
      <c r="DAS16" s="508" t="s">
        <v>581</v>
      </c>
      <c r="DAT16" s="508" t="s">
        <v>581</v>
      </c>
      <c r="DAU16" s="508" t="s">
        <v>581</v>
      </c>
      <c r="DAV16" s="508" t="s">
        <v>581</v>
      </c>
      <c r="DAW16" s="508" t="s">
        <v>581</v>
      </c>
      <c r="DAX16" s="508" t="s">
        <v>581</v>
      </c>
      <c r="DAY16" s="508" t="s">
        <v>581</v>
      </c>
      <c r="DAZ16" s="508" t="s">
        <v>581</v>
      </c>
      <c r="DBA16" s="508" t="s">
        <v>581</v>
      </c>
      <c r="DBB16" s="508" t="s">
        <v>581</v>
      </c>
      <c r="DBC16" s="508" t="s">
        <v>581</v>
      </c>
      <c r="DBD16" s="508" t="s">
        <v>581</v>
      </c>
      <c r="DBE16" s="508" t="s">
        <v>581</v>
      </c>
      <c r="DBF16" s="508" t="s">
        <v>581</v>
      </c>
      <c r="DBG16" s="508" t="s">
        <v>581</v>
      </c>
      <c r="DBH16" s="508" t="s">
        <v>581</v>
      </c>
      <c r="DBI16" s="508" t="s">
        <v>581</v>
      </c>
      <c r="DBJ16" s="508" t="s">
        <v>581</v>
      </c>
      <c r="DBK16" s="508" t="s">
        <v>581</v>
      </c>
      <c r="DBL16" s="508" t="s">
        <v>581</v>
      </c>
      <c r="DBM16" s="508" t="s">
        <v>581</v>
      </c>
      <c r="DBN16" s="508" t="s">
        <v>581</v>
      </c>
      <c r="DBO16" s="508" t="s">
        <v>581</v>
      </c>
      <c r="DBP16" s="508" t="s">
        <v>581</v>
      </c>
      <c r="DBQ16" s="508" t="s">
        <v>581</v>
      </c>
      <c r="DBR16" s="508" t="s">
        <v>581</v>
      </c>
      <c r="DBS16" s="508" t="s">
        <v>581</v>
      </c>
      <c r="DBT16" s="508" t="s">
        <v>581</v>
      </c>
      <c r="DBU16" s="508" t="s">
        <v>581</v>
      </c>
      <c r="DBV16" s="508" t="s">
        <v>581</v>
      </c>
      <c r="DBW16" s="508" t="s">
        <v>581</v>
      </c>
      <c r="DBX16" s="508" t="s">
        <v>581</v>
      </c>
      <c r="DBY16" s="508" t="s">
        <v>581</v>
      </c>
      <c r="DBZ16" s="508" t="s">
        <v>581</v>
      </c>
      <c r="DCA16" s="508" t="s">
        <v>581</v>
      </c>
      <c r="DCB16" s="508" t="s">
        <v>581</v>
      </c>
      <c r="DCC16" s="508" t="s">
        <v>581</v>
      </c>
      <c r="DCD16" s="508" t="s">
        <v>581</v>
      </c>
      <c r="DCE16" s="508" t="s">
        <v>581</v>
      </c>
      <c r="DCF16" s="508" t="s">
        <v>581</v>
      </c>
      <c r="DCG16" s="508" t="s">
        <v>581</v>
      </c>
      <c r="DCH16" s="508" t="s">
        <v>581</v>
      </c>
      <c r="DCI16" s="508" t="s">
        <v>581</v>
      </c>
      <c r="DCJ16" s="508" t="s">
        <v>581</v>
      </c>
      <c r="DCK16" s="508" t="s">
        <v>581</v>
      </c>
      <c r="DCL16" s="508" t="s">
        <v>581</v>
      </c>
      <c r="DCM16" s="508" t="s">
        <v>581</v>
      </c>
      <c r="DCN16" s="508" t="s">
        <v>581</v>
      </c>
      <c r="DCO16" s="508" t="s">
        <v>581</v>
      </c>
      <c r="DCP16" s="508" t="s">
        <v>581</v>
      </c>
      <c r="DCQ16" s="508" t="s">
        <v>581</v>
      </c>
      <c r="DCR16" s="508" t="s">
        <v>581</v>
      </c>
      <c r="DCS16" s="508" t="s">
        <v>581</v>
      </c>
      <c r="DCT16" s="508" t="s">
        <v>581</v>
      </c>
      <c r="DCU16" s="508" t="s">
        <v>581</v>
      </c>
      <c r="DCV16" s="508" t="s">
        <v>581</v>
      </c>
      <c r="DCW16" s="508" t="s">
        <v>581</v>
      </c>
      <c r="DCX16" s="508" t="s">
        <v>581</v>
      </c>
      <c r="DCY16" s="508" t="s">
        <v>581</v>
      </c>
      <c r="DCZ16" s="508" t="s">
        <v>581</v>
      </c>
      <c r="DDA16" s="508" t="s">
        <v>581</v>
      </c>
      <c r="DDB16" s="508" t="s">
        <v>581</v>
      </c>
      <c r="DDC16" s="508" t="s">
        <v>581</v>
      </c>
      <c r="DDD16" s="508" t="s">
        <v>581</v>
      </c>
      <c r="DDE16" s="508" t="s">
        <v>581</v>
      </c>
      <c r="DDF16" s="508" t="s">
        <v>581</v>
      </c>
      <c r="DDG16" s="508" t="s">
        <v>581</v>
      </c>
      <c r="DDH16" s="508" t="s">
        <v>581</v>
      </c>
      <c r="DDI16" s="508" t="s">
        <v>581</v>
      </c>
      <c r="DDJ16" s="508" t="s">
        <v>581</v>
      </c>
      <c r="DDK16" s="508" t="s">
        <v>581</v>
      </c>
      <c r="DDL16" s="508" t="s">
        <v>581</v>
      </c>
      <c r="DDM16" s="508" t="s">
        <v>581</v>
      </c>
      <c r="DDN16" s="508" t="s">
        <v>581</v>
      </c>
      <c r="DDO16" s="508" t="s">
        <v>581</v>
      </c>
      <c r="DDP16" s="508" t="s">
        <v>581</v>
      </c>
      <c r="DDQ16" s="508" t="s">
        <v>581</v>
      </c>
      <c r="DDR16" s="508" t="s">
        <v>581</v>
      </c>
      <c r="DDS16" s="508" t="s">
        <v>581</v>
      </c>
      <c r="DDT16" s="508" t="s">
        <v>581</v>
      </c>
      <c r="DDU16" s="508" t="s">
        <v>581</v>
      </c>
      <c r="DDV16" s="508" t="s">
        <v>581</v>
      </c>
      <c r="DDW16" s="508" t="s">
        <v>581</v>
      </c>
      <c r="DDX16" s="508" t="s">
        <v>581</v>
      </c>
      <c r="DDY16" s="508" t="s">
        <v>581</v>
      </c>
      <c r="DDZ16" s="508" t="s">
        <v>581</v>
      </c>
      <c r="DEA16" s="508" t="s">
        <v>581</v>
      </c>
      <c r="DEB16" s="508" t="s">
        <v>581</v>
      </c>
      <c r="DEC16" s="508" t="s">
        <v>581</v>
      </c>
      <c r="DED16" s="508" t="s">
        <v>581</v>
      </c>
      <c r="DEE16" s="508" t="s">
        <v>581</v>
      </c>
      <c r="DEF16" s="508" t="s">
        <v>581</v>
      </c>
      <c r="DEG16" s="508" t="s">
        <v>581</v>
      </c>
      <c r="DEH16" s="508" t="s">
        <v>581</v>
      </c>
      <c r="DEI16" s="508" t="s">
        <v>581</v>
      </c>
      <c r="DEJ16" s="508" t="s">
        <v>581</v>
      </c>
      <c r="DEK16" s="508" t="s">
        <v>581</v>
      </c>
      <c r="DEL16" s="508" t="s">
        <v>581</v>
      </c>
      <c r="DEM16" s="508" t="s">
        <v>581</v>
      </c>
      <c r="DEN16" s="508" t="s">
        <v>581</v>
      </c>
      <c r="DEO16" s="508" t="s">
        <v>581</v>
      </c>
      <c r="DEP16" s="508" t="s">
        <v>581</v>
      </c>
      <c r="DEQ16" s="508" t="s">
        <v>581</v>
      </c>
      <c r="DER16" s="508" t="s">
        <v>581</v>
      </c>
      <c r="DES16" s="508" t="s">
        <v>581</v>
      </c>
      <c r="DET16" s="508" t="s">
        <v>581</v>
      </c>
      <c r="DEU16" s="508" t="s">
        <v>581</v>
      </c>
      <c r="DEV16" s="508" t="s">
        <v>581</v>
      </c>
      <c r="DEW16" s="508" t="s">
        <v>581</v>
      </c>
      <c r="DEX16" s="508" t="s">
        <v>581</v>
      </c>
      <c r="DEY16" s="508" t="s">
        <v>581</v>
      </c>
      <c r="DEZ16" s="508" t="s">
        <v>581</v>
      </c>
      <c r="DFA16" s="508" t="s">
        <v>581</v>
      </c>
      <c r="DFB16" s="508" t="s">
        <v>581</v>
      </c>
      <c r="DFC16" s="508" t="s">
        <v>581</v>
      </c>
      <c r="DFD16" s="508" t="s">
        <v>581</v>
      </c>
      <c r="DFE16" s="508" t="s">
        <v>581</v>
      </c>
      <c r="DFF16" s="508" t="s">
        <v>581</v>
      </c>
      <c r="DFG16" s="508" t="s">
        <v>581</v>
      </c>
      <c r="DFH16" s="508" t="s">
        <v>581</v>
      </c>
      <c r="DFI16" s="508" t="s">
        <v>581</v>
      </c>
      <c r="DFJ16" s="508" t="s">
        <v>581</v>
      </c>
      <c r="DFK16" s="508" t="s">
        <v>581</v>
      </c>
      <c r="DFL16" s="508" t="s">
        <v>581</v>
      </c>
      <c r="DFM16" s="508" t="s">
        <v>581</v>
      </c>
      <c r="DFN16" s="508" t="s">
        <v>581</v>
      </c>
      <c r="DFO16" s="508" t="s">
        <v>581</v>
      </c>
      <c r="DFP16" s="508" t="s">
        <v>581</v>
      </c>
      <c r="DFQ16" s="508" t="s">
        <v>581</v>
      </c>
      <c r="DFR16" s="508" t="s">
        <v>581</v>
      </c>
      <c r="DFS16" s="508" t="s">
        <v>581</v>
      </c>
      <c r="DFT16" s="508" t="s">
        <v>581</v>
      </c>
      <c r="DFU16" s="508" t="s">
        <v>581</v>
      </c>
      <c r="DFV16" s="508" t="s">
        <v>581</v>
      </c>
      <c r="DFW16" s="508" t="s">
        <v>581</v>
      </c>
      <c r="DFX16" s="508" t="s">
        <v>581</v>
      </c>
      <c r="DFY16" s="508" t="s">
        <v>581</v>
      </c>
      <c r="DFZ16" s="508" t="s">
        <v>581</v>
      </c>
      <c r="DGA16" s="508" t="s">
        <v>581</v>
      </c>
      <c r="DGB16" s="508" t="s">
        <v>581</v>
      </c>
      <c r="DGC16" s="508" t="s">
        <v>581</v>
      </c>
      <c r="DGD16" s="508" t="s">
        <v>581</v>
      </c>
      <c r="DGE16" s="508" t="s">
        <v>581</v>
      </c>
      <c r="DGF16" s="508" t="s">
        <v>581</v>
      </c>
      <c r="DGG16" s="508" t="s">
        <v>581</v>
      </c>
      <c r="DGH16" s="508" t="s">
        <v>581</v>
      </c>
      <c r="DGI16" s="508" t="s">
        <v>581</v>
      </c>
      <c r="DGJ16" s="508" t="s">
        <v>581</v>
      </c>
      <c r="DGK16" s="508" t="s">
        <v>581</v>
      </c>
      <c r="DGL16" s="508" t="s">
        <v>581</v>
      </c>
      <c r="DGM16" s="508" t="s">
        <v>581</v>
      </c>
      <c r="DGN16" s="508" t="s">
        <v>581</v>
      </c>
      <c r="DGO16" s="508" t="s">
        <v>581</v>
      </c>
      <c r="DGP16" s="508" t="s">
        <v>581</v>
      </c>
      <c r="DGQ16" s="508" t="s">
        <v>581</v>
      </c>
      <c r="DGR16" s="508" t="s">
        <v>581</v>
      </c>
      <c r="DGS16" s="508" t="s">
        <v>581</v>
      </c>
      <c r="DGT16" s="508" t="s">
        <v>581</v>
      </c>
      <c r="DGU16" s="508" t="s">
        <v>581</v>
      </c>
      <c r="DGV16" s="508" t="s">
        <v>581</v>
      </c>
      <c r="DGW16" s="508" t="s">
        <v>581</v>
      </c>
      <c r="DGX16" s="508" t="s">
        <v>581</v>
      </c>
      <c r="DGY16" s="508" t="s">
        <v>581</v>
      </c>
      <c r="DGZ16" s="508" t="s">
        <v>581</v>
      </c>
      <c r="DHA16" s="508" t="s">
        <v>581</v>
      </c>
      <c r="DHB16" s="508" t="s">
        <v>581</v>
      </c>
      <c r="DHC16" s="508" t="s">
        <v>581</v>
      </c>
      <c r="DHD16" s="508" t="s">
        <v>581</v>
      </c>
      <c r="DHE16" s="508" t="s">
        <v>581</v>
      </c>
      <c r="DHF16" s="508" t="s">
        <v>581</v>
      </c>
      <c r="DHG16" s="508" t="s">
        <v>581</v>
      </c>
      <c r="DHH16" s="508" t="s">
        <v>581</v>
      </c>
      <c r="DHI16" s="508" t="s">
        <v>581</v>
      </c>
      <c r="DHJ16" s="508" t="s">
        <v>581</v>
      </c>
      <c r="DHK16" s="508" t="s">
        <v>581</v>
      </c>
      <c r="DHL16" s="508" t="s">
        <v>581</v>
      </c>
      <c r="DHM16" s="508" t="s">
        <v>581</v>
      </c>
      <c r="DHN16" s="508" t="s">
        <v>581</v>
      </c>
      <c r="DHO16" s="508" t="s">
        <v>581</v>
      </c>
      <c r="DHP16" s="508" t="s">
        <v>581</v>
      </c>
      <c r="DHQ16" s="508" t="s">
        <v>581</v>
      </c>
      <c r="DHR16" s="508" t="s">
        <v>581</v>
      </c>
      <c r="DHS16" s="508" t="s">
        <v>581</v>
      </c>
      <c r="DHT16" s="508" t="s">
        <v>581</v>
      </c>
      <c r="DHU16" s="508" t="s">
        <v>581</v>
      </c>
      <c r="DHV16" s="508" t="s">
        <v>581</v>
      </c>
      <c r="DHW16" s="508" t="s">
        <v>581</v>
      </c>
      <c r="DHX16" s="508" t="s">
        <v>581</v>
      </c>
      <c r="DHY16" s="508" t="s">
        <v>581</v>
      </c>
      <c r="DHZ16" s="508" t="s">
        <v>581</v>
      </c>
      <c r="DIA16" s="508" t="s">
        <v>581</v>
      </c>
      <c r="DIB16" s="508" t="s">
        <v>581</v>
      </c>
      <c r="DIC16" s="508" t="s">
        <v>581</v>
      </c>
      <c r="DID16" s="508" t="s">
        <v>581</v>
      </c>
      <c r="DIE16" s="508" t="s">
        <v>581</v>
      </c>
      <c r="DIF16" s="508" t="s">
        <v>581</v>
      </c>
      <c r="DIG16" s="508" t="s">
        <v>581</v>
      </c>
      <c r="DIH16" s="508" t="s">
        <v>581</v>
      </c>
      <c r="DII16" s="508" t="s">
        <v>581</v>
      </c>
      <c r="DIJ16" s="508" t="s">
        <v>581</v>
      </c>
      <c r="DIK16" s="508" t="s">
        <v>581</v>
      </c>
      <c r="DIL16" s="508" t="s">
        <v>581</v>
      </c>
      <c r="DIM16" s="508" t="s">
        <v>581</v>
      </c>
      <c r="DIN16" s="508" t="s">
        <v>581</v>
      </c>
      <c r="DIO16" s="508" t="s">
        <v>581</v>
      </c>
      <c r="DIP16" s="508" t="s">
        <v>581</v>
      </c>
      <c r="DIQ16" s="508" t="s">
        <v>581</v>
      </c>
      <c r="DIR16" s="508" t="s">
        <v>581</v>
      </c>
      <c r="DIS16" s="508" t="s">
        <v>581</v>
      </c>
      <c r="DIT16" s="508" t="s">
        <v>581</v>
      </c>
      <c r="DIU16" s="508" t="s">
        <v>581</v>
      </c>
      <c r="DIV16" s="508" t="s">
        <v>581</v>
      </c>
      <c r="DIW16" s="508" t="s">
        <v>581</v>
      </c>
      <c r="DIX16" s="508" t="s">
        <v>581</v>
      </c>
      <c r="DIY16" s="508" t="s">
        <v>581</v>
      </c>
      <c r="DIZ16" s="508" t="s">
        <v>581</v>
      </c>
      <c r="DJA16" s="508" t="s">
        <v>581</v>
      </c>
      <c r="DJB16" s="508" t="s">
        <v>581</v>
      </c>
      <c r="DJC16" s="508" t="s">
        <v>581</v>
      </c>
      <c r="DJD16" s="508" t="s">
        <v>581</v>
      </c>
      <c r="DJE16" s="508" t="s">
        <v>581</v>
      </c>
      <c r="DJF16" s="508" t="s">
        <v>581</v>
      </c>
      <c r="DJG16" s="508" t="s">
        <v>581</v>
      </c>
      <c r="DJH16" s="508" t="s">
        <v>581</v>
      </c>
      <c r="DJI16" s="508" t="s">
        <v>581</v>
      </c>
      <c r="DJJ16" s="508" t="s">
        <v>581</v>
      </c>
      <c r="DJK16" s="508" t="s">
        <v>581</v>
      </c>
      <c r="DJL16" s="508" t="s">
        <v>581</v>
      </c>
      <c r="DJM16" s="508" t="s">
        <v>581</v>
      </c>
      <c r="DJN16" s="508" t="s">
        <v>581</v>
      </c>
      <c r="DJO16" s="508" t="s">
        <v>581</v>
      </c>
      <c r="DJP16" s="508" t="s">
        <v>581</v>
      </c>
      <c r="DJQ16" s="508" t="s">
        <v>581</v>
      </c>
      <c r="DJR16" s="508" t="s">
        <v>581</v>
      </c>
      <c r="DJS16" s="508" t="s">
        <v>581</v>
      </c>
      <c r="DJT16" s="508" t="s">
        <v>581</v>
      </c>
      <c r="DJU16" s="508" t="s">
        <v>581</v>
      </c>
      <c r="DJV16" s="508" t="s">
        <v>581</v>
      </c>
      <c r="DJW16" s="508" t="s">
        <v>581</v>
      </c>
      <c r="DJX16" s="508" t="s">
        <v>581</v>
      </c>
      <c r="DJY16" s="508" t="s">
        <v>581</v>
      </c>
      <c r="DJZ16" s="508" t="s">
        <v>581</v>
      </c>
      <c r="DKA16" s="508" t="s">
        <v>581</v>
      </c>
      <c r="DKB16" s="508" t="s">
        <v>581</v>
      </c>
      <c r="DKC16" s="508" t="s">
        <v>581</v>
      </c>
      <c r="DKD16" s="508" t="s">
        <v>581</v>
      </c>
      <c r="DKE16" s="508" t="s">
        <v>581</v>
      </c>
      <c r="DKF16" s="508" t="s">
        <v>581</v>
      </c>
      <c r="DKG16" s="508" t="s">
        <v>581</v>
      </c>
      <c r="DKH16" s="508" t="s">
        <v>581</v>
      </c>
      <c r="DKI16" s="508" t="s">
        <v>581</v>
      </c>
      <c r="DKJ16" s="508" t="s">
        <v>581</v>
      </c>
      <c r="DKK16" s="508" t="s">
        <v>581</v>
      </c>
      <c r="DKL16" s="508" t="s">
        <v>581</v>
      </c>
      <c r="DKM16" s="508" t="s">
        <v>581</v>
      </c>
      <c r="DKN16" s="508" t="s">
        <v>581</v>
      </c>
      <c r="DKO16" s="508" t="s">
        <v>581</v>
      </c>
      <c r="DKP16" s="508" t="s">
        <v>581</v>
      </c>
      <c r="DKQ16" s="508" t="s">
        <v>581</v>
      </c>
      <c r="DKR16" s="508" t="s">
        <v>581</v>
      </c>
      <c r="DKS16" s="508" t="s">
        <v>581</v>
      </c>
      <c r="DKT16" s="508" t="s">
        <v>581</v>
      </c>
      <c r="DKU16" s="508" t="s">
        <v>581</v>
      </c>
      <c r="DKV16" s="508" t="s">
        <v>581</v>
      </c>
      <c r="DKW16" s="508" t="s">
        <v>581</v>
      </c>
      <c r="DKX16" s="508" t="s">
        <v>581</v>
      </c>
      <c r="DKY16" s="508" t="s">
        <v>581</v>
      </c>
      <c r="DKZ16" s="508" t="s">
        <v>581</v>
      </c>
      <c r="DLA16" s="508" t="s">
        <v>581</v>
      </c>
      <c r="DLB16" s="508" t="s">
        <v>581</v>
      </c>
      <c r="DLC16" s="508" t="s">
        <v>581</v>
      </c>
      <c r="DLD16" s="508" t="s">
        <v>581</v>
      </c>
      <c r="DLE16" s="508" t="s">
        <v>581</v>
      </c>
      <c r="DLF16" s="508" t="s">
        <v>581</v>
      </c>
      <c r="DLG16" s="508" t="s">
        <v>581</v>
      </c>
      <c r="DLH16" s="508" t="s">
        <v>581</v>
      </c>
      <c r="DLI16" s="508" t="s">
        <v>581</v>
      </c>
      <c r="DLJ16" s="508" t="s">
        <v>581</v>
      </c>
      <c r="DLK16" s="508" t="s">
        <v>581</v>
      </c>
      <c r="DLL16" s="508" t="s">
        <v>581</v>
      </c>
      <c r="DLM16" s="508" t="s">
        <v>581</v>
      </c>
      <c r="DLN16" s="508" t="s">
        <v>581</v>
      </c>
      <c r="DLO16" s="508" t="s">
        <v>581</v>
      </c>
      <c r="DLP16" s="508" t="s">
        <v>581</v>
      </c>
      <c r="DLQ16" s="508" t="s">
        <v>581</v>
      </c>
      <c r="DLR16" s="508" t="s">
        <v>581</v>
      </c>
      <c r="DLS16" s="508" t="s">
        <v>581</v>
      </c>
      <c r="DLT16" s="508" t="s">
        <v>581</v>
      </c>
      <c r="DLU16" s="508" t="s">
        <v>581</v>
      </c>
      <c r="DLV16" s="508" t="s">
        <v>581</v>
      </c>
      <c r="DLW16" s="508" t="s">
        <v>581</v>
      </c>
      <c r="DLX16" s="508" t="s">
        <v>581</v>
      </c>
      <c r="DLY16" s="508" t="s">
        <v>581</v>
      </c>
      <c r="DLZ16" s="508" t="s">
        <v>581</v>
      </c>
      <c r="DMA16" s="508" t="s">
        <v>581</v>
      </c>
      <c r="DMB16" s="508" t="s">
        <v>581</v>
      </c>
      <c r="DMC16" s="508" t="s">
        <v>581</v>
      </c>
      <c r="DMD16" s="508" t="s">
        <v>581</v>
      </c>
      <c r="DME16" s="508" t="s">
        <v>581</v>
      </c>
      <c r="DMF16" s="508" t="s">
        <v>581</v>
      </c>
      <c r="DMG16" s="508" t="s">
        <v>581</v>
      </c>
      <c r="DMH16" s="508" t="s">
        <v>581</v>
      </c>
      <c r="DMI16" s="508" t="s">
        <v>581</v>
      </c>
      <c r="DMJ16" s="508" t="s">
        <v>581</v>
      </c>
      <c r="DMK16" s="508" t="s">
        <v>581</v>
      </c>
      <c r="DML16" s="508" t="s">
        <v>581</v>
      </c>
      <c r="DMM16" s="508" t="s">
        <v>581</v>
      </c>
      <c r="DMN16" s="508" t="s">
        <v>581</v>
      </c>
      <c r="DMO16" s="508" t="s">
        <v>581</v>
      </c>
      <c r="DMP16" s="508" t="s">
        <v>581</v>
      </c>
      <c r="DMQ16" s="508" t="s">
        <v>581</v>
      </c>
      <c r="DMR16" s="508" t="s">
        <v>581</v>
      </c>
      <c r="DMS16" s="508" t="s">
        <v>581</v>
      </c>
      <c r="DMT16" s="508" t="s">
        <v>581</v>
      </c>
      <c r="DMU16" s="508" t="s">
        <v>581</v>
      </c>
      <c r="DMV16" s="508" t="s">
        <v>581</v>
      </c>
      <c r="DMW16" s="508" t="s">
        <v>581</v>
      </c>
      <c r="DMX16" s="508" t="s">
        <v>581</v>
      </c>
      <c r="DMY16" s="508" t="s">
        <v>581</v>
      </c>
      <c r="DMZ16" s="508" t="s">
        <v>581</v>
      </c>
      <c r="DNA16" s="508" t="s">
        <v>581</v>
      </c>
      <c r="DNB16" s="508" t="s">
        <v>581</v>
      </c>
      <c r="DNC16" s="508" t="s">
        <v>581</v>
      </c>
      <c r="DND16" s="508" t="s">
        <v>581</v>
      </c>
      <c r="DNE16" s="508" t="s">
        <v>581</v>
      </c>
      <c r="DNF16" s="508" t="s">
        <v>581</v>
      </c>
      <c r="DNG16" s="508" t="s">
        <v>581</v>
      </c>
      <c r="DNH16" s="508" t="s">
        <v>581</v>
      </c>
      <c r="DNI16" s="508" t="s">
        <v>581</v>
      </c>
      <c r="DNJ16" s="508" t="s">
        <v>581</v>
      </c>
      <c r="DNK16" s="508" t="s">
        <v>581</v>
      </c>
      <c r="DNL16" s="508" t="s">
        <v>581</v>
      </c>
      <c r="DNM16" s="508" t="s">
        <v>581</v>
      </c>
      <c r="DNN16" s="508" t="s">
        <v>581</v>
      </c>
      <c r="DNO16" s="508" t="s">
        <v>581</v>
      </c>
      <c r="DNP16" s="508" t="s">
        <v>581</v>
      </c>
      <c r="DNQ16" s="508" t="s">
        <v>581</v>
      </c>
      <c r="DNR16" s="508" t="s">
        <v>581</v>
      </c>
      <c r="DNS16" s="508" t="s">
        <v>581</v>
      </c>
      <c r="DNT16" s="508" t="s">
        <v>581</v>
      </c>
      <c r="DNU16" s="508" t="s">
        <v>581</v>
      </c>
      <c r="DNV16" s="508" t="s">
        <v>581</v>
      </c>
      <c r="DNW16" s="508" t="s">
        <v>581</v>
      </c>
      <c r="DNX16" s="508" t="s">
        <v>581</v>
      </c>
      <c r="DNY16" s="508" t="s">
        <v>581</v>
      </c>
      <c r="DNZ16" s="508" t="s">
        <v>581</v>
      </c>
      <c r="DOA16" s="508" t="s">
        <v>581</v>
      </c>
      <c r="DOB16" s="508" t="s">
        <v>581</v>
      </c>
      <c r="DOC16" s="508" t="s">
        <v>581</v>
      </c>
      <c r="DOD16" s="508" t="s">
        <v>581</v>
      </c>
      <c r="DOE16" s="508" t="s">
        <v>581</v>
      </c>
      <c r="DOF16" s="508" t="s">
        <v>581</v>
      </c>
      <c r="DOG16" s="508" t="s">
        <v>581</v>
      </c>
      <c r="DOH16" s="508" t="s">
        <v>581</v>
      </c>
      <c r="DOI16" s="508" t="s">
        <v>581</v>
      </c>
      <c r="DOJ16" s="508" t="s">
        <v>581</v>
      </c>
      <c r="DOK16" s="508" t="s">
        <v>581</v>
      </c>
      <c r="DOL16" s="508" t="s">
        <v>581</v>
      </c>
      <c r="DOM16" s="508" t="s">
        <v>581</v>
      </c>
      <c r="DON16" s="508" t="s">
        <v>581</v>
      </c>
      <c r="DOO16" s="508" t="s">
        <v>581</v>
      </c>
      <c r="DOP16" s="508" t="s">
        <v>581</v>
      </c>
      <c r="DOQ16" s="508" t="s">
        <v>581</v>
      </c>
      <c r="DOR16" s="508" t="s">
        <v>581</v>
      </c>
      <c r="DOS16" s="508" t="s">
        <v>581</v>
      </c>
      <c r="DOT16" s="508" t="s">
        <v>581</v>
      </c>
      <c r="DOU16" s="508" t="s">
        <v>581</v>
      </c>
      <c r="DOV16" s="508" t="s">
        <v>581</v>
      </c>
      <c r="DOW16" s="508" t="s">
        <v>581</v>
      </c>
      <c r="DOX16" s="508" t="s">
        <v>581</v>
      </c>
      <c r="DOY16" s="508" t="s">
        <v>581</v>
      </c>
      <c r="DOZ16" s="508" t="s">
        <v>581</v>
      </c>
      <c r="DPA16" s="508" t="s">
        <v>581</v>
      </c>
      <c r="DPB16" s="508" t="s">
        <v>581</v>
      </c>
      <c r="DPC16" s="508" t="s">
        <v>581</v>
      </c>
      <c r="DPD16" s="508" t="s">
        <v>581</v>
      </c>
      <c r="DPE16" s="508" t="s">
        <v>581</v>
      </c>
      <c r="DPF16" s="508" t="s">
        <v>581</v>
      </c>
      <c r="DPG16" s="508" t="s">
        <v>581</v>
      </c>
      <c r="DPH16" s="508" t="s">
        <v>581</v>
      </c>
      <c r="DPI16" s="508" t="s">
        <v>581</v>
      </c>
      <c r="DPJ16" s="508" t="s">
        <v>581</v>
      </c>
      <c r="DPK16" s="508" t="s">
        <v>581</v>
      </c>
      <c r="DPL16" s="508" t="s">
        <v>581</v>
      </c>
      <c r="DPM16" s="508" t="s">
        <v>581</v>
      </c>
      <c r="DPN16" s="508" t="s">
        <v>581</v>
      </c>
      <c r="DPO16" s="508" t="s">
        <v>581</v>
      </c>
      <c r="DPP16" s="508" t="s">
        <v>581</v>
      </c>
      <c r="DPQ16" s="508" t="s">
        <v>581</v>
      </c>
      <c r="DPR16" s="508" t="s">
        <v>581</v>
      </c>
      <c r="DPS16" s="508" t="s">
        <v>581</v>
      </c>
      <c r="DPT16" s="508" t="s">
        <v>581</v>
      </c>
      <c r="DPU16" s="508" t="s">
        <v>581</v>
      </c>
      <c r="DPV16" s="508" t="s">
        <v>581</v>
      </c>
      <c r="DPW16" s="508" t="s">
        <v>581</v>
      </c>
      <c r="DPX16" s="508" t="s">
        <v>581</v>
      </c>
      <c r="DPY16" s="508" t="s">
        <v>581</v>
      </c>
      <c r="DPZ16" s="508" t="s">
        <v>581</v>
      </c>
      <c r="DQA16" s="508" t="s">
        <v>581</v>
      </c>
      <c r="DQB16" s="508" t="s">
        <v>581</v>
      </c>
      <c r="DQC16" s="508" t="s">
        <v>581</v>
      </c>
      <c r="DQD16" s="508" t="s">
        <v>581</v>
      </c>
      <c r="DQE16" s="508" t="s">
        <v>581</v>
      </c>
      <c r="DQF16" s="508" t="s">
        <v>581</v>
      </c>
      <c r="DQG16" s="508" t="s">
        <v>581</v>
      </c>
      <c r="DQH16" s="508" t="s">
        <v>581</v>
      </c>
      <c r="DQI16" s="508" t="s">
        <v>581</v>
      </c>
      <c r="DQJ16" s="508" t="s">
        <v>581</v>
      </c>
      <c r="DQK16" s="508" t="s">
        <v>581</v>
      </c>
      <c r="DQL16" s="508" t="s">
        <v>581</v>
      </c>
      <c r="DQM16" s="508" t="s">
        <v>581</v>
      </c>
      <c r="DQN16" s="508" t="s">
        <v>581</v>
      </c>
      <c r="DQO16" s="508" t="s">
        <v>581</v>
      </c>
      <c r="DQP16" s="508" t="s">
        <v>581</v>
      </c>
      <c r="DQQ16" s="508" t="s">
        <v>581</v>
      </c>
      <c r="DQR16" s="508" t="s">
        <v>581</v>
      </c>
      <c r="DQS16" s="508" t="s">
        <v>581</v>
      </c>
      <c r="DQT16" s="508" t="s">
        <v>581</v>
      </c>
      <c r="DQU16" s="508" t="s">
        <v>581</v>
      </c>
      <c r="DQV16" s="508" t="s">
        <v>581</v>
      </c>
      <c r="DQW16" s="508" t="s">
        <v>581</v>
      </c>
      <c r="DQX16" s="508" t="s">
        <v>581</v>
      </c>
      <c r="DQY16" s="508" t="s">
        <v>581</v>
      </c>
      <c r="DQZ16" s="508" t="s">
        <v>581</v>
      </c>
      <c r="DRA16" s="508" t="s">
        <v>581</v>
      </c>
      <c r="DRB16" s="508" t="s">
        <v>581</v>
      </c>
      <c r="DRC16" s="508" t="s">
        <v>581</v>
      </c>
      <c r="DRD16" s="508" t="s">
        <v>581</v>
      </c>
      <c r="DRE16" s="508" t="s">
        <v>581</v>
      </c>
      <c r="DRF16" s="508" t="s">
        <v>581</v>
      </c>
      <c r="DRG16" s="508" t="s">
        <v>581</v>
      </c>
      <c r="DRH16" s="508" t="s">
        <v>581</v>
      </c>
      <c r="DRI16" s="508" t="s">
        <v>581</v>
      </c>
      <c r="DRJ16" s="508" t="s">
        <v>581</v>
      </c>
      <c r="DRK16" s="508" t="s">
        <v>581</v>
      </c>
      <c r="DRL16" s="508" t="s">
        <v>581</v>
      </c>
      <c r="DRM16" s="508" t="s">
        <v>581</v>
      </c>
      <c r="DRN16" s="508" t="s">
        <v>581</v>
      </c>
      <c r="DRO16" s="508" t="s">
        <v>581</v>
      </c>
      <c r="DRP16" s="508" t="s">
        <v>581</v>
      </c>
      <c r="DRQ16" s="508" t="s">
        <v>581</v>
      </c>
      <c r="DRR16" s="508" t="s">
        <v>581</v>
      </c>
      <c r="DRS16" s="508" t="s">
        <v>581</v>
      </c>
      <c r="DRT16" s="508" t="s">
        <v>581</v>
      </c>
      <c r="DRU16" s="508" t="s">
        <v>581</v>
      </c>
      <c r="DRV16" s="508" t="s">
        <v>581</v>
      </c>
      <c r="DRW16" s="508" t="s">
        <v>581</v>
      </c>
      <c r="DRX16" s="508" t="s">
        <v>581</v>
      </c>
      <c r="DRY16" s="508" t="s">
        <v>581</v>
      </c>
      <c r="DRZ16" s="508" t="s">
        <v>581</v>
      </c>
      <c r="DSA16" s="508" t="s">
        <v>581</v>
      </c>
      <c r="DSB16" s="508" t="s">
        <v>581</v>
      </c>
      <c r="DSC16" s="508" t="s">
        <v>581</v>
      </c>
      <c r="DSD16" s="508" t="s">
        <v>581</v>
      </c>
      <c r="DSE16" s="508" t="s">
        <v>581</v>
      </c>
      <c r="DSF16" s="508" t="s">
        <v>581</v>
      </c>
      <c r="DSG16" s="508" t="s">
        <v>581</v>
      </c>
      <c r="DSH16" s="508" t="s">
        <v>581</v>
      </c>
      <c r="DSI16" s="508" t="s">
        <v>581</v>
      </c>
      <c r="DSJ16" s="508" t="s">
        <v>581</v>
      </c>
      <c r="DSK16" s="508" t="s">
        <v>581</v>
      </c>
      <c r="DSL16" s="508" t="s">
        <v>581</v>
      </c>
      <c r="DSM16" s="508" t="s">
        <v>581</v>
      </c>
      <c r="DSN16" s="508" t="s">
        <v>581</v>
      </c>
      <c r="DSO16" s="508" t="s">
        <v>581</v>
      </c>
      <c r="DSP16" s="508" t="s">
        <v>581</v>
      </c>
      <c r="DSQ16" s="508" t="s">
        <v>581</v>
      </c>
      <c r="DSR16" s="508" t="s">
        <v>581</v>
      </c>
      <c r="DSS16" s="508" t="s">
        <v>581</v>
      </c>
      <c r="DST16" s="508" t="s">
        <v>581</v>
      </c>
      <c r="DSU16" s="508" t="s">
        <v>581</v>
      </c>
      <c r="DSV16" s="508" t="s">
        <v>581</v>
      </c>
      <c r="DSW16" s="508" t="s">
        <v>581</v>
      </c>
      <c r="DSX16" s="508" t="s">
        <v>581</v>
      </c>
      <c r="DSY16" s="508" t="s">
        <v>581</v>
      </c>
      <c r="DSZ16" s="508" t="s">
        <v>581</v>
      </c>
      <c r="DTA16" s="508" t="s">
        <v>581</v>
      </c>
      <c r="DTB16" s="508" t="s">
        <v>581</v>
      </c>
      <c r="DTC16" s="508" t="s">
        <v>581</v>
      </c>
      <c r="DTD16" s="508" t="s">
        <v>581</v>
      </c>
      <c r="DTE16" s="508" t="s">
        <v>581</v>
      </c>
      <c r="DTF16" s="508" t="s">
        <v>581</v>
      </c>
      <c r="DTG16" s="508" t="s">
        <v>581</v>
      </c>
      <c r="DTH16" s="508" t="s">
        <v>581</v>
      </c>
      <c r="DTI16" s="508" t="s">
        <v>581</v>
      </c>
      <c r="DTJ16" s="508" t="s">
        <v>581</v>
      </c>
      <c r="DTK16" s="508" t="s">
        <v>581</v>
      </c>
      <c r="DTL16" s="508" t="s">
        <v>581</v>
      </c>
      <c r="DTM16" s="508" t="s">
        <v>581</v>
      </c>
      <c r="DTN16" s="508" t="s">
        <v>581</v>
      </c>
      <c r="DTO16" s="508" t="s">
        <v>581</v>
      </c>
      <c r="DTP16" s="508" t="s">
        <v>581</v>
      </c>
      <c r="DTQ16" s="508" t="s">
        <v>581</v>
      </c>
      <c r="DTR16" s="508" t="s">
        <v>581</v>
      </c>
      <c r="DTS16" s="508" t="s">
        <v>581</v>
      </c>
      <c r="DTT16" s="508" t="s">
        <v>581</v>
      </c>
      <c r="DTU16" s="508" t="s">
        <v>581</v>
      </c>
      <c r="DTV16" s="508" t="s">
        <v>581</v>
      </c>
      <c r="DTW16" s="508" t="s">
        <v>581</v>
      </c>
      <c r="DTX16" s="508" t="s">
        <v>581</v>
      </c>
      <c r="DTY16" s="508" t="s">
        <v>581</v>
      </c>
      <c r="DTZ16" s="508" t="s">
        <v>581</v>
      </c>
      <c r="DUA16" s="508" t="s">
        <v>581</v>
      </c>
      <c r="DUB16" s="508" t="s">
        <v>581</v>
      </c>
      <c r="DUC16" s="508" t="s">
        <v>581</v>
      </c>
      <c r="DUD16" s="508" t="s">
        <v>581</v>
      </c>
      <c r="DUE16" s="508" t="s">
        <v>581</v>
      </c>
      <c r="DUF16" s="508" t="s">
        <v>581</v>
      </c>
      <c r="DUG16" s="508" t="s">
        <v>581</v>
      </c>
      <c r="DUH16" s="508" t="s">
        <v>581</v>
      </c>
      <c r="DUI16" s="508" t="s">
        <v>581</v>
      </c>
      <c r="DUJ16" s="508" t="s">
        <v>581</v>
      </c>
      <c r="DUK16" s="508" t="s">
        <v>581</v>
      </c>
      <c r="DUL16" s="508" t="s">
        <v>581</v>
      </c>
      <c r="DUM16" s="508" t="s">
        <v>581</v>
      </c>
      <c r="DUN16" s="508" t="s">
        <v>581</v>
      </c>
      <c r="DUO16" s="508" t="s">
        <v>581</v>
      </c>
      <c r="DUP16" s="508" t="s">
        <v>581</v>
      </c>
      <c r="DUQ16" s="508" t="s">
        <v>581</v>
      </c>
      <c r="DUR16" s="508" t="s">
        <v>581</v>
      </c>
      <c r="DUS16" s="508" t="s">
        <v>581</v>
      </c>
      <c r="DUT16" s="508" t="s">
        <v>581</v>
      </c>
      <c r="DUU16" s="508" t="s">
        <v>581</v>
      </c>
      <c r="DUV16" s="508" t="s">
        <v>581</v>
      </c>
      <c r="DUW16" s="508" t="s">
        <v>581</v>
      </c>
      <c r="DUX16" s="508" t="s">
        <v>581</v>
      </c>
      <c r="DUY16" s="508" t="s">
        <v>581</v>
      </c>
      <c r="DUZ16" s="508" t="s">
        <v>581</v>
      </c>
      <c r="DVA16" s="508" t="s">
        <v>581</v>
      </c>
      <c r="DVB16" s="508" t="s">
        <v>581</v>
      </c>
      <c r="DVC16" s="508" t="s">
        <v>581</v>
      </c>
      <c r="DVD16" s="508" t="s">
        <v>581</v>
      </c>
      <c r="DVE16" s="508" t="s">
        <v>581</v>
      </c>
      <c r="DVF16" s="508" t="s">
        <v>581</v>
      </c>
      <c r="DVG16" s="508" t="s">
        <v>581</v>
      </c>
      <c r="DVH16" s="508" t="s">
        <v>581</v>
      </c>
      <c r="DVI16" s="508" t="s">
        <v>581</v>
      </c>
      <c r="DVJ16" s="508" t="s">
        <v>581</v>
      </c>
      <c r="DVK16" s="508" t="s">
        <v>581</v>
      </c>
      <c r="DVL16" s="508" t="s">
        <v>581</v>
      </c>
      <c r="DVM16" s="508" t="s">
        <v>581</v>
      </c>
      <c r="DVN16" s="508" t="s">
        <v>581</v>
      </c>
      <c r="DVO16" s="508" t="s">
        <v>581</v>
      </c>
      <c r="DVP16" s="508" t="s">
        <v>581</v>
      </c>
      <c r="DVQ16" s="508" t="s">
        <v>581</v>
      </c>
      <c r="DVR16" s="508" t="s">
        <v>581</v>
      </c>
      <c r="DVS16" s="508" t="s">
        <v>581</v>
      </c>
      <c r="DVT16" s="508" t="s">
        <v>581</v>
      </c>
      <c r="DVU16" s="508" t="s">
        <v>581</v>
      </c>
      <c r="DVV16" s="508" t="s">
        <v>581</v>
      </c>
      <c r="DVW16" s="508" t="s">
        <v>581</v>
      </c>
      <c r="DVX16" s="508" t="s">
        <v>581</v>
      </c>
      <c r="DVY16" s="508" t="s">
        <v>581</v>
      </c>
      <c r="DVZ16" s="508" t="s">
        <v>581</v>
      </c>
      <c r="DWA16" s="508" t="s">
        <v>581</v>
      </c>
      <c r="DWB16" s="508" t="s">
        <v>581</v>
      </c>
      <c r="DWC16" s="508" t="s">
        <v>581</v>
      </c>
      <c r="DWD16" s="508" t="s">
        <v>581</v>
      </c>
      <c r="DWE16" s="508" t="s">
        <v>581</v>
      </c>
      <c r="DWF16" s="508" t="s">
        <v>581</v>
      </c>
      <c r="DWG16" s="508" t="s">
        <v>581</v>
      </c>
      <c r="DWH16" s="508" t="s">
        <v>581</v>
      </c>
      <c r="DWI16" s="508" t="s">
        <v>581</v>
      </c>
      <c r="DWJ16" s="508" t="s">
        <v>581</v>
      </c>
      <c r="DWK16" s="508" t="s">
        <v>581</v>
      </c>
      <c r="DWL16" s="508" t="s">
        <v>581</v>
      </c>
      <c r="DWM16" s="508" t="s">
        <v>581</v>
      </c>
      <c r="DWN16" s="508" t="s">
        <v>581</v>
      </c>
      <c r="DWO16" s="508" t="s">
        <v>581</v>
      </c>
      <c r="DWP16" s="508" t="s">
        <v>581</v>
      </c>
      <c r="DWQ16" s="508" t="s">
        <v>581</v>
      </c>
      <c r="DWR16" s="508" t="s">
        <v>581</v>
      </c>
      <c r="DWS16" s="508" t="s">
        <v>581</v>
      </c>
      <c r="DWT16" s="508" t="s">
        <v>581</v>
      </c>
      <c r="DWU16" s="508" t="s">
        <v>581</v>
      </c>
      <c r="DWV16" s="508" t="s">
        <v>581</v>
      </c>
      <c r="DWW16" s="508" t="s">
        <v>581</v>
      </c>
      <c r="DWX16" s="508" t="s">
        <v>581</v>
      </c>
      <c r="DWY16" s="508" t="s">
        <v>581</v>
      </c>
      <c r="DWZ16" s="508" t="s">
        <v>581</v>
      </c>
      <c r="DXA16" s="508" t="s">
        <v>581</v>
      </c>
      <c r="DXB16" s="508" t="s">
        <v>581</v>
      </c>
      <c r="DXC16" s="508" t="s">
        <v>581</v>
      </c>
      <c r="DXD16" s="508" t="s">
        <v>581</v>
      </c>
      <c r="DXE16" s="508" t="s">
        <v>581</v>
      </c>
      <c r="DXF16" s="508" t="s">
        <v>581</v>
      </c>
      <c r="DXG16" s="508" t="s">
        <v>581</v>
      </c>
      <c r="DXH16" s="508" t="s">
        <v>581</v>
      </c>
      <c r="DXI16" s="508" t="s">
        <v>581</v>
      </c>
      <c r="DXJ16" s="508" t="s">
        <v>581</v>
      </c>
      <c r="DXK16" s="508" t="s">
        <v>581</v>
      </c>
      <c r="DXL16" s="508" t="s">
        <v>581</v>
      </c>
      <c r="DXM16" s="508" t="s">
        <v>581</v>
      </c>
      <c r="DXN16" s="508" t="s">
        <v>581</v>
      </c>
      <c r="DXO16" s="508" t="s">
        <v>581</v>
      </c>
      <c r="DXP16" s="508" t="s">
        <v>581</v>
      </c>
      <c r="DXQ16" s="508" t="s">
        <v>581</v>
      </c>
      <c r="DXR16" s="508" t="s">
        <v>581</v>
      </c>
      <c r="DXS16" s="508" t="s">
        <v>581</v>
      </c>
      <c r="DXT16" s="508" t="s">
        <v>581</v>
      </c>
      <c r="DXU16" s="508" t="s">
        <v>581</v>
      </c>
      <c r="DXV16" s="508" t="s">
        <v>581</v>
      </c>
      <c r="DXW16" s="508" t="s">
        <v>581</v>
      </c>
      <c r="DXX16" s="508" t="s">
        <v>581</v>
      </c>
      <c r="DXY16" s="508" t="s">
        <v>581</v>
      </c>
      <c r="DXZ16" s="508" t="s">
        <v>581</v>
      </c>
      <c r="DYA16" s="508" t="s">
        <v>581</v>
      </c>
      <c r="DYB16" s="508" t="s">
        <v>581</v>
      </c>
      <c r="DYC16" s="508" t="s">
        <v>581</v>
      </c>
      <c r="DYD16" s="508" t="s">
        <v>581</v>
      </c>
      <c r="DYE16" s="508" t="s">
        <v>581</v>
      </c>
      <c r="DYF16" s="508" t="s">
        <v>581</v>
      </c>
      <c r="DYG16" s="508" t="s">
        <v>581</v>
      </c>
      <c r="DYH16" s="508" t="s">
        <v>581</v>
      </c>
      <c r="DYI16" s="508" t="s">
        <v>581</v>
      </c>
      <c r="DYJ16" s="508" t="s">
        <v>581</v>
      </c>
      <c r="DYK16" s="508" t="s">
        <v>581</v>
      </c>
      <c r="DYL16" s="508" t="s">
        <v>581</v>
      </c>
      <c r="DYM16" s="508" t="s">
        <v>581</v>
      </c>
      <c r="DYN16" s="508" t="s">
        <v>581</v>
      </c>
      <c r="DYO16" s="508" t="s">
        <v>581</v>
      </c>
      <c r="DYP16" s="508" t="s">
        <v>581</v>
      </c>
      <c r="DYQ16" s="508" t="s">
        <v>581</v>
      </c>
      <c r="DYR16" s="508" t="s">
        <v>581</v>
      </c>
      <c r="DYS16" s="508" t="s">
        <v>581</v>
      </c>
      <c r="DYT16" s="508" t="s">
        <v>581</v>
      </c>
      <c r="DYU16" s="508" t="s">
        <v>581</v>
      </c>
      <c r="DYV16" s="508" t="s">
        <v>581</v>
      </c>
      <c r="DYW16" s="508" t="s">
        <v>581</v>
      </c>
      <c r="DYX16" s="508" t="s">
        <v>581</v>
      </c>
      <c r="DYY16" s="508" t="s">
        <v>581</v>
      </c>
      <c r="DYZ16" s="508" t="s">
        <v>581</v>
      </c>
      <c r="DZA16" s="508" t="s">
        <v>581</v>
      </c>
      <c r="DZB16" s="508" t="s">
        <v>581</v>
      </c>
      <c r="DZC16" s="508" t="s">
        <v>581</v>
      </c>
      <c r="DZD16" s="508" t="s">
        <v>581</v>
      </c>
      <c r="DZE16" s="508" t="s">
        <v>581</v>
      </c>
      <c r="DZF16" s="508" t="s">
        <v>581</v>
      </c>
      <c r="DZG16" s="508" t="s">
        <v>581</v>
      </c>
      <c r="DZH16" s="508" t="s">
        <v>581</v>
      </c>
      <c r="DZI16" s="508" t="s">
        <v>581</v>
      </c>
      <c r="DZJ16" s="508" t="s">
        <v>581</v>
      </c>
      <c r="DZK16" s="508" t="s">
        <v>581</v>
      </c>
      <c r="DZL16" s="508" t="s">
        <v>581</v>
      </c>
      <c r="DZM16" s="508" t="s">
        <v>581</v>
      </c>
      <c r="DZN16" s="508" t="s">
        <v>581</v>
      </c>
      <c r="DZO16" s="508" t="s">
        <v>581</v>
      </c>
      <c r="DZP16" s="508" t="s">
        <v>581</v>
      </c>
      <c r="DZQ16" s="508" t="s">
        <v>581</v>
      </c>
      <c r="DZR16" s="508" t="s">
        <v>581</v>
      </c>
      <c r="DZS16" s="508" t="s">
        <v>581</v>
      </c>
      <c r="DZT16" s="508" t="s">
        <v>581</v>
      </c>
      <c r="DZU16" s="508" t="s">
        <v>581</v>
      </c>
      <c r="DZV16" s="508" t="s">
        <v>581</v>
      </c>
      <c r="DZW16" s="508" t="s">
        <v>581</v>
      </c>
      <c r="DZX16" s="508" t="s">
        <v>581</v>
      </c>
      <c r="DZY16" s="508" t="s">
        <v>581</v>
      </c>
      <c r="DZZ16" s="508" t="s">
        <v>581</v>
      </c>
      <c r="EAA16" s="508" t="s">
        <v>581</v>
      </c>
      <c r="EAB16" s="508" t="s">
        <v>581</v>
      </c>
      <c r="EAC16" s="508" t="s">
        <v>581</v>
      </c>
      <c r="EAD16" s="508" t="s">
        <v>581</v>
      </c>
      <c r="EAE16" s="508" t="s">
        <v>581</v>
      </c>
      <c r="EAF16" s="508" t="s">
        <v>581</v>
      </c>
      <c r="EAG16" s="508" t="s">
        <v>581</v>
      </c>
      <c r="EAH16" s="508" t="s">
        <v>581</v>
      </c>
      <c r="EAI16" s="508" t="s">
        <v>581</v>
      </c>
      <c r="EAJ16" s="508" t="s">
        <v>581</v>
      </c>
      <c r="EAK16" s="508" t="s">
        <v>581</v>
      </c>
      <c r="EAL16" s="508" t="s">
        <v>581</v>
      </c>
      <c r="EAM16" s="508" t="s">
        <v>581</v>
      </c>
      <c r="EAN16" s="508" t="s">
        <v>581</v>
      </c>
      <c r="EAO16" s="508" t="s">
        <v>581</v>
      </c>
      <c r="EAP16" s="508" t="s">
        <v>581</v>
      </c>
      <c r="EAQ16" s="508" t="s">
        <v>581</v>
      </c>
      <c r="EAR16" s="508" t="s">
        <v>581</v>
      </c>
      <c r="EAS16" s="508" t="s">
        <v>581</v>
      </c>
      <c r="EAT16" s="508" t="s">
        <v>581</v>
      </c>
      <c r="EAU16" s="508" t="s">
        <v>581</v>
      </c>
      <c r="EAV16" s="508" t="s">
        <v>581</v>
      </c>
      <c r="EAW16" s="508" t="s">
        <v>581</v>
      </c>
      <c r="EAX16" s="508" t="s">
        <v>581</v>
      </c>
      <c r="EAY16" s="508" t="s">
        <v>581</v>
      </c>
      <c r="EAZ16" s="508" t="s">
        <v>581</v>
      </c>
      <c r="EBA16" s="508" t="s">
        <v>581</v>
      </c>
      <c r="EBB16" s="508" t="s">
        <v>581</v>
      </c>
      <c r="EBC16" s="508" t="s">
        <v>581</v>
      </c>
      <c r="EBD16" s="508" t="s">
        <v>581</v>
      </c>
      <c r="EBE16" s="508" t="s">
        <v>581</v>
      </c>
      <c r="EBF16" s="508" t="s">
        <v>581</v>
      </c>
      <c r="EBG16" s="508" t="s">
        <v>581</v>
      </c>
      <c r="EBH16" s="508" t="s">
        <v>581</v>
      </c>
      <c r="EBI16" s="508" t="s">
        <v>581</v>
      </c>
      <c r="EBJ16" s="508" t="s">
        <v>581</v>
      </c>
      <c r="EBK16" s="508" t="s">
        <v>581</v>
      </c>
      <c r="EBL16" s="508" t="s">
        <v>581</v>
      </c>
      <c r="EBM16" s="508" t="s">
        <v>581</v>
      </c>
      <c r="EBN16" s="508" t="s">
        <v>581</v>
      </c>
      <c r="EBO16" s="508" t="s">
        <v>581</v>
      </c>
      <c r="EBP16" s="508" t="s">
        <v>581</v>
      </c>
      <c r="EBQ16" s="508" t="s">
        <v>581</v>
      </c>
      <c r="EBR16" s="508" t="s">
        <v>581</v>
      </c>
      <c r="EBS16" s="508" t="s">
        <v>581</v>
      </c>
      <c r="EBT16" s="508" t="s">
        <v>581</v>
      </c>
      <c r="EBU16" s="508" t="s">
        <v>581</v>
      </c>
      <c r="EBV16" s="508" t="s">
        <v>581</v>
      </c>
      <c r="EBW16" s="508" t="s">
        <v>581</v>
      </c>
      <c r="EBX16" s="508" t="s">
        <v>581</v>
      </c>
      <c r="EBY16" s="508" t="s">
        <v>581</v>
      </c>
      <c r="EBZ16" s="508" t="s">
        <v>581</v>
      </c>
      <c r="ECA16" s="508" t="s">
        <v>581</v>
      </c>
      <c r="ECB16" s="508" t="s">
        <v>581</v>
      </c>
      <c r="ECC16" s="508" t="s">
        <v>581</v>
      </c>
      <c r="ECD16" s="508" t="s">
        <v>581</v>
      </c>
      <c r="ECE16" s="508" t="s">
        <v>581</v>
      </c>
      <c r="ECF16" s="508" t="s">
        <v>581</v>
      </c>
      <c r="ECG16" s="508" t="s">
        <v>581</v>
      </c>
      <c r="ECH16" s="508" t="s">
        <v>581</v>
      </c>
      <c r="ECI16" s="508" t="s">
        <v>581</v>
      </c>
      <c r="ECJ16" s="508" t="s">
        <v>581</v>
      </c>
      <c r="ECK16" s="508" t="s">
        <v>581</v>
      </c>
      <c r="ECL16" s="508" t="s">
        <v>581</v>
      </c>
      <c r="ECM16" s="508" t="s">
        <v>581</v>
      </c>
      <c r="ECN16" s="508" t="s">
        <v>581</v>
      </c>
      <c r="ECO16" s="508" t="s">
        <v>581</v>
      </c>
      <c r="ECP16" s="508" t="s">
        <v>581</v>
      </c>
      <c r="ECQ16" s="508" t="s">
        <v>581</v>
      </c>
      <c r="ECR16" s="508" t="s">
        <v>581</v>
      </c>
      <c r="ECS16" s="508" t="s">
        <v>581</v>
      </c>
      <c r="ECT16" s="508" t="s">
        <v>581</v>
      </c>
      <c r="ECU16" s="508" t="s">
        <v>581</v>
      </c>
      <c r="ECV16" s="508" t="s">
        <v>581</v>
      </c>
      <c r="ECW16" s="508" t="s">
        <v>581</v>
      </c>
      <c r="ECX16" s="508" t="s">
        <v>581</v>
      </c>
      <c r="ECY16" s="508" t="s">
        <v>581</v>
      </c>
      <c r="ECZ16" s="508" t="s">
        <v>581</v>
      </c>
      <c r="EDA16" s="508" t="s">
        <v>581</v>
      </c>
      <c r="EDB16" s="508" t="s">
        <v>581</v>
      </c>
      <c r="EDC16" s="508" t="s">
        <v>581</v>
      </c>
      <c r="EDD16" s="508" t="s">
        <v>581</v>
      </c>
      <c r="EDE16" s="508" t="s">
        <v>581</v>
      </c>
      <c r="EDF16" s="508" t="s">
        <v>581</v>
      </c>
      <c r="EDG16" s="508" t="s">
        <v>581</v>
      </c>
      <c r="EDH16" s="508" t="s">
        <v>581</v>
      </c>
      <c r="EDI16" s="508" t="s">
        <v>581</v>
      </c>
      <c r="EDJ16" s="508" t="s">
        <v>581</v>
      </c>
      <c r="EDK16" s="508" t="s">
        <v>581</v>
      </c>
      <c r="EDL16" s="508" t="s">
        <v>581</v>
      </c>
      <c r="EDM16" s="508" t="s">
        <v>581</v>
      </c>
      <c r="EDN16" s="508" t="s">
        <v>581</v>
      </c>
      <c r="EDO16" s="508" t="s">
        <v>581</v>
      </c>
      <c r="EDP16" s="508" t="s">
        <v>581</v>
      </c>
      <c r="EDQ16" s="508" t="s">
        <v>581</v>
      </c>
      <c r="EDR16" s="508" t="s">
        <v>581</v>
      </c>
      <c r="EDS16" s="508" t="s">
        <v>581</v>
      </c>
      <c r="EDT16" s="508" t="s">
        <v>581</v>
      </c>
      <c r="EDU16" s="508" t="s">
        <v>581</v>
      </c>
      <c r="EDV16" s="508" t="s">
        <v>581</v>
      </c>
      <c r="EDW16" s="508" t="s">
        <v>581</v>
      </c>
      <c r="EDX16" s="508" t="s">
        <v>581</v>
      </c>
      <c r="EDY16" s="508" t="s">
        <v>581</v>
      </c>
      <c r="EDZ16" s="508" t="s">
        <v>581</v>
      </c>
      <c r="EEA16" s="508" t="s">
        <v>581</v>
      </c>
      <c r="EEB16" s="508" t="s">
        <v>581</v>
      </c>
      <c r="EEC16" s="508" t="s">
        <v>581</v>
      </c>
      <c r="EED16" s="508" t="s">
        <v>581</v>
      </c>
      <c r="EEE16" s="508" t="s">
        <v>581</v>
      </c>
      <c r="EEF16" s="508" t="s">
        <v>581</v>
      </c>
      <c r="EEG16" s="508" t="s">
        <v>581</v>
      </c>
      <c r="EEH16" s="508" t="s">
        <v>581</v>
      </c>
      <c r="EEI16" s="508" t="s">
        <v>581</v>
      </c>
      <c r="EEJ16" s="508" t="s">
        <v>581</v>
      </c>
      <c r="EEK16" s="508" t="s">
        <v>581</v>
      </c>
      <c r="EEL16" s="508" t="s">
        <v>581</v>
      </c>
      <c r="EEM16" s="508" t="s">
        <v>581</v>
      </c>
      <c r="EEN16" s="508" t="s">
        <v>581</v>
      </c>
      <c r="EEO16" s="508" t="s">
        <v>581</v>
      </c>
      <c r="EEP16" s="508" t="s">
        <v>581</v>
      </c>
      <c r="EEQ16" s="508" t="s">
        <v>581</v>
      </c>
      <c r="EER16" s="508" t="s">
        <v>581</v>
      </c>
      <c r="EES16" s="508" t="s">
        <v>581</v>
      </c>
      <c r="EET16" s="508" t="s">
        <v>581</v>
      </c>
      <c r="EEU16" s="508" t="s">
        <v>581</v>
      </c>
      <c r="EEV16" s="508" t="s">
        <v>581</v>
      </c>
      <c r="EEW16" s="508" t="s">
        <v>581</v>
      </c>
      <c r="EEX16" s="508" t="s">
        <v>581</v>
      </c>
      <c r="EEY16" s="508" t="s">
        <v>581</v>
      </c>
      <c r="EEZ16" s="508" t="s">
        <v>581</v>
      </c>
      <c r="EFA16" s="508" t="s">
        <v>581</v>
      </c>
      <c r="EFB16" s="508" t="s">
        <v>581</v>
      </c>
      <c r="EFC16" s="508" t="s">
        <v>581</v>
      </c>
      <c r="EFD16" s="508" t="s">
        <v>581</v>
      </c>
      <c r="EFE16" s="508" t="s">
        <v>581</v>
      </c>
      <c r="EFF16" s="508" t="s">
        <v>581</v>
      </c>
      <c r="EFG16" s="508" t="s">
        <v>581</v>
      </c>
      <c r="EFH16" s="508" t="s">
        <v>581</v>
      </c>
      <c r="EFI16" s="508" t="s">
        <v>581</v>
      </c>
      <c r="EFJ16" s="508" t="s">
        <v>581</v>
      </c>
      <c r="EFK16" s="508" t="s">
        <v>581</v>
      </c>
      <c r="EFL16" s="508" t="s">
        <v>581</v>
      </c>
      <c r="EFM16" s="508" t="s">
        <v>581</v>
      </c>
      <c r="EFN16" s="508" t="s">
        <v>581</v>
      </c>
      <c r="EFO16" s="508" t="s">
        <v>581</v>
      </c>
      <c r="EFP16" s="508" t="s">
        <v>581</v>
      </c>
      <c r="EFQ16" s="508" t="s">
        <v>581</v>
      </c>
      <c r="EFR16" s="508" t="s">
        <v>581</v>
      </c>
      <c r="EFS16" s="508" t="s">
        <v>581</v>
      </c>
      <c r="EFT16" s="508" t="s">
        <v>581</v>
      </c>
      <c r="EFU16" s="508" t="s">
        <v>581</v>
      </c>
      <c r="EFV16" s="508" t="s">
        <v>581</v>
      </c>
      <c r="EFW16" s="508" t="s">
        <v>581</v>
      </c>
      <c r="EFX16" s="508" t="s">
        <v>581</v>
      </c>
      <c r="EFY16" s="508" t="s">
        <v>581</v>
      </c>
      <c r="EFZ16" s="508" t="s">
        <v>581</v>
      </c>
      <c r="EGA16" s="508" t="s">
        <v>581</v>
      </c>
      <c r="EGB16" s="508" t="s">
        <v>581</v>
      </c>
      <c r="EGC16" s="508" t="s">
        <v>581</v>
      </c>
      <c r="EGD16" s="508" t="s">
        <v>581</v>
      </c>
      <c r="EGE16" s="508" t="s">
        <v>581</v>
      </c>
      <c r="EGF16" s="508" t="s">
        <v>581</v>
      </c>
      <c r="EGG16" s="508" t="s">
        <v>581</v>
      </c>
      <c r="EGH16" s="508" t="s">
        <v>581</v>
      </c>
      <c r="EGI16" s="508" t="s">
        <v>581</v>
      </c>
      <c r="EGJ16" s="508" t="s">
        <v>581</v>
      </c>
      <c r="EGK16" s="508" t="s">
        <v>581</v>
      </c>
      <c r="EGL16" s="508" t="s">
        <v>581</v>
      </c>
      <c r="EGM16" s="508" t="s">
        <v>581</v>
      </c>
      <c r="EGN16" s="508" t="s">
        <v>581</v>
      </c>
      <c r="EGO16" s="508" t="s">
        <v>581</v>
      </c>
      <c r="EGP16" s="508" t="s">
        <v>581</v>
      </c>
      <c r="EGQ16" s="508" t="s">
        <v>581</v>
      </c>
      <c r="EGR16" s="508" t="s">
        <v>581</v>
      </c>
      <c r="EGS16" s="508" t="s">
        <v>581</v>
      </c>
      <c r="EGT16" s="508" t="s">
        <v>581</v>
      </c>
      <c r="EGU16" s="508" t="s">
        <v>581</v>
      </c>
      <c r="EGV16" s="508" t="s">
        <v>581</v>
      </c>
      <c r="EGW16" s="508" t="s">
        <v>581</v>
      </c>
      <c r="EGX16" s="508" t="s">
        <v>581</v>
      </c>
      <c r="EGY16" s="508" t="s">
        <v>581</v>
      </c>
      <c r="EGZ16" s="508" t="s">
        <v>581</v>
      </c>
      <c r="EHA16" s="508" t="s">
        <v>581</v>
      </c>
      <c r="EHB16" s="508" t="s">
        <v>581</v>
      </c>
      <c r="EHC16" s="508" t="s">
        <v>581</v>
      </c>
      <c r="EHD16" s="508" t="s">
        <v>581</v>
      </c>
      <c r="EHE16" s="508" t="s">
        <v>581</v>
      </c>
      <c r="EHF16" s="508" t="s">
        <v>581</v>
      </c>
      <c r="EHG16" s="508" t="s">
        <v>581</v>
      </c>
      <c r="EHH16" s="508" t="s">
        <v>581</v>
      </c>
      <c r="EHI16" s="508" t="s">
        <v>581</v>
      </c>
      <c r="EHJ16" s="508" t="s">
        <v>581</v>
      </c>
      <c r="EHK16" s="508" t="s">
        <v>581</v>
      </c>
      <c r="EHL16" s="508" t="s">
        <v>581</v>
      </c>
      <c r="EHM16" s="508" t="s">
        <v>581</v>
      </c>
      <c r="EHN16" s="508" t="s">
        <v>581</v>
      </c>
      <c r="EHO16" s="508" t="s">
        <v>581</v>
      </c>
      <c r="EHP16" s="508" t="s">
        <v>581</v>
      </c>
      <c r="EHQ16" s="508" t="s">
        <v>581</v>
      </c>
      <c r="EHR16" s="508" t="s">
        <v>581</v>
      </c>
      <c r="EHS16" s="508" t="s">
        <v>581</v>
      </c>
      <c r="EHT16" s="508" t="s">
        <v>581</v>
      </c>
      <c r="EHU16" s="508" t="s">
        <v>581</v>
      </c>
      <c r="EHV16" s="508" t="s">
        <v>581</v>
      </c>
      <c r="EHW16" s="508" t="s">
        <v>581</v>
      </c>
      <c r="EHX16" s="508" t="s">
        <v>581</v>
      </c>
      <c r="EHY16" s="508" t="s">
        <v>581</v>
      </c>
      <c r="EHZ16" s="508" t="s">
        <v>581</v>
      </c>
      <c r="EIA16" s="508" t="s">
        <v>581</v>
      </c>
      <c r="EIB16" s="508" t="s">
        <v>581</v>
      </c>
      <c r="EIC16" s="508" t="s">
        <v>581</v>
      </c>
      <c r="EID16" s="508" t="s">
        <v>581</v>
      </c>
      <c r="EIE16" s="508" t="s">
        <v>581</v>
      </c>
      <c r="EIF16" s="508" t="s">
        <v>581</v>
      </c>
      <c r="EIG16" s="508" t="s">
        <v>581</v>
      </c>
      <c r="EIH16" s="508" t="s">
        <v>581</v>
      </c>
      <c r="EII16" s="508" t="s">
        <v>581</v>
      </c>
      <c r="EIJ16" s="508" t="s">
        <v>581</v>
      </c>
      <c r="EIK16" s="508" t="s">
        <v>581</v>
      </c>
      <c r="EIL16" s="508" t="s">
        <v>581</v>
      </c>
      <c r="EIM16" s="508" t="s">
        <v>581</v>
      </c>
      <c r="EIN16" s="508" t="s">
        <v>581</v>
      </c>
      <c r="EIO16" s="508" t="s">
        <v>581</v>
      </c>
      <c r="EIP16" s="508" t="s">
        <v>581</v>
      </c>
      <c r="EIQ16" s="508" t="s">
        <v>581</v>
      </c>
      <c r="EIR16" s="508" t="s">
        <v>581</v>
      </c>
      <c r="EIS16" s="508" t="s">
        <v>581</v>
      </c>
      <c r="EIT16" s="508" t="s">
        <v>581</v>
      </c>
      <c r="EIU16" s="508" t="s">
        <v>581</v>
      </c>
      <c r="EIV16" s="508" t="s">
        <v>581</v>
      </c>
      <c r="EIW16" s="508" t="s">
        <v>581</v>
      </c>
      <c r="EIX16" s="508" t="s">
        <v>581</v>
      </c>
      <c r="EIY16" s="508" t="s">
        <v>581</v>
      </c>
      <c r="EIZ16" s="508" t="s">
        <v>581</v>
      </c>
      <c r="EJA16" s="508" t="s">
        <v>581</v>
      </c>
      <c r="EJB16" s="508" t="s">
        <v>581</v>
      </c>
      <c r="EJC16" s="508" t="s">
        <v>581</v>
      </c>
      <c r="EJD16" s="508" t="s">
        <v>581</v>
      </c>
      <c r="EJE16" s="508" t="s">
        <v>581</v>
      </c>
      <c r="EJF16" s="508" t="s">
        <v>581</v>
      </c>
      <c r="EJG16" s="508" t="s">
        <v>581</v>
      </c>
      <c r="EJH16" s="508" t="s">
        <v>581</v>
      </c>
      <c r="EJI16" s="508" t="s">
        <v>581</v>
      </c>
      <c r="EJJ16" s="508" t="s">
        <v>581</v>
      </c>
      <c r="EJK16" s="508" t="s">
        <v>581</v>
      </c>
      <c r="EJL16" s="508" t="s">
        <v>581</v>
      </c>
      <c r="EJM16" s="508" t="s">
        <v>581</v>
      </c>
      <c r="EJN16" s="508" t="s">
        <v>581</v>
      </c>
      <c r="EJO16" s="508" t="s">
        <v>581</v>
      </c>
      <c r="EJP16" s="508" t="s">
        <v>581</v>
      </c>
      <c r="EJQ16" s="508" t="s">
        <v>581</v>
      </c>
      <c r="EJR16" s="508" t="s">
        <v>581</v>
      </c>
      <c r="EJS16" s="508" t="s">
        <v>581</v>
      </c>
      <c r="EJT16" s="508" t="s">
        <v>581</v>
      </c>
      <c r="EJU16" s="508" t="s">
        <v>581</v>
      </c>
      <c r="EJV16" s="508" t="s">
        <v>581</v>
      </c>
      <c r="EJW16" s="508" t="s">
        <v>581</v>
      </c>
      <c r="EJX16" s="508" t="s">
        <v>581</v>
      </c>
      <c r="EJY16" s="508" t="s">
        <v>581</v>
      </c>
      <c r="EJZ16" s="508" t="s">
        <v>581</v>
      </c>
      <c r="EKA16" s="508" t="s">
        <v>581</v>
      </c>
      <c r="EKB16" s="508" t="s">
        <v>581</v>
      </c>
      <c r="EKC16" s="508" t="s">
        <v>581</v>
      </c>
      <c r="EKD16" s="508" t="s">
        <v>581</v>
      </c>
      <c r="EKE16" s="508" t="s">
        <v>581</v>
      </c>
      <c r="EKF16" s="508" t="s">
        <v>581</v>
      </c>
      <c r="EKG16" s="508" t="s">
        <v>581</v>
      </c>
      <c r="EKH16" s="508" t="s">
        <v>581</v>
      </c>
      <c r="EKI16" s="508" t="s">
        <v>581</v>
      </c>
      <c r="EKJ16" s="508" t="s">
        <v>581</v>
      </c>
      <c r="EKK16" s="508" t="s">
        <v>581</v>
      </c>
      <c r="EKL16" s="508" t="s">
        <v>581</v>
      </c>
      <c r="EKM16" s="508" t="s">
        <v>581</v>
      </c>
      <c r="EKN16" s="508" t="s">
        <v>581</v>
      </c>
      <c r="EKO16" s="508" t="s">
        <v>581</v>
      </c>
      <c r="EKP16" s="508" t="s">
        <v>581</v>
      </c>
      <c r="EKQ16" s="508" t="s">
        <v>581</v>
      </c>
      <c r="EKR16" s="508" t="s">
        <v>581</v>
      </c>
      <c r="EKS16" s="508" t="s">
        <v>581</v>
      </c>
      <c r="EKT16" s="508" t="s">
        <v>581</v>
      </c>
      <c r="EKU16" s="508" t="s">
        <v>581</v>
      </c>
      <c r="EKV16" s="508" t="s">
        <v>581</v>
      </c>
      <c r="EKW16" s="508" t="s">
        <v>581</v>
      </c>
      <c r="EKX16" s="508" t="s">
        <v>581</v>
      </c>
      <c r="EKY16" s="508" t="s">
        <v>581</v>
      </c>
      <c r="EKZ16" s="508" t="s">
        <v>581</v>
      </c>
      <c r="ELA16" s="508" t="s">
        <v>581</v>
      </c>
      <c r="ELB16" s="508" t="s">
        <v>581</v>
      </c>
      <c r="ELC16" s="508" t="s">
        <v>581</v>
      </c>
      <c r="ELD16" s="508" t="s">
        <v>581</v>
      </c>
      <c r="ELE16" s="508" t="s">
        <v>581</v>
      </c>
      <c r="ELF16" s="508" t="s">
        <v>581</v>
      </c>
      <c r="ELG16" s="508" t="s">
        <v>581</v>
      </c>
      <c r="ELH16" s="508" t="s">
        <v>581</v>
      </c>
      <c r="ELI16" s="508" t="s">
        <v>581</v>
      </c>
      <c r="ELJ16" s="508" t="s">
        <v>581</v>
      </c>
      <c r="ELK16" s="508" t="s">
        <v>581</v>
      </c>
      <c r="ELL16" s="508" t="s">
        <v>581</v>
      </c>
      <c r="ELM16" s="508" t="s">
        <v>581</v>
      </c>
      <c r="ELN16" s="508" t="s">
        <v>581</v>
      </c>
      <c r="ELO16" s="508" t="s">
        <v>581</v>
      </c>
      <c r="ELP16" s="508" t="s">
        <v>581</v>
      </c>
      <c r="ELQ16" s="508" t="s">
        <v>581</v>
      </c>
      <c r="ELR16" s="508" t="s">
        <v>581</v>
      </c>
      <c r="ELS16" s="508" t="s">
        <v>581</v>
      </c>
      <c r="ELT16" s="508" t="s">
        <v>581</v>
      </c>
      <c r="ELU16" s="508" t="s">
        <v>581</v>
      </c>
      <c r="ELV16" s="508" t="s">
        <v>581</v>
      </c>
      <c r="ELW16" s="508" t="s">
        <v>581</v>
      </c>
      <c r="ELX16" s="508" t="s">
        <v>581</v>
      </c>
      <c r="ELY16" s="508" t="s">
        <v>581</v>
      </c>
      <c r="ELZ16" s="508" t="s">
        <v>581</v>
      </c>
      <c r="EMA16" s="508" t="s">
        <v>581</v>
      </c>
      <c r="EMB16" s="508" t="s">
        <v>581</v>
      </c>
      <c r="EMC16" s="508" t="s">
        <v>581</v>
      </c>
      <c r="EMD16" s="508" t="s">
        <v>581</v>
      </c>
      <c r="EME16" s="508" t="s">
        <v>581</v>
      </c>
      <c r="EMF16" s="508" t="s">
        <v>581</v>
      </c>
      <c r="EMG16" s="508" t="s">
        <v>581</v>
      </c>
      <c r="EMH16" s="508" t="s">
        <v>581</v>
      </c>
      <c r="EMI16" s="508" t="s">
        <v>581</v>
      </c>
      <c r="EMJ16" s="508" t="s">
        <v>581</v>
      </c>
      <c r="EMK16" s="508" t="s">
        <v>581</v>
      </c>
      <c r="EML16" s="508" t="s">
        <v>581</v>
      </c>
      <c r="EMM16" s="508" t="s">
        <v>581</v>
      </c>
      <c r="EMN16" s="508" t="s">
        <v>581</v>
      </c>
      <c r="EMO16" s="508" t="s">
        <v>581</v>
      </c>
      <c r="EMP16" s="508" t="s">
        <v>581</v>
      </c>
      <c r="EMQ16" s="508" t="s">
        <v>581</v>
      </c>
      <c r="EMR16" s="508" t="s">
        <v>581</v>
      </c>
      <c r="EMS16" s="508" t="s">
        <v>581</v>
      </c>
      <c r="EMT16" s="508" t="s">
        <v>581</v>
      </c>
      <c r="EMU16" s="508" t="s">
        <v>581</v>
      </c>
      <c r="EMV16" s="508" t="s">
        <v>581</v>
      </c>
      <c r="EMW16" s="508" t="s">
        <v>581</v>
      </c>
      <c r="EMX16" s="508" t="s">
        <v>581</v>
      </c>
      <c r="EMY16" s="508" t="s">
        <v>581</v>
      </c>
      <c r="EMZ16" s="508" t="s">
        <v>581</v>
      </c>
      <c r="ENA16" s="508" t="s">
        <v>581</v>
      </c>
      <c r="ENB16" s="508" t="s">
        <v>581</v>
      </c>
      <c r="ENC16" s="508" t="s">
        <v>581</v>
      </c>
      <c r="END16" s="508" t="s">
        <v>581</v>
      </c>
      <c r="ENE16" s="508" t="s">
        <v>581</v>
      </c>
      <c r="ENF16" s="508" t="s">
        <v>581</v>
      </c>
      <c r="ENG16" s="508" t="s">
        <v>581</v>
      </c>
      <c r="ENH16" s="508" t="s">
        <v>581</v>
      </c>
      <c r="ENI16" s="508" t="s">
        <v>581</v>
      </c>
      <c r="ENJ16" s="508" t="s">
        <v>581</v>
      </c>
      <c r="ENK16" s="508" t="s">
        <v>581</v>
      </c>
      <c r="ENL16" s="508" t="s">
        <v>581</v>
      </c>
      <c r="ENM16" s="508" t="s">
        <v>581</v>
      </c>
      <c r="ENN16" s="508" t="s">
        <v>581</v>
      </c>
      <c r="ENO16" s="508" t="s">
        <v>581</v>
      </c>
      <c r="ENP16" s="508" t="s">
        <v>581</v>
      </c>
      <c r="ENQ16" s="508" t="s">
        <v>581</v>
      </c>
      <c r="ENR16" s="508" t="s">
        <v>581</v>
      </c>
      <c r="ENS16" s="508" t="s">
        <v>581</v>
      </c>
      <c r="ENT16" s="508" t="s">
        <v>581</v>
      </c>
      <c r="ENU16" s="508" t="s">
        <v>581</v>
      </c>
      <c r="ENV16" s="508" t="s">
        <v>581</v>
      </c>
      <c r="ENW16" s="508" t="s">
        <v>581</v>
      </c>
      <c r="ENX16" s="508" t="s">
        <v>581</v>
      </c>
      <c r="ENY16" s="508" t="s">
        <v>581</v>
      </c>
      <c r="ENZ16" s="508" t="s">
        <v>581</v>
      </c>
      <c r="EOA16" s="508" t="s">
        <v>581</v>
      </c>
      <c r="EOB16" s="508" t="s">
        <v>581</v>
      </c>
      <c r="EOC16" s="508" t="s">
        <v>581</v>
      </c>
      <c r="EOD16" s="508" t="s">
        <v>581</v>
      </c>
      <c r="EOE16" s="508" t="s">
        <v>581</v>
      </c>
      <c r="EOF16" s="508" t="s">
        <v>581</v>
      </c>
      <c r="EOG16" s="508" t="s">
        <v>581</v>
      </c>
      <c r="EOH16" s="508" t="s">
        <v>581</v>
      </c>
      <c r="EOI16" s="508" t="s">
        <v>581</v>
      </c>
      <c r="EOJ16" s="508" t="s">
        <v>581</v>
      </c>
      <c r="EOK16" s="508" t="s">
        <v>581</v>
      </c>
      <c r="EOL16" s="508" t="s">
        <v>581</v>
      </c>
      <c r="EOM16" s="508" t="s">
        <v>581</v>
      </c>
      <c r="EON16" s="508" t="s">
        <v>581</v>
      </c>
      <c r="EOO16" s="508" t="s">
        <v>581</v>
      </c>
      <c r="EOP16" s="508" t="s">
        <v>581</v>
      </c>
      <c r="EOQ16" s="508" t="s">
        <v>581</v>
      </c>
      <c r="EOR16" s="508" t="s">
        <v>581</v>
      </c>
      <c r="EOS16" s="508" t="s">
        <v>581</v>
      </c>
      <c r="EOT16" s="508" t="s">
        <v>581</v>
      </c>
      <c r="EOU16" s="508" t="s">
        <v>581</v>
      </c>
      <c r="EOV16" s="508" t="s">
        <v>581</v>
      </c>
      <c r="EOW16" s="508" t="s">
        <v>581</v>
      </c>
      <c r="EOX16" s="508" t="s">
        <v>581</v>
      </c>
      <c r="EOY16" s="508" t="s">
        <v>581</v>
      </c>
      <c r="EOZ16" s="508" t="s">
        <v>581</v>
      </c>
      <c r="EPA16" s="508" t="s">
        <v>581</v>
      </c>
      <c r="EPB16" s="508" t="s">
        <v>581</v>
      </c>
      <c r="EPC16" s="508" t="s">
        <v>581</v>
      </c>
      <c r="EPD16" s="508" t="s">
        <v>581</v>
      </c>
      <c r="EPE16" s="508" t="s">
        <v>581</v>
      </c>
      <c r="EPF16" s="508" t="s">
        <v>581</v>
      </c>
      <c r="EPG16" s="508" t="s">
        <v>581</v>
      </c>
      <c r="EPH16" s="508" t="s">
        <v>581</v>
      </c>
      <c r="EPI16" s="508" t="s">
        <v>581</v>
      </c>
      <c r="EPJ16" s="508" t="s">
        <v>581</v>
      </c>
      <c r="EPK16" s="508" t="s">
        <v>581</v>
      </c>
      <c r="EPL16" s="508" t="s">
        <v>581</v>
      </c>
      <c r="EPM16" s="508" t="s">
        <v>581</v>
      </c>
      <c r="EPN16" s="508" t="s">
        <v>581</v>
      </c>
      <c r="EPO16" s="508" t="s">
        <v>581</v>
      </c>
      <c r="EPP16" s="508" t="s">
        <v>581</v>
      </c>
      <c r="EPQ16" s="508" t="s">
        <v>581</v>
      </c>
      <c r="EPR16" s="508" t="s">
        <v>581</v>
      </c>
      <c r="EPS16" s="508" t="s">
        <v>581</v>
      </c>
      <c r="EPT16" s="508" t="s">
        <v>581</v>
      </c>
      <c r="EPU16" s="508" t="s">
        <v>581</v>
      </c>
      <c r="EPV16" s="508" t="s">
        <v>581</v>
      </c>
      <c r="EPW16" s="508" t="s">
        <v>581</v>
      </c>
      <c r="EPX16" s="508" t="s">
        <v>581</v>
      </c>
      <c r="EPY16" s="508" t="s">
        <v>581</v>
      </c>
      <c r="EPZ16" s="508" t="s">
        <v>581</v>
      </c>
      <c r="EQA16" s="508" t="s">
        <v>581</v>
      </c>
      <c r="EQB16" s="508" t="s">
        <v>581</v>
      </c>
      <c r="EQC16" s="508" t="s">
        <v>581</v>
      </c>
      <c r="EQD16" s="508" t="s">
        <v>581</v>
      </c>
      <c r="EQE16" s="508" t="s">
        <v>581</v>
      </c>
      <c r="EQF16" s="508" t="s">
        <v>581</v>
      </c>
      <c r="EQG16" s="508" t="s">
        <v>581</v>
      </c>
      <c r="EQH16" s="508" t="s">
        <v>581</v>
      </c>
      <c r="EQI16" s="508" t="s">
        <v>581</v>
      </c>
      <c r="EQJ16" s="508" t="s">
        <v>581</v>
      </c>
      <c r="EQK16" s="508" t="s">
        <v>581</v>
      </c>
      <c r="EQL16" s="508" t="s">
        <v>581</v>
      </c>
      <c r="EQM16" s="508" t="s">
        <v>581</v>
      </c>
      <c r="EQN16" s="508" t="s">
        <v>581</v>
      </c>
      <c r="EQO16" s="508" t="s">
        <v>581</v>
      </c>
      <c r="EQP16" s="508" t="s">
        <v>581</v>
      </c>
      <c r="EQQ16" s="508" t="s">
        <v>581</v>
      </c>
      <c r="EQR16" s="508" t="s">
        <v>581</v>
      </c>
      <c r="EQS16" s="508" t="s">
        <v>581</v>
      </c>
      <c r="EQT16" s="508" t="s">
        <v>581</v>
      </c>
      <c r="EQU16" s="508" t="s">
        <v>581</v>
      </c>
      <c r="EQV16" s="508" t="s">
        <v>581</v>
      </c>
      <c r="EQW16" s="508" t="s">
        <v>581</v>
      </c>
      <c r="EQX16" s="508" t="s">
        <v>581</v>
      </c>
      <c r="EQY16" s="508" t="s">
        <v>581</v>
      </c>
      <c r="EQZ16" s="508" t="s">
        <v>581</v>
      </c>
      <c r="ERA16" s="508" t="s">
        <v>581</v>
      </c>
      <c r="ERB16" s="508" t="s">
        <v>581</v>
      </c>
      <c r="ERC16" s="508" t="s">
        <v>581</v>
      </c>
      <c r="ERD16" s="508" t="s">
        <v>581</v>
      </c>
      <c r="ERE16" s="508" t="s">
        <v>581</v>
      </c>
      <c r="ERF16" s="508" t="s">
        <v>581</v>
      </c>
      <c r="ERG16" s="508" t="s">
        <v>581</v>
      </c>
      <c r="ERH16" s="508" t="s">
        <v>581</v>
      </c>
      <c r="ERI16" s="508" t="s">
        <v>581</v>
      </c>
      <c r="ERJ16" s="508" t="s">
        <v>581</v>
      </c>
      <c r="ERK16" s="508" t="s">
        <v>581</v>
      </c>
      <c r="ERL16" s="508" t="s">
        <v>581</v>
      </c>
      <c r="ERM16" s="508" t="s">
        <v>581</v>
      </c>
      <c r="ERN16" s="508" t="s">
        <v>581</v>
      </c>
      <c r="ERO16" s="508" t="s">
        <v>581</v>
      </c>
      <c r="ERP16" s="508" t="s">
        <v>581</v>
      </c>
      <c r="ERQ16" s="508" t="s">
        <v>581</v>
      </c>
      <c r="ERR16" s="508" t="s">
        <v>581</v>
      </c>
      <c r="ERS16" s="508" t="s">
        <v>581</v>
      </c>
      <c r="ERT16" s="508" t="s">
        <v>581</v>
      </c>
      <c r="ERU16" s="508" t="s">
        <v>581</v>
      </c>
      <c r="ERV16" s="508" t="s">
        <v>581</v>
      </c>
      <c r="ERW16" s="508" t="s">
        <v>581</v>
      </c>
      <c r="ERX16" s="508" t="s">
        <v>581</v>
      </c>
      <c r="ERY16" s="508" t="s">
        <v>581</v>
      </c>
      <c r="ERZ16" s="508" t="s">
        <v>581</v>
      </c>
      <c r="ESA16" s="508" t="s">
        <v>581</v>
      </c>
      <c r="ESB16" s="508" t="s">
        <v>581</v>
      </c>
      <c r="ESC16" s="508" t="s">
        <v>581</v>
      </c>
      <c r="ESD16" s="508" t="s">
        <v>581</v>
      </c>
      <c r="ESE16" s="508" t="s">
        <v>581</v>
      </c>
      <c r="ESF16" s="508" t="s">
        <v>581</v>
      </c>
      <c r="ESG16" s="508" t="s">
        <v>581</v>
      </c>
      <c r="ESH16" s="508" t="s">
        <v>581</v>
      </c>
      <c r="ESI16" s="508" t="s">
        <v>581</v>
      </c>
      <c r="ESJ16" s="508" t="s">
        <v>581</v>
      </c>
      <c r="ESK16" s="508" t="s">
        <v>581</v>
      </c>
      <c r="ESL16" s="508" t="s">
        <v>581</v>
      </c>
      <c r="ESM16" s="508" t="s">
        <v>581</v>
      </c>
      <c r="ESN16" s="508" t="s">
        <v>581</v>
      </c>
      <c r="ESO16" s="508" t="s">
        <v>581</v>
      </c>
      <c r="ESP16" s="508" t="s">
        <v>581</v>
      </c>
      <c r="ESQ16" s="508" t="s">
        <v>581</v>
      </c>
      <c r="ESR16" s="508" t="s">
        <v>581</v>
      </c>
      <c r="ESS16" s="508" t="s">
        <v>581</v>
      </c>
      <c r="EST16" s="508" t="s">
        <v>581</v>
      </c>
      <c r="ESU16" s="508" t="s">
        <v>581</v>
      </c>
      <c r="ESV16" s="508" t="s">
        <v>581</v>
      </c>
      <c r="ESW16" s="508" t="s">
        <v>581</v>
      </c>
      <c r="ESX16" s="508" t="s">
        <v>581</v>
      </c>
      <c r="ESY16" s="508" t="s">
        <v>581</v>
      </c>
      <c r="ESZ16" s="508" t="s">
        <v>581</v>
      </c>
      <c r="ETA16" s="508" t="s">
        <v>581</v>
      </c>
      <c r="ETB16" s="508" t="s">
        <v>581</v>
      </c>
      <c r="ETC16" s="508" t="s">
        <v>581</v>
      </c>
      <c r="ETD16" s="508" t="s">
        <v>581</v>
      </c>
      <c r="ETE16" s="508" t="s">
        <v>581</v>
      </c>
      <c r="ETF16" s="508" t="s">
        <v>581</v>
      </c>
      <c r="ETG16" s="508" t="s">
        <v>581</v>
      </c>
      <c r="ETH16" s="508" t="s">
        <v>581</v>
      </c>
      <c r="ETI16" s="508" t="s">
        <v>581</v>
      </c>
      <c r="ETJ16" s="508" t="s">
        <v>581</v>
      </c>
      <c r="ETK16" s="508" t="s">
        <v>581</v>
      </c>
      <c r="ETL16" s="508" t="s">
        <v>581</v>
      </c>
      <c r="ETM16" s="508" t="s">
        <v>581</v>
      </c>
      <c r="ETN16" s="508" t="s">
        <v>581</v>
      </c>
      <c r="ETO16" s="508" t="s">
        <v>581</v>
      </c>
      <c r="ETP16" s="508" t="s">
        <v>581</v>
      </c>
      <c r="ETQ16" s="508" t="s">
        <v>581</v>
      </c>
      <c r="ETR16" s="508" t="s">
        <v>581</v>
      </c>
      <c r="ETS16" s="508" t="s">
        <v>581</v>
      </c>
      <c r="ETT16" s="508" t="s">
        <v>581</v>
      </c>
      <c r="ETU16" s="508" t="s">
        <v>581</v>
      </c>
      <c r="ETV16" s="508" t="s">
        <v>581</v>
      </c>
      <c r="ETW16" s="508" t="s">
        <v>581</v>
      </c>
      <c r="ETX16" s="508" t="s">
        <v>581</v>
      </c>
      <c r="ETY16" s="508" t="s">
        <v>581</v>
      </c>
      <c r="ETZ16" s="508" t="s">
        <v>581</v>
      </c>
      <c r="EUA16" s="508" t="s">
        <v>581</v>
      </c>
      <c r="EUB16" s="508" t="s">
        <v>581</v>
      </c>
      <c r="EUC16" s="508" t="s">
        <v>581</v>
      </c>
      <c r="EUD16" s="508" t="s">
        <v>581</v>
      </c>
      <c r="EUE16" s="508" t="s">
        <v>581</v>
      </c>
      <c r="EUF16" s="508" t="s">
        <v>581</v>
      </c>
      <c r="EUG16" s="508" t="s">
        <v>581</v>
      </c>
      <c r="EUH16" s="508" t="s">
        <v>581</v>
      </c>
      <c r="EUI16" s="508" t="s">
        <v>581</v>
      </c>
      <c r="EUJ16" s="508" t="s">
        <v>581</v>
      </c>
      <c r="EUK16" s="508" t="s">
        <v>581</v>
      </c>
      <c r="EUL16" s="508" t="s">
        <v>581</v>
      </c>
      <c r="EUM16" s="508" t="s">
        <v>581</v>
      </c>
      <c r="EUN16" s="508" t="s">
        <v>581</v>
      </c>
      <c r="EUO16" s="508" t="s">
        <v>581</v>
      </c>
      <c r="EUP16" s="508" t="s">
        <v>581</v>
      </c>
      <c r="EUQ16" s="508" t="s">
        <v>581</v>
      </c>
      <c r="EUR16" s="508" t="s">
        <v>581</v>
      </c>
      <c r="EUS16" s="508" t="s">
        <v>581</v>
      </c>
      <c r="EUT16" s="508" t="s">
        <v>581</v>
      </c>
      <c r="EUU16" s="508" t="s">
        <v>581</v>
      </c>
      <c r="EUV16" s="508" t="s">
        <v>581</v>
      </c>
      <c r="EUW16" s="508" t="s">
        <v>581</v>
      </c>
      <c r="EUX16" s="508" t="s">
        <v>581</v>
      </c>
      <c r="EUY16" s="508" t="s">
        <v>581</v>
      </c>
      <c r="EUZ16" s="508" t="s">
        <v>581</v>
      </c>
      <c r="EVA16" s="508" t="s">
        <v>581</v>
      </c>
      <c r="EVB16" s="508" t="s">
        <v>581</v>
      </c>
      <c r="EVC16" s="508" t="s">
        <v>581</v>
      </c>
      <c r="EVD16" s="508" t="s">
        <v>581</v>
      </c>
      <c r="EVE16" s="508" t="s">
        <v>581</v>
      </c>
      <c r="EVF16" s="508" t="s">
        <v>581</v>
      </c>
      <c r="EVG16" s="508" t="s">
        <v>581</v>
      </c>
      <c r="EVH16" s="508" t="s">
        <v>581</v>
      </c>
      <c r="EVI16" s="508" t="s">
        <v>581</v>
      </c>
      <c r="EVJ16" s="508" t="s">
        <v>581</v>
      </c>
      <c r="EVK16" s="508" t="s">
        <v>581</v>
      </c>
      <c r="EVL16" s="508" t="s">
        <v>581</v>
      </c>
      <c r="EVM16" s="508" t="s">
        <v>581</v>
      </c>
      <c r="EVN16" s="508" t="s">
        <v>581</v>
      </c>
      <c r="EVO16" s="508" t="s">
        <v>581</v>
      </c>
      <c r="EVP16" s="508" t="s">
        <v>581</v>
      </c>
      <c r="EVQ16" s="508" t="s">
        <v>581</v>
      </c>
      <c r="EVR16" s="508" t="s">
        <v>581</v>
      </c>
      <c r="EVS16" s="508" t="s">
        <v>581</v>
      </c>
      <c r="EVT16" s="508" t="s">
        <v>581</v>
      </c>
      <c r="EVU16" s="508" t="s">
        <v>581</v>
      </c>
      <c r="EVV16" s="508" t="s">
        <v>581</v>
      </c>
      <c r="EVW16" s="508" t="s">
        <v>581</v>
      </c>
      <c r="EVX16" s="508" t="s">
        <v>581</v>
      </c>
      <c r="EVY16" s="508" t="s">
        <v>581</v>
      </c>
      <c r="EVZ16" s="508" t="s">
        <v>581</v>
      </c>
      <c r="EWA16" s="508" t="s">
        <v>581</v>
      </c>
      <c r="EWB16" s="508" t="s">
        <v>581</v>
      </c>
      <c r="EWC16" s="508" t="s">
        <v>581</v>
      </c>
      <c r="EWD16" s="508" t="s">
        <v>581</v>
      </c>
      <c r="EWE16" s="508" t="s">
        <v>581</v>
      </c>
      <c r="EWF16" s="508" t="s">
        <v>581</v>
      </c>
      <c r="EWG16" s="508" t="s">
        <v>581</v>
      </c>
      <c r="EWH16" s="508" t="s">
        <v>581</v>
      </c>
      <c r="EWI16" s="508" t="s">
        <v>581</v>
      </c>
      <c r="EWJ16" s="508" t="s">
        <v>581</v>
      </c>
      <c r="EWK16" s="508" t="s">
        <v>581</v>
      </c>
      <c r="EWL16" s="508" t="s">
        <v>581</v>
      </c>
      <c r="EWM16" s="508" t="s">
        <v>581</v>
      </c>
      <c r="EWN16" s="508" t="s">
        <v>581</v>
      </c>
      <c r="EWO16" s="508" t="s">
        <v>581</v>
      </c>
      <c r="EWP16" s="508" t="s">
        <v>581</v>
      </c>
      <c r="EWQ16" s="508" t="s">
        <v>581</v>
      </c>
      <c r="EWR16" s="508" t="s">
        <v>581</v>
      </c>
      <c r="EWS16" s="508" t="s">
        <v>581</v>
      </c>
      <c r="EWT16" s="508" t="s">
        <v>581</v>
      </c>
      <c r="EWU16" s="508" t="s">
        <v>581</v>
      </c>
      <c r="EWV16" s="508" t="s">
        <v>581</v>
      </c>
      <c r="EWW16" s="508" t="s">
        <v>581</v>
      </c>
      <c r="EWX16" s="508" t="s">
        <v>581</v>
      </c>
      <c r="EWY16" s="508" t="s">
        <v>581</v>
      </c>
      <c r="EWZ16" s="508" t="s">
        <v>581</v>
      </c>
      <c r="EXA16" s="508" t="s">
        <v>581</v>
      </c>
      <c r="EXB16" s="508" t="s">
        <v>581</v>
      </c>
      <c r="EXC16" s="508" t="s">
        <v>581</v>
      </c>
      <c r="EXD16" s="508" t="s">
        <v>581</v>
      </c>
      <c r="EXE16" s="508" t="s">
        <v>581</v>
      </c>
      <c r="EXF16" s="508" t="s">
        <v>581</v>
      </c>
      <c r="EXG16" s="508" t="s">
        <v>581</v>
      </c>
      <c r="EXH16" s="508" t="s">
        <v>581</v>
      </c>
      <c r="EXI16" s="508" t="s">
        <v>581</v>
      </c>
      <c r="EXJ16" s="508" t="s">
        <v>581</v>
      </c>
      <c r="EXK16" s="508" t="s">
        <v>581</v>
      </c>
      <c r="EXL16" s="508" t="s">
        <v>581</v>
      </c>
      <c r="EXM16" s="508" t="s">
        <v>581</v>
      </c>
      <c r="EXN16" s="508" t="s">
        <v>581</v>
      </c>
      <c r="EXO16" s="508" t="s">
        <v>581</v>
      </c>
      <c r="EXP16" s="508" t="s">
        <v>581</v>
      </c>
      <c r="EXQ16" s="508" t="s">
        <v>581</v>
      </c>
      <c r="EXR16" s="508" t="s">
        <v>581</v>
      </c>
      <c r="EXS16" s="508" t="s">
        <v>581</v>
      </c>
      <c r="EXT16" s="508" t="s">
        <v>581</v>
      </c>
      <c r="EXU16" s="508" t="s">
        <v>581</v>
      </c>
      <c r="EXV16" s="508" t="s">
        <v>581</v>
      </c>
      <c r="EXW16" s="508" t="s">
        <v>581</v>
      </c>
      <c r="EXX16" s="508" t="s">
        <v>581</v>
      </c>
      <c r="EXY16" s="508" t="s">
        <v>581</v>
      </c>
      <c r="EXZ16" s="508" t="s">
        <v>581</v>
      </c>
      <c r="EYA16" s="508" t="s">
        <v>581</v>
      </c>
      <c r="EYB16" s="508" t="s">
        <v>581</v>
      </c>
      <c r="EYC16" s="508" t="s">
        <v>581</v>
      </c>
      <c r="EYD16" s="508" t="s">
        <v>581</v>
      </c>
      <c r="EYE16" s="508" t="s">
        <v>581</v>
      </c>
      <c r="EYF16" s="508" t="s">
        <v>581</v>
      </c>
      <c r="EYG16" s="508" t="s">
        <v>581</v>
      </c>
      <c r="EYH16" s="508" t="s">
        <v>581</v>
      </c>
      <c r="EYI16" s="508" t="s">
        <v>581</v>
      </c>
      <c r="EYJ16" s="508" t="s">
        <v>581</v>
      </c>
      <c r="EYK16" s="508" t="s">
        <v>581</v>
      </c>
      <c r="EYL16" s="508" t="s">
        <v>581</v>
      </c>
      <c r="EYM16" s="508" t="s">
        <v>581</v>
      </c>
      <c r="EYN16" s="508" t="s">
        <v>581</v>
      </c>
      <c r="EYO16" s="508" t="s">
        <v>581</v>
      </c>
      <c r="EYP16" s="508" t="s">
        <v>581</v>
      </c>
      <c r="EYQ16" s="508" t="s">
        <v>581</v>
      </c>
      <c r="EYR16" s="508" t="s">
        <v>581</v>
      </c>
      <c r="EYS16" s="508" t="s">
        <v>581</v>
      </c>
      <c r="EYT16" s="508" t="s">
        <v>581</v>
      </c>
      <c r="EYU16" s="508" t="s">
        <v>581</v>
      </c>
      <c r="EYV16" s="508" t="s">
        <v>581</v>
      </c>
      <c r="EYW16" s="508" t="s">
        <v>581</v>
      </c>
      <c r="EYX16" s="508" t="s">
        <v>581</v>
      </c>
      <c r="EYY16" s="508" t="s">
        <v>581</v>
      </c>
      <c r="EYZ16" s="508" t="s">
        <v>581</v>
      </c>
      <c r="EZA16" s="508" t="s">
        <v>581</v>
      </c>
      <c r="EZB16" s="508" t="s">
        <v>581</v>
      </c>
      <c r="EZC16" s="508" t="s">
        <v>581</v>
      </c>
      <c r="EZD16" s="508" t="s">
        <v>581</v>
      </c>
      <c r="EZE16" s="508" t="s">
        <v>581</v>
      </c>
      <c r="EZF16" s="508" t="s">
        <v>581</v>
      </c>
      <c r="EZG16" s="508" t="s">
        <v>581</v>
      </c>
      <c r="EZH16" s="508" t="s">
        <v>581</v>
      </c>
      <c r="EZI16" s="508" t="s">
        <v>581</v>
      </c>
      <c r="EZJ16" s="508" t="s">
        <v>581</v>
      </c>
      <c r="EZK16" s="508" t="s">
        <v>581</v>
      </c>
      <c r="EZL16" s="508" t="s">
        <v>581</v>
      </c>
      <c r="EZM16" s="508" t="s">
        <v>581</v>
      </c>
      <c r="EZN16" s="508" t="s">
        <v>581</v>
      </c>
      <c r="EZO16" s="508" t="s">
        <v>581</v>
      </c>
      <c r="EZP16" s="508" t="s">
        <v>581</v>
      </c>
      <c r="EZQ16" s="508" t="s">
        <v>581</v>
      </c>
      <c r="EZR16" s="508" t="s">
        <v>581</v>
      </c>
      <c r="EZS16" s="508" t="s">
        <v>581</v>
      </c>
      <c r="EZT16" s="508" t="s">
        <v>581</v>
      </c>
      <c r="EZU16" s="508" t="s">
        <v>581</v>
      </c>
      <c r="EZV16" s="508" t="s">
        <v>581</v>
      </c>
      <c r="EZW16" s="508" t="s">
        <v>581</v>
      </c>
      <c r="EZX16" s="508" t="s">
        <v>581</v>
      </c>
      <c r="EZY16" s="508" t="s">
        <v>581</v>
      </c>
      <c r="EZZ16" s="508" t="s">
        <v>581</v>
      </c>
      <c r="FAA16" s="508" t="s">
        <v>581</v>
      </c>
      <c r="FAB16" s="508" t="s">
        <v>581</v>
      </c>
      <c r="FAC16" s="508" t="s">
        <v>581</v>
      </c>
      <c r="FAD16" s="508" t="s">
        <v>581</v>
      </c>
      <c r="FAE16" s="508" t="s">
        <v>581</v>
      </c>
      <c r="FAF16" s="508" t="s">
        <v>581</v>
      </c>
      <c r="FAG16" s="508" t="s">
        <v>581</v>
      </c>
      <c r="FAH16" s="508" t="s">
        <v>581</v>
      </c>
      <c r="FAI16" s="508" t="s">
        <v>581</v>
      </c>
      <c r="FAJ16" s="508" t="s">
        <v>581</v>
      </c>
      <c r="FAK16" s="508" t="s">
        <v>581</v>
      </c>
      <c r="FAL16" s="508" t="s">
        <v>581</v>
      </c>
      <c r="FAM16" s="508" t="s">
        <v>581</v>
      </c>
      <c r="FAN16" s="508" t="s">
        <v>581</v>
      </c>
      <c r="FAO16" s="508" t="s">
        <v>581</v>
      </c>
      <c r="FAP16" s="508" t="s">
        <v>581</v>
      </c>
      <c r="FAQ16" s="508" t="s">
        <v>581</v>
      </c>
      <c r="FAR16" s="508" t="s">
        <v>581</v>
      </c>
      <c r="FAS16" s="508" t="s">
        <v>581</v>
      </c>
      <c r="FAT16" s="508" t="s">
        <v>581</v>
      </c>
      <c r="FAU16" s="508" t="s">
        <v>581</v>
      </c>
      <c r="FAV16" s="508" t="s">
        <v>581</v>
      </c>
      <c r="FAW16" s="508" t="s">
        <v>581</v>
      </c>
      <c r="FAX16" s="508" t="s">
        <v>581</v>
      </c>
      <c r="FAY16" s="508" t="s">
        <v>581</v>
      </c>
      <c r="FAZ16" s="508" t="s">
        <v>581</v>
      </c>
      <c r="FBA16" s="508" t="s">
        <v>581</v>
      </c>
      <c r="FBB16" s="508" t="s">
        <v>581</v>
      </c>
      <c r="FBC16" s="508" t="s">
        <v>581</v>
      </c>
      <c r="FBD16" s="508" t="s">
        <v>581</v>
      </c>
      <c r="FBE16" s="508" t="s">
        <v>581</v>
      </c>
      <c r="FBF16" s="508" t="s">
        <v>581</v>
      </c>
      <c r="FBG16" s="508" t="s">
        <v>581</v>
      </c>
      <c r="FBH16" s="508" t="s">
        <v>581</v>
      </c>
      <c r="FBI16" s="508" t="s">
        <v>581</v>
      </c>
      <c r="FBJ16" s="508" t="s">
        <v>581</v>
      </c>
      <c r="FBK16" s="508" t="s">
        <v>581</v>
      </c>
      <c r="FBL16" s="508" t="s">
        <v>581</v>
      </c>
      <c r="FBM16" s="508" t="s">
        <v>581</v>
      </c>
      <c r="FBN16" s="508" t="s">
        <v>581</v>
      </c>
      <c r="FBO16" s="508" t="s">
        <v>581</v>
      </c>
      <c r="FBP16" s="508" t="s">
        <v>581</v>
      </c>
      <c r="FBQ16" s="508" t="s">
        <v>581</v>
      </c>
      <c r="FBR16" s="508" t="s">
        <v>581</v>
      </c>
      <c r="FBS16" s="508" t="s">
        <v>581</v>
      </c>
      <c r="FBT16" s="508" t="s">
        <v>581</v>
      </c>
      <c r="FBU16" s="508" t="s">
        <v>581</v>
      </c>
      <c r="FBV16" s="508" t="s">
        <v>581</v>
      </c>
      <c r="FBW16" s="508" t="s">
        <v>581</v>
      </c>
      <c r="FBX16" s="508" t="s">
        <v>581</v>
      </c>
      <c r="FBY16" s="508" t="s">
        <v>581</v>
      </c>
      <c r="FBZ16" s="508" t="s">
        <v>581</v>
      </c>
      <c r="FCA16" s="508" t="s">
        <v>581</v>
      </c>
      <c r="FCB16" s="508" t="s">
        <v>581</v>
      </c>
      <c r="FCC16" s="508" t="s">
        <v>581</v>
      </c>
      <c r="FCD16" s="508" t="s">
        <v>581</v>
      </c>
      <c r="FCE16" s="508" t="s">
        <v>581</v>
      </c>
      <c r="FCF16" s="508" t="s">
        <v>581</v>
      </c>
      <c r="FCG16" s="508" t="s">
        <v>581</v>
      </c>
      <c r="FCH16" s="508" t="s">
        <v>581</v>
      </c>
      <c r="FCI16" s="508" t="s">
        <v>581</v>
      </c>
      <c r="FCJ16" s="508" t="s">
        <v>581</v>
      </c>
      <c r="FCK16" s="508" t="s">
        <v>581</v>
      </c>
      <c r="FCL16" s="508" t="s">
        <v>581</v>
      </c>
      <c r="FCM16" s="508" t="s">
        <v>581</v>
      </c>
      <c r="FCN16" s="508" t="s">
        <v>581</v>
      </c>
      <c r="FCO16" s="508" t="s">
        <v>581</v>
      </c>
      <c r="FCP16" s="508" t="s">
        <v>581</v>
      </c>
      <c r="FCQ16" s="508" t="s">
        <v>581</v>
      </c>
      <c r="FCR16" s="508" t="s">
        <v>581</v>
      </c>
      <c r="FCS16" s="508" t="s">
        <v>581</v>
      </c>
      <c r="FCT16" s="508" t="s">
        <v>581</v>
      </c>
      <c r="FCU16" s="508" t="s">
        <v>581</v>
      </c>
      <c r="FCV16" s="508" t="s">
        <v>581</v>
      </c>
      <c r="FCW16" s="508" t="s">
        <v>581</v>
      </c>
      <c r="FCX16" s="508" t="s">
        <v>581</v>
      </c>
      <c r="FCY16" s="508" t="s">
        <v>581</v>
      </c>
      <c r="FCZ16" s="508" t="s">
        <v>581</v>
      </c>
      <c r="FDA16" s="508" t="s">
        <v>581</v>
      </c>
      <c r="FDB16" s="508" t="s">
        <v>581</v>
      </c>
      <c r="FDC16" s="508" t="s">
        <v>581</v>
      </c>
      <c r="FDD16" s="508" t="s">
        <v>581</v>
      </c>
      <c r="FDE16" s="508" t="s">
        <v>581</v>
      </c>
      <c r="FDF16" s="508" t="s">
        <v>581</v>
      </c>
      <c r="FDG16" s="508" t="s">
        <v>581</v>
      </c>
      <c r="FDH16" s="508" t="s">
        <v>581</v>
      </c>
      <c r="FDI16" s="508" t="s">
        <v>581</v>
      </c>
      <c r="FDJ16" s="508" t="s">
        <v>581</v>
      </c>
      <c r="FDK16" s="508" t="s">
        <v>581</v>
      </c>
      <c r="FDL16" s="508" t="s">
        <v>581</v>
      </c>
      <c r="FDM16" s="508" t="s">
        <v>581</v>
      </c>
      <c r="FDN16" s="508" t="s">
        <v>581</v>
      </c>
      <c r="FDO16" s="508" t="s">
        <v>581</v>
      </c>
      <c r="FDP16" s="508" t="s">
        <v>581</v>
      </c>
      <c r="FDQ16" s="508" t="s">
        <v>581</v>
      </c>
      <c r="FDR16" s="508" t="s">
        <v>581</v>
      </c>
      <c r="FDS16" s="508" t="s">
        <v>581</v>
      </c>
      <c r="FDT16" s="508" t="s">
        <v>581</v>
      </c>
      <c r="FDU16" s="508" t="s">
        <v>581</v>
      </c>
      <c r="FDV16" s="508" t="s">
        <v>581</v>
      </c>
      <c r="FDW16" s="508" t="s">
        <v>581</v>
      </c>
      <c r="FDX16" s="508" t="s">
        <v>581</v>
      </c>
      <c r="FDY16" s="508" t="s">
        <v>581</v>
      </c>
      <c r="FDZ16" s="508" t="s">
        <v>581</v>
      </c>
      <c r="FEA16" s="508" t="s">
        <v>581</v>
      </c>
      <c r="FEB16" s="508" t="s">
        <v>581</v>
      </c>
      <c r="FEC16" s="508" t="s">
        <v>581</v>
      </c>
      <c r="FED16" s="508" t="s">
        <v>581</v>
      </c>
      <c r="FEE16" s="508" t="s">
        <v>581</v>
      </c>
      <c r="FEF16" s="508" t="s">
        <v>581</v>
      </c>
      <c r="FEG16" s="508" t="s">
        <v>581</v>
      </c>
      <c r="FEH16" s="508" t="s">
        <v>581</v>
      </c>
      <c r="FEI16" s="508" t="s">
        <v>581</v>
      </c>
      <c r="FEJ16" s="508" t="s">
        <v>581</v>
      </c>
      <c r="FEK16" s="508" t="s">
        <v>581</v>
      </c>
      <c r="FEL16" s="508" t="s">
        <v>581</v>
      </c>
      <c r="FEM16" s="508" t="s">
        <v>581</v>
      </c>
      <c r="FEN16" s="508" t="s">
        <v>581</v>
      </c>
      <c r="FEO16" s="508" t="s">
        <v>581</v>
      </c>
      <c r="FEP16" s="508" t="s">
        <v>581</v>
      </c>
      <c r="FEQ16" s="508" t="s">
        <v>581</v>
      </c>
      <c r="FER16" s="508" t="s">
        <v>581</v>
      </c>
      <c r="FES16" s="508" t="s">
        <v>581</v>
      </c>
      <c r="FET16" s="508" t="s">
        <v>581</v>
      </c>
      <c r="FEU16" s="508" t="s">
        <v>581</v>
      </c>
      <c r="FEV16" s="508" t="s">
        <v>581</v>
      </c>
      <c r="FEW16" s="508" t="s">
        <v>581</v>
      </c>
      <c r="FEX16" s="508" t="s">
        <v>581</v>
      </c>
      <c r="FEY16" s="508" t="s">
        <v>581</v>
      </c>
      <c r="FEZ16" s="508" t="s">
        <v>581</v>
      </c>
      <c r="FFA16" s="508" t="s">
        <v>581</v>
      </c>
      <c r="FFB16" s="508" t="s">
        <v>581</v>
      </c>
      <c r="FFC16" s="508" t="s">
        <v>581</v>
      </c>
      <c r="FFD16" s="508" t="s">
        <v>581</v>
      </c>
      <c r="FFE16" s="508" t="s">
        <v>581</v>
      </c>
      <c r="FFF16" s="508" t="s">
        <v>581</v>
      </c>
      <c r="FFG16" s="508" t="s">
        <v>581</v>
      </c>
      <c r="FFH16" s="508" t="s">
        <v>581</v>
      </c>
      <c r="FFI16" s="508" t="s">
        <v>581</v>
      </c>
      <c r="FFJ16" s="508" t="s">
        <v>581</v>
      </c>
      <c r="FFK16" s="508" t="s">
        <v>581</v>
      </c>
      <c r="FFL16" s="508" t="s">
        <v>581</v>
      </c>
      <c r="FFM16" s="508" t="s">
        <v>581</v>
      </c>
      <c r="FFN16" s="508" t="s">
        <v>581</v>
      </c>
      <c r="FFO16" s="508" t="s">
        <v>581</v>
      </c>
      <c r="FFP16" s="508" t="s">
        <v>581</v>
      </c>
      <c r="FFQ16" s="508" t="s">
        <v>581</v>
      </c>
      <c r="FFR16" s="508" t="s">
        <v>581</v>
      </c>
      <c r="FFS16" s="508" t="s">
        <v>581</v>
      </c>
      <c r="FFT16" s="508" t="s">
        <v>581</v>
      </c>
      <c r="FFU16" s="508" t="s">
        <v>581</v>
      </c>
      <c r="FFV16" s="508" t="s">
        <v>581</v>
      </c>
      <c r="FFW16" s="508" t="s">
        <v>581</v>
      </c>
      <c r="FFX16" s="508" t="s">
        <v>581</v>
      </c>
      <c r="FFY16" s="508" t="s">
        <v>581</v>
      </c>
      <c r="FFZ16" s="508" t="s">
        <v>581</v>
      </c>
      <c r="FGA16" s="508" t="s">
        <v>581</v>
      </c>
      <c r="FGB16" s="508" t="s">
        <v>581</v>
      </c>
      <c r="FGC16" s="508" t="s">
        <v>581</v>
      </c>
      <c r="FGD16" s="508" t="s">
        <v>581</v>
      </c>
      <c r="FGE16" s="508" t="s">
        <v>581</v>
      </c>
      <c r="FGF16" s="508" t="s">
        <v>581</v>
      </c>
      <c r="FGG16" s="508" t="s">
        <v>581</v>
      </c>
      <c r="FGH16" s="508" t="s">
        <v>581</v>
      </c>
      <c r="FGI16" s="508" t="s">
        <v>581</v>
      </c>
      <c r="FGJ16" s="508" t="s">
        <v>581</v>
      </c>
      <c r="FGK16" s="508" t="s">
        <v>581</v>
      </c>
      <c r="FGL16" s="508" t="s">
        <v>581</v>
      </c>
      <c r="FGM16" s="508" t="s">
        <v>581</v>
      </c>
      <c r="FGN16" s="508" t="s">
        <v>581</v>
      </c>
      <c r="FGO16" s="508" t="s">
        <v>581</v>
      </c>
      <c r="FGP16" s="508" t="s">
        <v>581</v>
      </c>
      <c r="FGQ16" s="508" t="s">
        <v>581</v>
      </c>
      <c r="FGR16" s="508" t="s">
        <v>581</v>
      </c>
      <c r="FGS16" s="508" t="s">
        <v>581</v>
      </c>
      <c r="FGT16" s="508" t="s">
        <v>581</v>
      </c>
      <c r="FGU16" s="508" t="s">
        <v>581</v>
      </c>
      <c r="FGV16" s="508" t="s">
        <v>581</v>
      </c>
      <c r="FGW16" s="508" t="s">
        <v>581</v>
      </c>
      <c r="FGX16" s="508" t="s">
        <v>581</v>
      </c>
      <c r="FGY16" s="508" t="s">
        <v>581</v>
      </c>
      <c r="FGZ16" s="508" t="s">
        <v>581</v>
      </c>
      <c r="FHA16" s="508" t="s">
        <v>581</v>
      </c>
      <c r="FHB16" s="508" t="s">
        <v>581</v>
      </c>
      <c r="FHC16" s="508" t="s">
        <v>581</v>
      </c>
      <c r="FHD16" s="508" t="s">
        <v>581</v>
      </c>
      <c r="FHE16" s="508" t="s">
        <v>581</v>
      </c>
      <c r="FHF16" s="508" t="s">
        <v>581</v>
      </c>
      <c r="FHG16" s="508" t="s">
        <v>581</v>
      </c>
      <c r="FHH16" s="508" t="s">
        <v>581</v>
      </c>
      <c r="FHI16" s="508" t="s">
        <v>581</v>
      </c>
      <c r="FHJ16" s="508" t="s">
        <v>581</v>
      </c>
      <c r="FHK16" s="508" t="s">
        <v>581</v>
      </c>
      <c r="FHL16" s="508" t="s">
        <v>581</v>
      </c>
      <c r="FHM16" s="508" t="s">
        <v>581</v>
      </c>
      <c r="FHN16" s="508" t="s">
        <v>581</v>
      </c>
      <c r="FHO16" s="508" t="s">
        <v>581</v>
      </c>
      <c r="FHP16" s="508" t="s">
        <v>581</v>
      </c>
      <c r="FHQ16" s="508" t="s">
        <v>581</v>
      </c>
      <c r="FHR16" s="508" t="s">
        <v>581</v>
      </c>
      <c r="FHS16" s="508" t="s">
        <v>581</v>
      </c>
      <c r="FHT16" s="508" t="s">
        <v>581</v>
      </c>
      <c r="FHU16" s="508" t="s">
        <v>581</v>
      </c>
      <c r="FHV16" s="508" t="s">
        <v>581</v>
      </c>
      <c r="FHW16" s="508" t="s">
        <v>581</v>
      </c>
      <c r="FHX16" s="508" t="s">
        <v>581</v>
      </c>
      <c r="FHY16" s="508" t="s">
        <v>581</v>
      </c>
      <c r="FHZ16" s="508" t="s">
        <v>581</v>
      </c>
      <c r="FIA16" s="508" t="s">
        <v>581</v>
      </c>
      <c r="FIB16" s="508" t="s">
        <v>581</v>
      </c>
      <c r="FIC16" s="508" t="s">
        <v>581</v>
      </c>
      <c r="FID16" s="508" t="s">
        <v>581</v>
      </c>
      <c r="FIE16" s="508" t="s">
        <v>581</v>
      </c>
      <c r="FIF16" s="508" t="s">
        <v>581</v>
      </c>
      <c r="FIG16" s="508" t="s">
        <v>581</v>
      </c>
      <c r="FIH16" s="508" t="s">
        <v>581</v>
      </c>
      <c r="FII16" s="508" t="s">
        <v>581</v>
      </c>
      <c r="FIJ16" s="508" t="s">
        <v>581</v>
      </c>
      <c r="FIK16" s="508" t="s">
        <v>581</v>
      </c>
      <c r="FIL16" s="508" t="s">
        <v>581</v>
      </c>
      <c r="FIM16" s="508" t="s">
        <v>581</v>
      </c>
      <c r="FIN16" s="508" t="s">
        <v>581</v>
      </c>
      <c r="FIO16" s="508" t="s">
        <v>581</v>
      </c>
      <c r="FIP16" s="508" t="s">
        <v>581</v>
      </c>
      <c r="FIQ16" s="508" t="s">
        <v>581</v>
      </c>
      <c r="FIR16" s="508" t="s">
        <v>581</v>
      </c>
      <c r="FIS16" s="508" t="s">
        <v>581</v>
      </c>
      <c r="FIT16" s="508" t="s">
        <v>581</v>
      </c>
      <c r="FIU16" s="508" t="s">
        <v>581</v>
      </c>
      <c r="FIV16" s="508" t="s">
        <v>581</v>
      </c>
      <c r="FIW16" s="508" t="s">
        <v>581</v>
      </c>
      <c r="FIX16" s="508" t="s">
        <v>581</v>
      </c>
      <c r="FIY16" s="508" t="s">
        <v>581</v>
      </c>
      <c r="FIZ16" s="508" t="s">
        <v>581</v>
      </c>
      <c r="FJA16" s="508" t="s">
        <v>581</v>
      </c>
      <c r="FJB16" s="508" t="s">
        <v>581</v>
      </c>
      <c r="FJC16" s="508" t="s">
        <v>581</v>
      </c>
      <c r="FJD16" s="508" t="s">
        <v>581</v>
      </c>
      <c r="FJE16" s="508" t="s">
        <v>581</v>
      </c>
      <c r="FJF16" s="508" t="s">
        <v>581</v>
      </c>
      <c r="FJG16" s="508" t="s">
        <v>581</v>
      </c>
      <c r="FJH16" s="508" t="s">
        <v>581</v>
      </c>
      <c r="FJI16" s="508" t="s">
        <v>581</v>
      </c>
      <c r="FJJ16" s="508" t="s">
        <v>581</v>
      </c>
      <c r="FJK16" s="508" t="s">
        <v>581</v>
      </c>
      <c r="FJL16" s="508" t="s">
        <v>581</v>
      </c>
      <c r="FJM16" s="508" t="s">
        <v>581</v>
      </c>
      <c r="FJN16" s="508" t="s">
        <v>581</v>
      </c>
      <c r="FJO16" s="508" t="s">
        <v>581</v>
      </c>
      <c r="FJP16" s="508" t="s">
        <v>581</v>
      </c>
      <c r="FJQ16" s="508" t="s">
        <v>581</v>
      </c>
      <c r="FJR16" s="508" t="s">
        <v>581</v>
      </c>
      <c r="FJS16" s="508" t="s">
        <v>581</v>
      </c>
      <c r="FJT16" s="508" t="s">
        <v>581</v>
      </c>
      <c r="FJU16" s="508" t="s">
        <v>581</v>
      </c>
      <c r="FJV16" s="508" t="s">
        <v>581</v>
      </c>
      <c r="FJW16" s="508" t="s">
        <v>581</v>
      </c>
      <c r="FJX16" s="508" t="s">
        <v>581</v>
      </c>
      <c r="FJY16" s="508" t="s">
        <v>581</v>
      </c>
      <c r="FJZ16" s="508" t="s">
        <v>581</v>
      </c>
      <c r="FKA16" s="508" t="s">
        <v>581</v>
      </c>
      <c r="FKB16" s="508" t="s">
        <v>581</v>
      </c>
      <c r="FKC16" s="508" t="s">
        <v>581</v>
      </c>
      <c r="FKD16" s="508" t="s">
        <v>581</v>
      </c>
      <c r="FKE16" s="508" t="s">
        <v>581</v>
      </c>
      <c r="FKF16" s="508" t="s">
        <v>581</v>
      </c>
      <c r="FKG16" s="508" t="s">
        <v>581</v>
      </c>
      <c r="FKH16" s="508" t="s">
        <v>581</v>
      </c>
      <c r="FKI16" s="508" t="s">
        <v>581</v>
      </c>
      <c r="FKJ16" s="508" t="s">
        <v>581</v>
      </c>
      <c r="FKK16" s="508" t="s">
        <v>581</v>
      </c>
      <c r="FKL16" s="508" t="s">
        <v>581</v>
      </c>
      <c r="FKM16" s="508" t="s">
        <v>581</v>
      </c>
      <c r="FKN16" s="508" t="s">
        <v>581</v>
      </c>
      <c r="FKO16" s="508" t="s">
        <v>581</v>
      </c>
      <c r="FKP16" s="508" t="s">
        <v>581</v>
      </c>
      <c r="FKQ16" s="508" t="s">
        <v>581</v>
      </c>
      <c r="FKR16" s="508" t="s">
        <v>581</v>
      </c>
      <c r="FKS16" s="508" t="s">
        <v>581</v>
      </c>
      <c r="FKT16" s="508" t="s">
        <v>581</v>
      </c>
      <c r="FKU16" s="508" t="s">
        <v>581</v>
      </c>
      <c r="FKV16" s="508" t="s">
        <v>581</v>
      </c>
      <c r="FKW16" s="508" t="s">
        <v>581</v>
      </c>
      <c r="FKX16" s="508" t="s">
        <v>581</v>
      </c>
      <c r="FKY16" s="508" t="s">
        <v>581</v>
      </c>
      <c r="FKZ16" s="508" t="s">
        <v>581</v>
      </c>
      <c r="FLA16" s="508" t="s">
        <v>581</v>
      </c>
      <c r="FLB16" s="508" t="s">
        <v>581</v>
      </c>
      <c r="FLC16" s="508" t="s">
        <v>581</v>
      </c>
      <c r="FLD16" s="508" t="s">
        <v>581</v>
      </c>
      <c r="FLE16" s="508" t="s">
        <v>581</v>
      </c>
      <c r="FLF16" s="508" t="s">
        <v>581</v>
      </c>
      <c r="FLG16" s="508" t="s">
        <v>581</v>
      </c>
      <c r="FLH16" s="508" t="s">
        <v>581</v>
      </c>
      <c r="FLI16" s="508" t="s">
        <v>581</v>
      </c>
      <c r="FLJ16" s="508" t="s">
        <v>581</v>
      </c>
      <c r="FLK16" s="508" t="s">
        <v>581</v>
      </c>
      <c r="FLL16" s="508" t="s">
        <v>581</v>
      </c>
      <c r="FLM16" s="508" t="s">
        <v>581</v>
      </c>
      <c r="FLN16" s="508" t="s">
        <v>581</v>
      </c>
      <c r="FLO16" s="508" t="s">
        <v>581</v>
      </c>
      <c r="FLP16" s="508" t="s">
        <v>581</v>
      </c>
      <c r="FLQ16" s="508" t="s">
        <v>581</v>
      </c>
      <c r="FLR16" s="508" t="s">
        <v>581</v>
      </c>
      <c r="FLS16" s="508" t="s">
        <v>581</v>
      </c>
      <c r="FLT16" s="508" t="s">
        <v>581</v>
      </c>
      <c r="FLU16" s="508" t="s">
        <v>581</v>
      </c>
      <c r="FLV16" s="508" t="s">
        <v>581</v>
      </c>
      <c r="FLW16" s="508" t="s">
        <v>581</v>
      </c>
      <c r="FLX16" s="508" t="s">
        <v>581</v>
      </c>
      <c r="FLY16" s="508" t="s">
        <v>581</v>
      </c>
      <c r="FLZ16" s="508" t="s">
        <v>581</v>
      </c>
      <c r="FMA16" s="508" t="s">
        <v>581</v>
      </c>
      <c r="FMB16" s="508" t="s">
        <v>581</v>
      </c>
      <c r="FMC16" s="508" t="s">
        <v>581</v>
      </c>
      <c r="FMD16" s="508" t="s">
        <v>581</v>
      </c>
      <c r="FME16" s="508" t="s">
        <v>581</v>
      </c>
      <c r="FMF16" s="508" t="s">
        <v>581</v>
      </c>
      <c r="FMG16" s="508" t="s">
        <v>581</v>
      </c>
      <c r="FMH16" s="508" t="s">
        <v>581</v>
      </c>
      <c r="FMI16" s="508" t="s">
        <v>581</v>
      </c>
      <c r="FMJ16" s="508" t="s">
        <v>581</v>
      </c>
      <c r="FMK16" s="508" t="s">
        <v>581</v>
      </c>
      <c r="FML16" s="508" t="s">
        <v>581</v>
      </c>
      <c r="FMM16" s="508" t="s">
        <v>581</v>
      </c>
      <c r="FMN16" s="508" t="s">
        <v>581</v>
      </c>
      <c r="FMO16" s="508" t="s">
        <v>581</v>
      </c>
      <c r="FMP16" s="508" t="s">
        <v>581</v>
      </c>
      <c r="FMQ16" s="508" t="s">
        <v>581</v>
      </c>
      <c r="FMR16" s="508" t="s">
        <v>581</v>
      </c>
      <c r="FMS16" s="508" t="s">
        <v>581</v>
      </c>
      <c r="FMT16" s="508" t="s">
        <v>581</v>
      </c>
      <c r="FMU16" s="508" t="s">
        <v>581</v>
      </c>
      <c r="FMV16" s="508" t="s">
        <v>581</v>
      </c>
      <c r="FMW16" s="508" t="s">
        <v>581</v>
      </c>
      <c r="FMX16" s="508" t="s">
        <v>581</v>
      </c>
      <c r="FMY16" s="508" t="s">
        <v>581</v>
      </c>
      <c r="FMZ16" s="508" t="s">
        <v>581</v>
      </c>
      <c r="FNA16" s="508" t="s">
        <v>581</v>
      </c>
      <c r="FNB16" s="508" t="s">
        <v>581</v>
      </c>
      <c r="FNC16" s="508" t="s">
        <v>581</v>
      </c>
      <c r="FND16" s="508" t="s">
        <v>581</v>
      </c>
      <c r="FNE16" s="508" t="s">
        <v>581</v>
      </c>
      <c r="FNF16" s="508" t="s">
        <v>581</v>
      </c>
      <c r="FNG16" s="508" t="s">
        <v>581</v>
      </c>
      <c r="FNH16" s="508" t="s">
        <v>581</v>
      </c>
      <c r="FNI16" s="508" t="s">
        <v>581</v>
      </c>
      <c r="FNJ16" s="508" t="s">
        <v>581</v>
      </c>
      <c r="FNK16" s="508" t="s">
        <v>581</v>
      </c>
      <c r="FNL16" s="508" t="s">
        <v>581</v>
      </c>
      <c r="FNM16" s="508" t="s">
        <v>581</v>
      </c>
      <c r="FNN16" s="508" t="s">
        <v>581</v>
      </c>
      <c r="FNO16" s="508" t="s">
        <v>581</v>
      </c>
      <c r="FNP16" s="508" t="s">
        <v>581</v>
      </c>
      <c r="FNQ16" s="508" t="s">
        <v>581</v>
      </c>
      <c r="FNR16" s="508" t="s">
        <v>581</v>
      </c>
      <c r="FNS16" s="508" t="s">
        <v>581</v>
      </c>
      <c r="FNT16" s="508" t="s">
        <v>581</v>
      </c>
      <c r="FNU16" s="508" t="s">
        <v>581</v>
      </c>
      <c r="FNV16" s="508" t="s">
        <v>581</v>
      </c>
      <c r="FNW16" s="508" t="s">
        <v>581</v>
      </c>
      <c r="FNX16" s="508" t="s">
        <v>581</v>
      </c>
      <c r="FNY16" s="508" t="s">
        <v>581</v>
      </c>
      <c r="FNZ16" s="508" t="s">
        <v>581</v>
      </c>
      <c r="FOA16" s="508" t="s">
        <v>581</v>
      </c>
      <c r="FOB16" s="508" t="s">
        <v>581</v>
      </c>
      <c r="FOC16" s="508" t="s">
        <v>581</v>
      </c>
      <c r="FOD16" s="508" t="s">
        <v>581</v>
      </c>
      <c r="FOE16" s="508" t="s">
        <v>581</v>
      </c>
      <c r="FOF16" s="508" t="s">
        <v>581</v>
      </c>
      <c r="FOG16" s="508" t="s">
        <v>581</v>
      </c>
      <c r="FOH16" s="508" t="s">
        <v>581</v>
      </c>
      <c r="FOI16" s="508" t="s">
        <v>581</v>
      </c>
      <c r="FOJ16" s="508" t="s">
        <v>581</v>
      </c>
      <c r="FOK16" s="508" t="s">
        <v>581</v>
      </c>
      <c r="FOL16" s="508" t="s">
        <v>581</v>
      </c>
      <c r="FOM16" s="508" t="s">
        <v>581</v>
      </c>
      <c r="FON16" s="508" t="s">
        <v>581</v>
      </c>
      <c r="FOO16" s="508" t="s">
        <v>581</v>
      </c>
      <c r="FOP16" s="508" t="s">
        <v>581</v>
      </c>
      <c r="FOQ16" s="508" t="s">
        <v>581</v>
      </c>
      <c r="FOR16" s="508" t="s">
        <v>581</v>
      </c>
      <c r="FOS16" s="508" t="s">
        <v>581</v>
      </c>
      <c r="FOT16" s="508" t="s">
        <v>581</v>
      </c>
      <c r="FOU16" s="508" t="s">
        <v>581</v>
      </c>
      <c r="FOV16" s="508" t="s">
        <v>581</v>
      </c>
      <c r="FOW16" s="508" t="s">
        <v>581</v>
      </c>
      <c r="FOX16" s="508" t="s">
        <v>581</v>
      </c>
      <c r="FOY16" s="508" t="s">
        <v>581</v>
      </c>
      <c r="FOZ16" s="508" t="s">
        <v>581</v>
      </c>
      <c r="FPA16" s="508" t="s">
        <v>581</v>
      </c>
      <c r="FPB16" s="508" t="s">
        <v>581</v>
      </c>
      <c r="FPC16" s="508" t="s">
        <v>581</v>
      </c>
      <c r="FPD16" s="508" t="s">
        <v>581</v>
      </c>
      <c r="FPE16" s="508" t="s">
        <v>581</v>
      </c>
      <c r="FPF16" s="508" t="s">
        <v>581</v>
      </c>
      <c r="FPG16" s="508" t="s">
        <v>581</v>
      </c>
      <c r="FPH16" s="508" t="s">
        <v>581</v>
      </c>
      <c r="FPI16" s="508" t="s">
        <v>581</v>
      </c>
      <c r="FPJ16" s="508" t="s">
        <v>581</v>
      </c>
      <c r="FPK16" s="508" t="s">
        <v>581</v>
      </c>
      <c r="FPL16" s="508" t="s">
        <v>581</v>
      </c>
      <c r="FPM16" s="508" t="s">
        <v>581</v>
      </c>
      <c r="FPN16" s="508" t="s">
        <v>581</v>
      </c>
      <c r="FPO16" s="508" t="s">
        <v>581</v>
      </c>
      <c r="FPP16" s="508" t="s">
        <v>581</v>
      </c>
      <c r="FPQ16" s="508" t="s">
        <v>581</v>
      </c>
      <c r="FPR16" s="508" t="s">
        <v>581</v>
      </c>
      <c r="FPS16" s="508" t="s">
        <v>581</v>
      </c>
      <c r="FPT16" s="508" t="s">
        <v>581</v>
      </c>
      <c r="FPU16" s="508" t="s">
        <v>581</v>
      </c>
      <c r="FPV16" s="508" t="s">
        <v>581</v>
      </c>
      <c r="FPW16" s="508" t="s">
        <v>581</v>
      </c>
      <c r="FPX16" s="508" t="s">
        <v>581</v>
      </c>
      <c r="FPY16" s="508" t="s">
        <v>581</v>
      </c>
      <c r="FPZ16" s="508" t="s">
        <v>581</v>
      </c>
      <c r="FQA16" s="508" t="s">
        <v>581</v>
      </c>
      <c r="FQB16" s="508" t="s">
        <v>581</v>
      </c>
      <c r="FQC16" s="508" t="s">
        <v>581</v>
      </c>
      <c r="FQD16" s="508" t="s">
        <v>581</v>
      </c>
      <c r="FQE16" s="508" t="s">
        <v>581</v>
      </c>
      <c r="FQF16" s="508" t="s">
        <v>581</v>
      </c>
      <c r="FQG16" s="508" t="s">
        <v>581</v>
      </c>
      <c r="FQH16" s="508" t="s">
        <v>581</v>
      </c>
      <c r="FQI16" s="508" t="s">
        <v>581</v>
      </c>
      <c r="FQJ16" s="508" t="s">
        <v>581</v>
      </c>
      <c r="FQK16" s="508" t="s">
        <v>581</v>
      </c>
      <c r="FQL16" s="508" t="s">
        <v>581</v>
      </c>
      <c r="FQM16" s="508" t="s">
        <v>581</v>
      </c>
      <c r="FQN16" s="508" t="s">
        <v>581</v>
      </c>
      <c r="FQO16" s="508" t="s">
        <v>581</v>
      </c>
      <c r="FQP16" s="508" t="s">
        <v>581</v>
      </c>
      <c r="FQQ16" s="508" t="s">
        <v>581</v>
      </c>
      <c r="FQR16" s="508" t="s">
        <v>581</v>
      </c>
      <c r="FQS16" s="508" t="s">
        <v>581</v>
      </c>
      <c r="FQT16" s="508" t="s">
        <v>581</v>
      </c>
      <c r="FQU16" s="508" t="s">
        <v>581</v>
      </c>
      <c r="FQV16" s="508" t="s">
        <v>581</v>
      </c>
      <c r="FQW16" s="508" t="s">
        <v>581</v>
      </c>
      <c r="FQX16" s="508" t="s">
        <v>581</v>
      </c>
      <c r="FQY16" s="508" t="s">
        <v>581</v>
      </c>
      <c r="FQZ16" s="508" t="s">
        <v>581</v>
      </c>
      <c r="FRA16" s="508" t="s">
        <v>581</v>
      </c>
      <c r="FRB16" s="508" t="s">
        <v>581</v>
      </c>
      <c r="FRC16" s="508" t="s">
        <v>581</v>
      </c>
      <c r="FRD16" s="508" t="s">
        <v>581</v>
      </c>
      <c r="FRE16" s="508" t="s">
        <v>581</v>
      </c>
      <c r="FRF16" s="508" t="s">
        <v>581</v>
      </c>
      <c r="FRG16" s="508" t="s">
        <v>581</v>
      </c>
      <c r="FRH16" s="508" t="s">
        <v>581</v>
      </c>
      <c r="FRI16" s="508" t="s">
        <v>581</v>
      </c>
      <c r="FRJ16" s="508" t="s">
        <v>581</v>
      </c>
      <c r="FRK16" s="508" t="s">
        <v>581</v>
      </c>
      <c r="FRL16" s="508" t="s">
        <v>581</v>
      </c>
      <c r="FRM16" s="508" t="s">
        <v>581</v>
      </c>
      <c r="FRN16" s="508" t="s">
        <v>581</v>
      </c>
      <c r="FRO16" s="508" t="s">
        <v>581</v>
      </c>
      <c r="FRP16" s="508" t="s">
        <v>581</v>
      </c>
      <c r="FRQ16" s="508" t="s">
        <v>581</v>
      </c>
      <c r="FRR16" s="508" t="s">
        <v>581</v>
      </c>
      <c r="FRS16" s="508" t="s">
        <v>581</v>
      </c>
      <c r="FRT16" s="508" t="s">
        <v>581</v>
      </c>
      <c r="FRU16" s="508" t="s">
        <v>581</v>
      </c>
      <c r="FRV16" s="508" t="s">
        <v>581</v>
      </c>
      <c r="FRW16" s="508" t="s">
        <v>581</v>
      </c>
      <c r="FRX16" s="508" t="s">
        <v>581</v>
      </c>
      <c r="FRY16" s="508" t="s">
        <v>581</v>
      </c>
      <c r="FRZ16" s="508" t="s">
        <v>581</v>
      </c>
      <c r="FSA16" s="508" t="s">
        <v>581</v>
      </c>
      <c r="FSB16" s="508" t="s">
        <v>581</v>
      </c>
      <c r="FSC16" s="508" t="s">
        <v>581</v>
      </c>
      <c r="FSD16" s="508" t="s">
        <v>581</v>
      </c>
      <c r="FSE16" s="508" t="s">
        <v>581</v>
      </c>
      <c r="FSF16" s="508" t="s">
        <v>581</v>
      </c>
      <c r="FSG16" s="508" t="s">
        <v>581</v>
      </c>
      <c r="FSH16" s="508" t="s">
        <v>581</v>
      </c>
      <c r="FSI16" s="508" t="s">
        <v>581</v>
      </c>
      <c r="FSJ16" s="508" t="s">
        <v>581</v>
      </c>
      <c r="FSK16" s="508" t="s">
        <v>581</v>
      </c>
      <c r="FSL16" s="508" t="s">
        <v>581</v>
      </c>
      <c r="FSM16" s="508" t="s">
        <v>581</v>
      </c>
      <c r="FSN16" s="508" t="s">
        <v>581</v>
      </c>
      <c r="FSO16" s="508" t="s">
        <v>581</v>
      </c>
      <c r="FSP16" s="508" t="s">
        <v>581</v>
      </c>
      <c r="FSQ16" s="508" t="s">
        <v>581</v>
      </c>
      <c r="FSR16" s="508" t="s">
        <v>581</v>
      </c>
      <c r="FSS16" s="508" t="s">
        <v>581</v>
      </c>
      <c r="FST16" s="508" t="s">
        <v>581</v>
      </c>
      <c r="FSU16" s="508" t="s">
        <v>581</v>
      </c>
      <c r="FSV16" s="508" t="s">
        <v>581</v>
      </c>
      <c r="FSW16" s="508" t="s">
        <v>581</v>
      </c>
      <c r="FSX16" s="508" t="s">
        <v>581</v>
      </c>
      <c r="FSY16" s="508" t="s">
        <v>581</v>
      </c>
      <c r="FSZ16" s="508" t="s">
        <v>581</v>
      </c>
      <c r="FTA16" s="508" t="s">
        <v>581</v>
      </c>
      <c r="FTB16" s="508" t="s">
        <v>581</v>
      </c>
      <c r="FTC16" s="508" t="s">
        <v>581</v>
      </c>
      <c r="FTD16" s="508" t="s">
        <v>581</v>
      </c>
      <c r="FTE16" s="508" t="s">
        <v>581</v>
      </c>
      <c r="FTF16" s="508" t="s">
        <v>581</v>
      </c>
      <c r="FTG16" s="508" t="s">
        <v>581</v>
      </c>
      <c r="FTH16" s="508" t="s">
        <v>581</v>
      </c>
      <c r="FTI16" s="508" t="s">
        <v>581</v>
      </c>
      <c r="FTJ16" s="508" t="s">
        <v>581</v>
      </c>
      <c r="FTK16" s="508" t="s">
        <v>581</v>
      </c>
      <c r="FTL16" s="508" t="s">
        <v>581</v>
      </c>
      <c r="FTM16" s="508" t="s">
        <v>581</v>
      </c>
      <c r="FTN16" s="508" t="s">
        <v>581</v>
      </c>
      <c r="FTO16" s="508" t="s">
        <v>581</v>
      </c>
      <c r="FTP16" s="508" t="s">
        <v>581</v>
      </c>
      <c r="FTQ16" s="508" t="s">
        <v>581</v>
      </c>
      <c r="FTR16" s="508" t="s">
        <v>581</v>
      </c>
      <c r="FTS16" s="508" t="s">
        <v>581</v>
      </c>
      <c r="FTT16" s="508" t="s">
        <v>581</v>
      </c>
      <c r="FTU16" s="508" t="s">
        <v>581</v>
      </c>
      <c r="FTV16" s="508" t="s">
        <v>581</v>
      </c>
      <c r="FTW16" s="508" t="s">
        <v>581</v>
      </c>
      <c r="FTX16" s="508" t="s">
        <v>581</v>
      </c>
      <c r="FTY16" s="508" t="s">
        <v>581</v>
      </c>
      <c r="FTZ16" s="508" t="s">
        <v>581</v>
      </c>
      <c r="FUA16" s="508" t="s">
        <v>581</v>
      </c>
      <c r="FUB16" s="508" t="s">
        <v>581</v>
      </c>
      <c r="FUC16" s="508" t="s">
        <v>581</v>
      </c>
      <c r="FUD16" s="508" t="s">
        <v>581</v>
      </c>
      <c r="FUE16" s="508" t="s">
        <v>581</v>
      </c>
      <c r="FUF16" s="508" t="s">
        <v>581</v>
      </c>
      <c r="FUG16" s="508" t="s">
        <v>581</v>
      </c>
      <c r="FUH16" s="508" t="s">
        <v>581</v>
      </c>
      <c r="FUI16" s="508" t="s">
        <v>581</v>
      </c>
      <c r="FUJ16" s="508" t="s">
        <v>581</v>
      </c>
      <c r="FUK16" s="508" t="s">
        <v>581</v>
      </c>
      <c r="FUL16" s="508" t="s">
        <v>581</v>
      </c>
      <c r="FUM16" s="508" t="s">
        <v>581</v>
      </c>
      <c r="FUN16" s="508" t="s">
        <v>581</v>
      </c>
      <c r="FUO16" s="508" t="s">
        <v>581</v>
      </c>
      <c r="FUP16" s="508" t="s">
        <v>581</v>
      </c>
      <c r="FUQ16" s="508" t="s">
        <v>581</v>
      </c>
      <c r="FUR16" s="508" t="s">
        <v>581</v>
      </c>
      <c r="FUS16" s="508" t="s">
        <v>581</v>
      </c>
      <c r="FUT16" s="508" t="s">
        <v>581</v>
      </c>
      <c r="FUU16" s="508" t="s">
        <v>581</v>
      </c>
      <c r="FUV16" s="508" t="s">
        <v>581</v>
      </c>
      <c r="FUW16" s="508" t="s">
        <v>581</v>
      </c>
      <c r="FUX16" s="508" t="s">
        <v>581</v>
      </c>
      <c r="FUY16" s="508" t="s">
        <v>581</v>
      </c>
      <c r="FUZ16" s="508" t="s">
        <v>581</v>
      </c>
      <c r="FVA16" s="508" t="s">
        <v>581</v>
      </c>
      <c r="FVB16" s="508" t="s">
        <v>581</v>
      </c>
      <c r="FVC16" s="508" t="s">
        <v>581</v>
      </c>
      <c r="FVD16" s="508" t="s">
        <v>581</v>
      </c>
      <c r="FVE16" s="508" t="s">
        <v>581</v>
      </c>
      <c r="FVF16" s="508" t="s">
        <v>581</v>
      </c>
      <c r="FVG16" s="508" t="s">
        <v>581</v>
      </c>
      <c r="FVH16" s="508" t="s">
        <v>581</v>
      </c>
      <c r="FVI16" s="508" t="s">
        <v>581</v>
      </c>
      <c r="FVJ16" s="508" t="s">
        <v>581</v>
      </c>
      <c r="FVK16" s="508" t="s">
        <v>581</v>
      </c>
      <c r="FVL16" s="508" t="s">
        <v>581</v>
      </c>
      <c r="FVM16" s="508" t="s">
        <v>581</v>
      </c>
      <c r="FVN16" s="508" t="s">
        <v>581</v>
      </c>
      <c r="FVO16" s="508" t="s">
        <v>581</v>
      </c>
      <c r="FVP16" s="508" t="s">
        <v>581</v>
      </c>
      <c r="FVQ16" s="508" t="s">
        <v>581</v>
      </c>
      <c r="FVR16" s="508" t="s">
        <v>581</v>
      </c>
      <c r="FVS16" s="508" t="s">
        <v>581</v>
      </c>
      <c r="FVT16" s="508" t="s">
        <v>581</v>
      </c>
      <c r="FVU16" s="508" t="s">
        <v>581</v>
      </c>
      <c r="FVV16" s="508" t="s">
        <v>581</v>
      </c>
      <c r="FVW16" s="508" t="s">
        <v>581</v>
      </c>
      <c r="FVX16" s="508" t="s">
        <v>581</v>
      </c>
      <c r="FVY16" s="508" t="s">
        <v>581</v>
      </c>
      <c r="FVZ16" s="508" t="s">
        <v>581</v>
      </c>
      <c r="FWA16" s="508" t="s">
        <v>581</v>
      </c>
      <c r="FWB16" s="508" t="s">
        <v>581</v>
      </c>
      <c r="FWC16" s="508" t="s">
        <v>581</v>
      </c>
      <c r="FWD16" s="508" t="s">
        <v>581</v>
      </c>
      <c r="FWE16" s="508" t="s">
        <v>581</v>
      </c>
      <c r="FWF16" s="508" t="s">
        <v>581</v>
      </c>
      <c r="FWG16" s="508" t="s">
        <v>581</v>
      </c>
      <c r="FWH16" s="508" t="s">
        <v>581</v>
      </c>
      <c r="FWI16" s="508" t="s">
        <v>581</v>
      </c>
      <c r="FWJ16" s="508" t="s">
        <v>581</v>
      </c>
      <c r="FWK16" s="508" t="s">
        <v>581</v>
      </c>
      <c r="FWL16" s="508" t="s">
        <v>581</v>
      </c>
      <c r="FWM16" s="508" t="s">
        <v>581</v>
      </c>
      <c r="FWN16" s="508" t="s">
        <v>581</v>
      </c>
      <c r="FWO16" s="508" t="s">
        <v>581</v>
      </c>
      <c r="FWP16" s="508" t="s">
        <v>581</v>
      </c>
      <c r="FWQ16" s="508" t="s">
        <v>581</v>
      </c>
      <c r="FWR16" s="508" t="s">
        <v>581</v>
      </c>
      <c r="FWS16" s="508" t="s">
        <v>581</v>
      </c>
      <c r="FWT16" s="508" t="s">
        <v>581</v>
      </c>
      <c r="FWU16" s="508" t="s">
        <v>581</v>
      </c>
      <c r="FWV16" s="508" t="s">
        <v>581</v>
      </c>
      <c r="FWW16" s="508" t="s">
        <v>581</v>
      </c>
      <c r="FWX16" s="508" t="s">
        <v>581</v>
      </c>
      <c r="FWY16" s="508" t="s">
        <v>581</v>
      </c>
      <c r="FWZ16" s="508" t="s">
        <v>581</v>
      </c>
      <c r="FXA16" s="508" t="s">
        <v>581</v>
      </c>
      <c r="FXB16" s="508" t="s">
        <v>581</v>
      </c>
      <c r="FXC16" s="508" t="s">
        <v>581</v>
      </c>
      <c r="FXD16" s="508" t="s">
        <v>581</v>
      </c>
      <c r="FXE16" s="508" t="s">
        <v>581</v>
      </c>
      <c r="FXF16" s="508" t="s">
        <v>581</v>
      </c>
      <c r="FXG16" s="508" t="s">
        <v>581</v>
      </c>
      <c r="FXH16" s="508" t="s">
        <v>581</v>
      </c>
      <c r="FXI16" s="508" t="s">
        <v>581</v>
      </c>
      <c r="FXJ16" s="508" t="s">
        <v>581</v>
      </c>
      <c r="FXK16" s="508" t="s">
        <v>581</v>
      </c>
      <c r="FXL16" s="508" t="s">
        <v>581</v>
      </c>
      <c r="FXM16" s="508" t="s">
        <v>581</v>
      </c>
      <c r="FXN16" s="508" t="s">
        <v>581</v>
      </c>
      <c r="FXO16" s="508" t="s">
        <v>581</v>
      </c>
      <c r="FXP16" s="508" t="s">
        <v>581</v>
      </c>
      <c r="FXQ16" s="508" t="s">
        <v>581</v>
      </c>
      <c r="FXR16" s="508" t="s">
        <v>581</v>
      </c>
      <c r="FXS16" s="508" t="s">
        <v>581</v>
      </c>
      <c r="FXT16" s="508" t="s">
        <v>581</v>
      </c>
      <c r="FXU16" s="508" t="s">
        <v>581</v>
      </c>
      <c r="FXV16" s="508" t="s">
        <v>581</v>
      </c>
      <c r="FXW16" s="508" t="s">
        <v>581</v>
      </c>
      <c r="FXX16" s="508" t="s">
        <v>581</v>
      </c>
      <c r="FXY16" s="508" t="s">
        <v>581</v>
      </c>
      <c r="FXZ16" s="508" t="s">
        <v>581</v>
      </c>
      <c r="FYA16" s="508" t="s">
        <v>581</v>
      </c>
      <c r="FYB16" s="508" t="s">
        <v>581</v>
      </c>
      <c r="FYC16" s="508" t="s">
        <v>581</v>
      </c>
      <c r="FYD16" s="508" t="s">
        <v>581</v>
      </c>
      <c r="FYE16" s="508" t="s">
        <v>581</v>
      </c>
      <c r="FYF16" s="508" t="s">
        <v>581</v>
      </c>
      <c r="FYG16" s="508" t="s">
        <v>581</v>
      </c>
      <c r="FYH16" s="508" t="s">
        <v>581</v>
      </c>
      <c r="FYI16" s="508" t="s">
        <v>581</v>
      </c>
      <c r="FYJ16" s="508" t="s">
        <v>581</v>
      </c>
      <c r="FYK16" s="508" t="s">
        <v>581</v>
      </c>
      <c r="FYL16" s="508" t="s">
        <v>581</v>
      </c>
      <c r="FYM16" s="508" t="s">
        <v>581</v>
      </c>
      <c r="FYN16" s="508" t="s">
        <v>581</v>
      </c>
      <c r="FYO16" s="508" t="s">
        <v>581</v>
      </c>
      <c r="FYP16" s="508" t="s">
        <v>581</v>
      </c>
      <c r="FYQ16" s="508" t="s">
        <v>581</v>
      </c>
      <c r="FYR16" s="508" t="s">
        <v>581</v>
      </c>
      <c r="FYS16" s="508" t="s">
        <v>581</v>
      </c>
      <c r="FYT16" s="508" t="s">
        <v>581</v>
      </c>
      <c r="FYU16" s="508" t="s">
        <v>581</v>
      </c>
      <c r="FYV16" s="508" t="s">
        <v>581</v>
      </c>
      <c r="FYW16" s="508" t="s">
        <v>581</v>
      </c>
      <c r="FYX16" s="508" t="s">
        <v>581</v>
      </c>
      <c r="FYY16" s="508" t="s">
        <v>581</v>
      </c>
      <c r="FYZ16" s="508" t="s">
        <v>581</v>
      </c>
      <c r="FZA16" s="508" t="s">
        <v>581</v>
      </c>
      <c r="FZB16" s="508" t="s">
        <v>581</v>
      </c>
      <c r="FZC16" s="508" t="s">
        <v>581</v>
      </c>
      <c r="FZD16" s="508" t="s">
        <v>581</v>
      </c>
      <c r="FZE16" s="508" t="s">
        <v>581</v>
      </c>
      <c r="FZF16" s="508" t="s">
        <v>581</v>
      </c>
      <c r="FZG16" s="508" t="s">
        <v>581</v>
      </c>
      <c r="FZH16" s="508" t="s">
        <v>581</v>
      </c>
      <c r="FZI16" s="508" t="s">
        <v>581</v>
      </c>
      <c r="FZJ16" s="508" t="s">
        <v>581</v>
      </c>
      <c r="FZK16" s="508" t="s">
        <v>581</v>
      </c>
      <c r="FZL16" s="508" t="s">
        <v>581</v>
      </c>
      <c r="FZM16" s="508" t="s">
        <v>581</v>
      </c>
      <c r="FZN16" s="508" t="s">
        <v>581</v>
      </c>
      <c r="FZO16" s="508" t="s">
        <v>581</v>
      </c>
      <c r="FZP16" s="508" t="s">
        <v>581</v>
      </c>
      <c r="FZQ16" s="508" t="s">
        <v>581</v>
      </c>
      <c r="FZR16" s="508" t="s">
        <v>581</v>
      </c>
      <c r="FZS16" s="508" t="s">
        <v>581</v>
      </c>
      <c r="FZT16" s="508" t="s">
        <v>581</v>
      </c>
      <c r="FZU16" s="508" t="s">
        <v>581</v>
      </c>
      <c r="FZV16" s="508" t="s">
        <v>581</v>
      </c>
      <c r="FZW16" s="508" t="s">
        <v>581</v>
      </c>
      <c r="FZX16" s="508" t="s">
        <v>581</v>
      </c>
      <c r="FZY16" s="508" t="s">
        <v>581</v>
      </c>
      <c r="FZZ16" s="508" t="s">
        <v>581</v>
      </c>
      <c r="GAA16" s="508" t="s">
        <v>581</v>
      </c>
      <c r="GAB16" s="508" t="s">
        <v>581</v>
      </c>
      <c r="GAC16" s="508" t="s">
        <v>581</v>
      </c>
      <c r="GAD16" s="508" t="s">
        <v>581</v>
      </c>
      <c r="GAE16" s="508" t="s">
        <v>581</v>
      </c>
      <c r="GAF16" s="508" t="s">
        <v>581</v>
      </c>
      <c r="GAG16" s="508" t="s">
        <v>581</v>
      </c>
      <c r="GAH16" s="508" t="s">
        <v>581</v>
      </c>
      <c r="GAI16" s="508" t="s">
        <v>581</v>
      </c>
      <c r="GAJ16" s="508" t="s">
        <v>581</v>
      </c>
      <c r="GAK16" s="508" t="s">
        <v>581</v>
      </c>
      <c r="GAL16" s="508" t="s">
        <v>581</v>
      </c>
      <c r="GAM16" s="508" t="s">
        <v>581</v>
      </c>
      <c r="GAN16" s="508" t="s">
        <v>581</v>
      </c>
      <c r="GAO16" s="508" t="s">
        <v>581</v>
      </c>
      <c r="GAP16" s="508" t="s">
        <v>581</v>
      </c>
      <c r="GAQ16" s="508" t="s">
        <v>581</v>
      </c>
      <c r="GAR16" s="508" t="s">
        <v>581</v>
      </c>
      <c r="GAS16" s="508" t="s">
        <v>581</v>
      </c>
      <c r="GAT16" s="508" t="s">
        <v>581</v>
      </c>
      <c r="GAU16" s="508" t="s">
        <v>581</v>
      </c>
      <c r="GAV16" s="508" t="s">
        <v>581</v>
      </c>
      <c r="GAW16" s="508" t="s">
        <v>581</v>
      </c>
      <c r="GAX16" s="508" t="s">
        <v>581</v>
      </c>
      <c r="GAY16" s="508" t="s">
        <v>581</v>
      </c>
      <c r="GAZ16" s="508" t="s">
        <v>581</v>
      </c>
      <c r="GBA16" s="508" t="s">
        <v>581</v>
      </c>
      <c r="GBB16" s="508" t="s">
        <v>581</v>
      </c>
      <c r="GBC16" s="508" t="s">
        <v>581</v>
      </c>
      <c r="GBD16" s="508" t="s">
        <v>581</v>
      </c>
      <c r="GBE16" s="508" t="s">
        <v>581</v>
      </c>
      <c r="GBF16" s="508" t="s">
        <v>581</v>
      </c>
      <c r="GBG16" s="508" t="s">
        <v>581</v>
      </c>
      <c r="GBH16" s="508" t="s">
        <v>581</v>
      </c>
      <c r="GBI16" s="508" t="s">
        <v>581</v>
      </c>
      <c r="GBJ16" s="508" t="s">
        <v>581</v>
      </c>
      <c r="GBK16" s="508" t="s">
        <v>581</v>
      </c>
      <c r="GBL16" s="508" t="s">
        <v>581</v>
      </c>
      <c r="GBM16" s="508" t="s">
        <v>581</v>
      </c>
      <c r="GBN16" s="508" t="s">
        <v>581</v>
      </c>
      <c r="GBO16" s="508" t="s">
        <v>581</v>
      </c>
      <c r="GBP16" s="508" t="s">
        <v>581</v>
      </c>
      <c r="GBQ16" s="508" t="s">
        <v>581</v>
      </c>
      <c r="GBR16" s="508" t="s">
        <v>581</v>
      </c>
      <c r="GBS16" s="508" t="s">
        <v>581</v>
      </c>
      <c r="GBT16" s="508" t="s">
        <v>581</v>
      </c>
      <c r="GBU16" s="508" t="s">
        <v>581</v>
      </c>
      <c r="GBV16" s="508" t="s">
        <v>581</v>
      </c>
      <c r="GBW16" s="508" t="s">
        <v>581</v>
      </c>
      <c r="GBX16" s="508" t="s">
        <v>581</v>
      </c>
      <c r="GBY16" s="508" t="s">
        <v>581</v>
      </c>
      <c r="GBZ16" s="508" t="s">
        <v>581</v>
      </c>
      <c r="GCA16" s="508" t="s">
        <v>581</v>
      </c>
      <c r="GCB16" s="508" t="s">
        <v>581</v>
      </c>
      <c r="GCC16" s="508" t="s">
        <v>581</v>
      </c>
      <c r="GCD16" s="508" t="s">
        <v>581</v>
      </c>
      <c r="GCE16" s="508" t="s">
        <v>581</v>
      </c>
      <c r="GCF16" s="508" t="s">
        <v>581</v>
      </c>
      <c r="GCG16" s="508" t="s">
        <v>581</v>
      </c>
      <c r="GCH16" s="508" t="s">
        <v>581</v>
      </c>
      <c r="GCI16" s="508" t="s">
        <v>581</v>
      </c>
      <c r="GCJ16" s="508" t="s">
        <v>581</v>
      </c>
      <c r="GCK16" s="508" t="s">
        <v>581</v>
      </c>
      <c r="GCL16" s="508" t="s">
        <v>581</v>
      </c>
      <c r="GCM16" s="508" t="s">
        <v>581</v>
      </c>
      <c r="GCN16" s="508" t="s">
        <v>581</v>
      </c>
      <c r="GCO16" s="508" t="s">
        <v>581</v>
      </c>
      <c r="GCP16" s="508" t="s">
        <v>581</v>
      </c>
      <c r="GCQ16" s="508" t="s">
        <v>581</v>
      </c>
      <c r="GCR16" s="508" t="s">
        <v>581</v>
      </c>
      <c r="GCS16" s="508" t="s">
        <v>581</v>
      </c>
      <c r="GCT16" s="508" t="s">
        <v>581</v>
      </c>
      <c r="GCU16" s="508" t="s">
        <v>581</v>
      </c>
      <c r="GCV16" s="508" t="s">
        <v>581</v>
      </c>
      <c r="GCW16" s="508" t="s">
        <v>581</v>
      </c>
      <c r="GCX16" s="508" t="s">
        <v>581</v>
      </c>
      <c r="GCY16" s="508" t="s">
        <v>581</v>
      </c>
      <c r="GCZ16" s="508" t="s">
        <v>581</v>
      </c>
      <c r="GDA16" s="508" t="s">
        <v>581</v>
      </c>
      <c r="GDB16" s="508" t="s">
        <v>581</v>
      </c>
      <c r="GDC16" s="508" t="s">
        <v>581</v>
      </c>
      <c r="GDD16" s="508" t="s">
        <v>581</v>
      </c>
      <c r="GDE16" s="508" t="s">
        <v>581</v>
      </c>
      <c r="GDF16" s="508" t="s">
        <v>581</v>
      </c>
      <c r="GDG16" s="508" t="s">
        <v>581</v>
      </c>
      <c r="GDH16" s="508" t="s">
        <v>581</v>
      </c>
      <c r="GDI16" s="508" t="s">
        <v>581</v>
      </c>
      <c r="GDJ16" s="508" t="s">
        <v>581</v>
      </c>
      <c r="GDK16" s="508" t="s">
        <v>581</v>
      </c>
      <c r="GDL16" s="508" t="s">
        <v>581</v>
      </c>
      <c r="GDM16" s="508" t="s">
        <v>581</v>
      </c>
      <c r="GDN16" s="508" t="s">
        <v>581</v>
      </c>
      <c r="GDO16" s="508" t="s">
        <v>581</v>
      </c>
      <c r="GDP16" s="508" t="s">
        <v>581</v>
      </c>
      <c r="GDQ16" s="508" t="s">
        <v>581</v>
      </c>
      <c r="GDR16" s="508" t="s">
        <v>581</v>
      </c>
      <c r="GDS16" s="508" t="s">
        <v>581</v>
      </c>
      <c r="GDT16" s="508" t="s">
        <v>581</v>
      </c>
      <c r="GDU16" s="508" t="s">
        <v>581</v>
      </c>
      <c r="GDV16" s="508" t="s">
        <v>581</v>
      </c>
      <c r="GDW16" s="508" t="s">
        <v>581</v>
      </c>
      <c r="GDX16" s="508" t="s">
        <v>581</v>
      </c>
      <c r="GDY16" s="508" t="s">
        <v>581</v>
      </c>
      <c r="GDZ16" s="508" t="s">
        <v>581</v>
      </c>
      <c r="GEA16" s="508" t="s">
        <v>581</v>
      </c>
      <c r="GEB16" s="508" t="s">
        <v>581</v>
      </c>
      <c r="GEC16" s="508" t="s">
        <v>581</v>
      </c>
      <c r="GED16" s="508" t="s">
        <v>581</v>
      </c>
      <c r="GEE16" s="508" t="s">
        <v>581</v>
      </c>
      <c r="GEF16" s="508" t="s">
        <v>581</v>
      </c>
      <c r="GEG16" s="508" t="s">
        <v>581</v>
      </c>
      <c r="GEH16" s="508" t="s">
        <v>581</v>
      </c>
      <c r="GEI16" s="508" t="s">
        <v>581</v>
      </c>
      <c r="GEJ16" s="508" t="s">
        <v>581</v>
      </c>
      <c r="GEK16" s="508" t="s">
        <v>581</v>
      </c>
      <c r="GEL16" s="508" t="s">
        <v>581</v>
      </c>
      <c r="GEM16" s="508" t="s">
        <v>581</v>
      </c>
      <c r="GEN16" s="508" t="s">
        <v>581</v>
      </c>
      <c r="GEO16" s="508" t="s">
        <v>581</v>
      </c>
      <c r="GEP16" s="508" t="s">
        <v>581</v>
      </c>
      <c r="GEQ16" s="508" t="s">
        <v>581</v>
      </c>
      <c r="GER16" s="508" t="s">
        <v>581</v>
      </c>
      <c r="GES16" s="508" t="s">
        <v>581</v>
      </c>
      <c r="GET16" s="508" t="s">
        <v>581</v>
      </c>
      <c r="GEU16" s="508" t="s">
        <v>581</v>
      </c>
      <c r="GEV16" s="508" t="s">
        <v>581</v>
      </c>
      <c r="GEW16" s="508" t="s">
        <v>581</v>
      </c>
      <c r="GEX16" s="508" t="s">
        <v>581</v>
      </c>
      <c r="GEY16" s="508" t="s">
        <v>581</v>
      </c>
      <c r="GEZ16" s="508" t="s">
        <v>581</v>
      </c>
      <c r="GFA16" s="508" t="s">
        <v>581</v>
      </c>
      <c r="GFB16" s="508" t="s">
        <v>581</v>
      </c>
      <c r="GFC16" s="508" t="s">
        <v>581</v>
      </c>
      <c r="GFD16" s="508" t="s">
        <v>581</v>
      </c>
      <c r="GFE16" s="508" t="s">
        <v>581</v>
      </c>
      <c r="GFF16" s="508" t="s">
        <v>581</v>
      </c>
      <c r="GFG16" s="508" t="s">
        <v>581</v>
      </c>
      <c r="GFH16" s="508" t="s">
        <v>581</v>
      </c>
      <c r="GFI16" s="508" t="s">
        <v>581</v>
      </c>
      <c r="GFJ16" s="508" t="s">
        <v>581</v>
      </c>
      <c r="GFK16" s="508" t="s">
        <v>581</v>
      </c>
      <c r="GFL16" s="508" t="s">
        <v>581</v>
      </c>
      <c r="GFM16" s="508" t="s">
        <v>581</v>
      </c>
      <c r="GFN16" s="508" t="s">
        <v>581</v>
      </c>
      <c r="GFO16" s="508" t="s">
        <v>581</v>
      </c>
      <c r="GFP16" s="508" t="s">
        <v>581</v>
      </c>
      <c r="GFQ16" s="508" t="s">
        <v>581</v>
      </c>
      <c r="GFR16" s="508" t="s">
        <v>581</v>
      </c>
      <c r="GFS16" s="508" t="s">
        <v>581</v>
      </c>
      <c r="GFT16" s="508" t="s">
        <v>581</v>
      </c>
      <c r="GFU16" s="508" t="s">
        <v>581</v>
      </c>
      <c r="GFV16" s="508" t="s">
        <v>581</v>
      </c>
      <c r="GFW16" s="508" t="s">
        <v>581</v>
      </c>
      <c r="GFX16" s="508" t="s">
        <v>581</v>
      </c>
      <c r="GFY16" s="508" t="s">
        <v>581</v>
      </c>
      <c r="GFZ16" s="508" t="s">
        <v>581</v>
      </c>
      <c r="GGA16" s="508" t="s">
        <v>581</v>
      </c>
      <c r="GGB16" s="508" t="s">
        <v>581</v>
      </c>
      <c r="GGC16" s="508" t="s">
        <v>581</v>
      </c>
      <c r="GGD16" s="508" t="s">
        <v>581</v>
      </c>
      <c r="GGE16" s="508" t="s">
        <v>581</v>
      </c>
      <c r="GGF16" s="508" t="s">
        <v>581</v>
      </c>
      <c r="GGG16" s="508" t="s">
        <v>581</v>
      </c>
      <c r="GGH16" s="508" t="s">
        <v>581</v>
      </c>
      <c r="GGI16" s="508" t="s">
        <v>581</v>
      </c>
      <c r="GGJ16" s="508" t="s">
        <v>581</v>
      </c>
      <c r="GGK16" s="508" t="s">
        <v>581</v>
      </c>
      <c r="GGL16" s="508" t="s">
        <v>581</v>
      </c>
      <c r="GGM16" s="508" t="s">
        <v>581</v>
      </c>
      <c r="GGN16" s="508" t="s">
        <v>581</v>
      </c>
      <c r="GGO16" s="508" t="s">
        <v>581</v>
      </c>
      <c r="GGP16" s="508" t="s">
        <v>581</v>
      </c>
      <c r="GGQ16" s="508" t="s">
        <v>581</v>
      </c>
      <c r="GGR16" s="508" t="s">
        <v>581</v>
      </c>
      <c r="GGS16" s="508" t="s">
        <v>581</v>
      </c>
      <c r="GGT16" s="508" t="s">
        <v>581</v>
      </c>
      <c r="GGU16" s="508" t="s">
        <v>581</v>
      </c>
      <c r="GGV16" s="508" t="s">
        <v>581</v>
      </c>
      <c r="GGW16" s="508" t="s">
        <v>581</v>
      </c>
      <c r="GGX16" s="508" t="s">
        <v>581</v>
      </c>
      <c r="GGY16" s="508" t="s">
        <v>581</v>
      </c>
      <c r="GGZ16" s="508" t="s">
        <v>581</v>
      </c>
      <c r="GHA16" s="508" t="s">
        <v>581</v>
      </c>
      <c r="GHB16" s="508" t="s">
        <v>581</v>
      </c>
      <c r="GHC16" s="508" t="s">
        <v>581</v>
      </c>
      <c r="GHD16" s="508" t="s">
        <v>581</v>
      </c>
      <c r="GHE16" s="508" t="s">
        <v>581</v>
      </c>
      <c r="GHF16" s="508" t="s">
        <v>581</v>
      </c>
      <c r="GHG16" s="508" t="s">
        <v>581</v>
      </c>
      <c r="GHH16" s="508" t="s">
        <v>581</v>
      </c>
      <c r="GHI16" s="508" t="s">
        <v>581</v>
      </c>
      <c r="GHJ16" s="508" t="s">
        <v>581</v>
      </c>
      <c r="GHK16" s="508" t="s">
        <v>581</v>
      </c>
      <c r="GHL16" s="508" t="s">
        <v>581</v>
      </c>
      <c r="GHM16" s="508" t="s">
        <v>581</v>
      </c>
      <c r="GHN16" s="508" t="s">
        <v>581</v>
      </c>
      <c r="GHO16" s="508" t="s">
        <v>581</v>
      </c>
      <c r="GHP16" s="508" t="s">
        <v>581</v>
      </c>
      <c r="GHQ16" s="508" t="s">
        <v>581</v>
      </c>
      <c r="GHR16" s="508" t="s">
        <v>581</v>
      </c>
      <c r="GHS16" s="508" t="s">
        <v>581</v>
      </c>
      <c r="GHT16" s="508" t="s">
        <v>581</v>
      </c>
      <c r="GHU16" s="508" t="s">
        <v>581</v>
      </c>
      <c r="GHV16" s="508" t="s">
        <v>581</v>
      </c>
      <c r="GHW16" s="508" t="s">
        <v>581</v>
      </c>
      <c r="GHX16" s="508" t="s">
        <v>581</v>
      </c>
      <c r="GHY16" s="508" t="s">
        <v>581</v>
      </c>
      <c r="GHZ16" s="508" t="s">
        <v>581</v>
      </c>
      <c r="GIA16" s="508" t="s">
        <v>581</v>
      </c>
      <c r="GIB16" s="508" t="s">
        <v>581</v>
      </c>
      <c r="GIC16" s="508" t="s">
        <v>581</v>
      </c>
      <c r="GID16" s="508" t="s">
        <v>581</v>
      </c>
      <c r="GIE16" s="508" t="s">
        <v>581</v>
      </c>
      <c r="GIF16" s="508" t="s">
        <v>581</v>
      </c>
      <c r="GIG16" s="508" t="s">
        <v>581</v>
      </c>
      <c r="GIH16" s="508" t="s">
        <v>581</v>
      </c>
      <c r="GII16" s="508" t="s">
        <v>581</v>
      </c>
      <c r="GIJ16" s="508" t="s">
        <v>581</v>
      </c>
      <c r="GIK16" s="508" t="s">
        <v>581</v>
      </c>
      <c r="GIL16" s="508" t="s">
        <v>581</v>
      </c>
      <c r="GIM16" s="508" t="s">
        <v>581</v>
      </c>
      <c r="GIN16" s="508" t="s">
        <v>581</v>
      </c>
      <c r="GIO16" s="508" t="s">
        <v>581</v>
      </c>
      <c r="GIP16" s="508" t="s">
        <v>581</v>
      </c>
      <c r="GIQ16" s="508" t="s">
        <v>581</v>
      </c>
      <c r="GIR16" s="508" t="s">
        <v>581</v>
      </c>
      <c r="GIS16" s="508" t="s">
        <v>581</v>
      </c>
      <c r="GIT16" s="508" t="s">
        <v>581</v>
      </c>
      <c r="GIU16" s="508" t="s">
        <v>581</v>
      </c>
      <c r="GIV16" s="508" t="s">
        <v>581</v>
      </c>
      <c r="GIW16" s="508" t="s">
        <v>581</v>
      </c>
      <c r="GIX16" s="508" t="s">
        <v>581</v>
      </c>
      <c r="GIY16" s="508" t="s">
        <v>581</v>
      </c>
      <c r="GIZ16" s="508" t="s">
        <v>581</v>
      </c>
      <c r="GJA16" s="508" t="s">
        <v>581</v>
      </c>
      <c r="GJB16" s="508" t="s">
        <v>581</v>
      </c>
      <c r="GJC16" s="508" t="s">
        <v>581</v>
      </c>
      <c r="GJD16" s="508" t="s">
        <v>581</v>
      </c>
      <c r="GJE16" s="508" t="s">
        <v>581</v>
      </c>
      <c r="GJF16" s="508" t="s">
        <v>581</v>
      </c>
      <c r="GJG16" s="508" t="s">
        <v>581</v>
      </c>
      <c r="GJH16" s="508" t="s">
        <v>581</v>
      </c>
      <c r="GJI16" s="508" t="s">
        <v>581</v>
      </c>
      <c r="GJJ16" s="508" t="s">
        <v>581</v>
      </c>
      <c r="GJK16" s="508" t="s">
        <v>581</v>
      </c>
      <c r="GJL16" s="508" t="s">
        <v>581</v>
      </c>
      <c r="GJM16" s="508" t="s">
        <v>581</v>
      </c>
      <c r="GJN16" s="508" t="s">
        <v>581</v>
      </c>
      <c r="GJO16" s="508" t="s">
        <v>581</v>
      </c>
      <c r="GJP16" s="508" t="s">
        <v>581</v>
      </c>
      <c r="GJQ16" s="508" t="s">
        <v>581</v>
      </c>
      <c r="GJR16" s="508" t="s">
        <v>581</v>
      </c>
      <c r="GJS16" s="508" t="s">
        <v>581</v>
      </c>
      <c r="GJT16" s="508" t="s">
        <v>581</v>
      </c>
      <c r="GJU16" s="508" t="s">
        <v>581</v>
      </c>
      <c r="GJV16" s="508" t="s">
        <v>581</v>
      </c>
      <c r="GJW16" s="508" t="s">
        <v>581</v>
      </c>
      <c r="GJX16" s="508" t="s">
        <v>581</v>
      </c>
      <c r="GJY16" s="508" t="s">
        <v>581</v>
      </c>
      <c r="GJZ16" s="508" t="s">
        <v>581</v>
      </c>
      <c r="GKA16" s="508" t="s">
        <v>581</v>
      </c>
      <c r="GKB16" s="508" t="s">
        <v>581</v>
      </c>
      <c r="GKC16" s="508" t="s">
        <v>581</v>
      </c>
      <c r="GKD16" s="508" t="s">
        <v>581</v>
      </c>
      <c r="GKE16" s="508" t="s">
        <v>581</v>
      </c>
      <c r="GKF16" s="508" t="s">
        <v>581</v>
      </c>
      <c r="GKG16" s="508" t="s">
        <v>581</v>
      </c>
      <c r="GKH16" s="508" t="s">
        <v>581</v>
      </c>
      <c r="GKI16" s="508" t="s">
        <v>581</v>
      </c>
      <c r="GKJ16" s="508" t="s">
        <v>581</v>
      </c>
      <c r="GKK16" s="508" t="s">
        <v>581</v>
      </c>
      <c r="GKL16" s="508" t="s">
        <v>581</v>
      </c>
      <c r="GKM16" s="508" t="s">
        <v>581</v>
      </c>
      <c r="GKN16" s="508" t="s">
        <v>581</v>
      </c>
      <c r="GKO16" s="508" t="s">
        <v>581</v>
      </c>
      <c r="GKP16" s="508" t="s">
        <v>581</v>
      </c>
      <c r="GKQ16" s="508" t="s">
        <v>581</v>
      </c>
      <c r="GKR16" s="508" t="s">
        <v>581</v>
      </c>
      <c r="GKS16" s="508" t="s">
        <v>581</v>
      </c>
      <c r="GKT16" s="508" t="s">
        <v>581</v>
      </c>
      <c r="GKU16" s="508" t="s">
        <v>581</v>
      </c>
      <c r="GKV16" s="508" t="s">
        <v>581</v>
      </c>
      <c r="GKW16" s="508" t="s">
        <v>581</v>
      </c>
      <c r="GKX16" s="508" t="s">
        <v>581</v>
      </c>
      <c r="GKY16" s="508" t="s">
        <v>581</v>
      </c>
      <c r="GKZ16" s="508" t="s">
        <v>581</v>
      </c>
      <c r="GLA16" s="508" t="s">
        <v>581</v>
      </c>
      <c r="GLB16" s="508" t="s">
        <v>581</v>
      </c>
      <c r="GLC16" s="508" t="s">
        <v>581</v>
      </c>
      <c r="GLD16" s="508" t="s">
        <v>581</v>
      </c>
      <c r="GLE16" s="508" t="s">
        <v>581</v>
      </c>
      <c r="GLF16" s="508" t="s">
        <v>581</v>
      </c>
      <c r="GLG16" s="508" t="s">
        <v>581</v>
      </c>
      <c r="GLH16" s="508" t="s">
        <v>581</v>
      </c>
      <c r="GLI16" s="508" t="s">
        <v>581</v>
      </c>
      <c r="GLJ16" s="508" t="s">
        <v>581</v>
      </c>
      <c r="GLK16" s="508" t="s">
        <v>581</v>
      </c>
      <c r="GLL16" s="508" t="s">
        <v>581</v>
      </c>
      <c r="GLM16" s="508" t="s">
        <v>581</v>
      </c>
      <c r="GLN16" s="508" t="s">
        <v>581</v>
      </c>
      <c r="GLO16" s="508" t="s">
        <v>581</v>
      </c>
      <c r="GLP16" s="508" t="s">
        <v>581</v>
      </c>
      <c r="GLQ16" s="508" t="s">
        <v>581</v>
      </c>
      <c r="GLR16" s="508" t="s">
        <v>581</v>
      </c>
      <c r="GLS16" s="508" t="s">
        <v>581</v>
      </c>
      <c r="GLT16" s="508" t="s">
        <v>581</v>
      </c>
      <c r="GLU16" s="508" t="s">
        <v>581</v>
      </c>
      <c r="GLV16" s="508" t="s">
        <v>581</v>
      </c>
      <c r="GLW16" s="508" t="s">
        <v>581</v>
      </c>
      <c r="GLX16" s="508" t="s">
        <v>581</v>
      </c>
      <c r="GLY16" s="508" t="s">
        <v>581</v>
      </c>
      <c r="GLZ16" s="508" t="s">
        <v>581</v>
      </c>
      <c r="GMA16" s="508" t="s">
        <v>581</v>
      </c>
      <c r="GMB16" s="508" t="s">
        <v>581</v>
      </c>
      <c r="GMC16" s="508" t="s">
        <v>581</v>
      </c>
      <c r="GMD16" s="508" t="s">
        <v>581</v>
      </c>
      <c r="GME16" s="508" t="s">
        <v>581</v>
      </c>
      <c r="GMF16" s="508" t="s">
        <v>581</v>
      </c>
      <c r="GMG16" s="508" t="s">
        <v>581</v>
      </c>
      <c r="GMH16" s="508" t="s">
        <v>581</v>
      </c>
      <c r="GMI16" s="508" t="s">
        <v>581</v>
      </c>
      <c r="GMJ16" s="508" t="s">
        <v>581</v>
      </c>
      <c r="GMK16" s="508" t="s">
        <v>581</v>
      </c>
      <c r="GML16" s="508" t="s">
        <v>581</v>
      </c>
      <c r="GMM16" s="508" t="s">
        <v>581</v>
      </c>
      <c r="GMN16" s="508" t="s">
        <v>581</v>
      </c>
      <c r="GMO16" s="508" t="s">
        <v>581</v>
      </c>
      <c r="GMP16" s="508" t="s">
        <v>581</v>
      </c>
      <c r="GMQ16" s="508" t="s">
        <v>581</v>
      </c>
      <c r="GMR16" s="508" t="s">
        <v>581</v>
      </c>
      <c r="GMS16" s="508" t="s">
        <v>581</v>
      </c>
      <c r="GMT16" s="508" t="s">
        <v>581</v>
      </c>
      <c r="GMU16" s="508" t="s">
        <v>581</v>
      </c>
      <c r="GMV16" s="508" t="s">
        <v>581</v>
      </c>
      <c r="GMW16" s="508" t="s">
        <v>581</v>
      </c>
      <c r="GMX16" s="508" t="s">
        <v>581</v>
      </c>
      <c r="GMY16" s="508" t="s">
        <v>581</v>
      </c>
      <c r="GMZ16" s="508" t="s">
        <v>581</v>
      </c>
      <c r="GNA16" s="508" t="s">
        <v>581</v>
      </c>
      <c r="GNB16" s="508" t="s">
        <v>581</v>
      </c>
      <c r="GNC16" s="508" t="s">
        <v>581</v>
      </c>
      <c r="GND16" s="508" t="s">
        <v>581</v>
      </c>
      <c r="GNE16" s="508" t="s">
        <v>581</v>
      </c>
      <c r="GNF16" s="508" t="s">
        <v>581</v>
      </c>
      <c r="GNG16" s="508" t="s">
        <v>581</v>
      </c>
      <c r="GNH16" s="508" t="s">
        <v>581</v>
      </c>
      <c r="GNI16" s="508" t="s">
        <v>581</v>
      </c>
      <c r="GNJ16" s="508" t="s">
        <v>581</v>
      </c>
      <c r="GNK16" s="508" t="s">
        <v>581</v>
      </c>
      <c r="GNL16" s="508" t="s">
        <v>581</v>
      </c>
      <c r="GNM16" s="508" t="s">
        <v>581</v>
      </c>
      <c r="GNN16" s="508" t="s">
        <v>581</v>
      </c>
      <c r="GNO16" s="508" t="s">
        <v>581</v>
      </c>
      <c r="GNP16" s="508" t="s">
        <v>581</v>
      </c>
      <c r="GNQ16" s="508" t="s">
        <v>581</v>
      </c>
      <c r="GNR16" s="508" t="s">
        <v>581</v>
      </c>
      <c r="GNS16" s="508" t="s">
        <v>581</v>
      </c>
      <c r="GNT16" s="508" t="s">
        <v>581</v>
      </c>
      <c r="GNU16" s="508" t="s">
        <v>581</v>
      </c>
      <c r="GNV16" s="508" t="s">
        <v>581</v>
      </c>
      <c r="GNW16" s="508" t="s">
        <v>581</v>
      </c>
      <c r="GNX16" s="508" t="s">
        <v>581</v>
      </c>
      <c r="GNY16" s="508" t="s">
        <v>581</v>
      </c>
      <c r="GNZ16" s="508" t="s">
        <v>581</v>
      </c>
      <c r="GOA16" s="508" t="s">
        <v>581</v>
      </c>
      <c r="GOB16" s="508" t="s">
        <v>581</v>
      </c>
      <c r="GOC16" s="508" t="s">
        <v>581</v>
      </c>
      <c r="GOD16" s="508" t="s">
        <v>581</v>
      </c>
      <c r="GOE16" s="508" t="s">
        <v>581</v>
      </c>
      <c r="GOF16" s="508" t="s">
        <v>581</v>
      </c>
      <c r="GOG16" s="508" t="s">
        <v>581</v>
      </c>
      <c r="GOH16" s="508" t="s">
        <v>581</v>
      </c>
      <c r="GOI16" s="508" t="s">
        <v>581</v>
      </c>
      <c r="GOJ16" s="508" t="s">
        <v>581</v>
      </c>
      <c r="GOK16" s="508" t="s">
        <v>581</v>
      </c>
      <c r="GOL16" s="508" t="s">
        <v>581</v>
      </c>
      <c r="GOM16" s="508" t="s">
        <v>581</v>
      </c>
      <c r="GON16" s="508" t="s">
        <v>581</v>
      </c>
      <c r="GOO16" s="508" t="s">
        <v>581</v>
      </c>
      <c r="GOP16" s="508" t="s">
        <v>581</v>
      </c>
      <c r="GOQ16" s="508" t="s">
        <v>581</v>
      </c>
      <c r="GOR16" s="508" t="s">
        <v>581</v>
      </c>
      <c r="GOS16" s="508" t="s">
        <v>581</v>
      </c>
      <c r="GOT16" s="508" t="s">
        <v>581</v>
      </c>
      <c r="GOU16" s="508" t="s">
        <v>581</v>
      </c>
      <c r="GOV16" s="508" t="s">
        <v>581</v>
      </c>
      <c r="GOW16" s="508" t="s">
        <v>581</v>
      </c>
      <c r="GOX16" s="508" t="s">
        <v>581</v>
      </c>
      <c r="GOY16" s="508" t="s">
        <v>581</v>
      </c>
      <c r="GOZ16" s="508" t="s">
        <v>581</v>
      </c>
      <c r="GPA16" s="508" t="s">
        <v>581</v>
      </c>
      <c r="GPB16" s="508" t="s">
        <v>581</v>
      </c>
      <c r="GPC16" s="508" t="s">
        <v>581</v>
      </c>
      <c r="GPD16" s="508" t="s">
        <v>581</v>
      </c>
      <c r="GPE16" s="508" t="s">
        <v>581</v>
      </c>
      <c r="GPF16" s="508" t="s">
        <v>581</v>
      </c>
      <c r="GPG16" s="508" t="s">
        <v>581</v>
      </c>
      <c r="GPH16" s="508" t="s">
        <v>581</v>
      </c>
      <c r="GPI16" s="508" t="s">
        <v>581</v>
      </c>
      <c r="GPJ16" s="508" t="s">
        <v>581</v>
      </c>
      <c r="GPK16" s="508" t="s">
        <v>581</v>
      </c>
      <c r="GPL16" s="508" t="s">
        <v>581</v>
      </c>
      <c r="GPM16" s="508" t="s">
        <v>581</v>
      </c>
      <c r="GPN16" s="508" t="s">
        <v>581</v>
      </c>
      <c r="GPO16" s="508" t="s">
        <v>581</v>
      </c>
      <c r="GPP16" s="508" t="s">
        <v>581</v>
      </c>
      <c r="GPQ16" s="508" t="s">
        <v>581</v>
      </c>
      <c r="GPR16" s="508" t="s">
        <v>581</v>
      </c>
      <c r="GPS16" s="508" t="s">
        <v>581</v>
      </c>
      <c r="GPT16" s="508" t="s">
        <v>581</v>
      </c>
      <c r="GPU16" s="508" t="s">
        <v>581</v>
      </c>
      <c r="GPV16" s="508" t="s">
        <v>581</v>
      </c>
      <c r="GPW16" s="508" t="s">
        <v>581</v>
      </c>
      <c r="GPX16" s="508" t="s">
        <v>581</v>
      </c>
      <c r="GPY16" s="508" t="s">
        <v>581</v>
      </c>
      <c r="GPZ16" s="508" t="s">
        <v>581</v>
      </c>
      <c r="GQA16" s="508" t="s">
        <v>581</v>
      </c>
      <c r="GQB16" s="508" t="s">
        <v>581</v>
      </c>
      <c r="GQC16" s="508" t="s">
        <v>581</v>
      </c>
      <c r="GQD16" s="508" t="s">
        <v>581</v>
      </c>
      <c r="GQE16" s="508" t="s">
        <v>581</v>
      </c>
      <c r="GQF16" s="508" t="s">
        <v>581</v>
      </c>
      <c r="GQG16" s="508" t="s">
        <v>581</v>
      </c>
      <c r="GQH16" s="508" t="s">
        <v>581</v>
      </c>
      <c r="GQI16" s="508" t="s">
        <v>581</v>
      </c>
      <c r="GQJ16" s="508" t="s">
        <v>581</v>
      </c>
      <c r="GQK16" s="508" t="s">
        <v>581</v>
      </c>
      <c r="GQL16" s="508" t="s">
        <v>581</v>
      </c>
      <c r="GQM16" s="508" t="s">
        <v>581</v>
      </c>
      <c r="GQN16" s="508" t="s">
        <v>581</v>
      </c>
      <c r="GQO16" s="508" t="s">
        <v>581</v>
      </c>
      <c r="GQP16" s="508" t="s">
        <v>581</v>
      </c>
      <c r="GQQ16" s="508" t="s">
        <v>581</v>
      </c>
      <c r="GQR16" s="508" t="s">
        <v>581</v>
      </c>
      <c r="GQS16" s="508" t="s">
        <v>581</v>
      </c>
      <c r="GQT16" s="508" t="s">
        <v>581</v>
      </c>
      <c r="GQU16" s="508" t="s">
        <v>581</v>
      </c>
      <c r="GQV16" s="508" t="s">
        <v>581</v>
      </c>
      <c r="GQW16" s="508" t="s">
        <v>581</v>
      </c>
      <c r="GQX16" s="508" t="s">
        <v>581</v>
      </c>
      <c r="GQY16" s="508" t="s">
        <v>581</v>
      </c>
      <c r="GQZ16" s="508" t="s">
        <v>581</v>
      </c>
      <c r="GRA16" s="508" t="s">
        <v>581</v>
      </c>
      <c r="GRB16" s="508" t="s">
        <v>581</v>
      </c>
      <c r="GRC16" s="508" t="s">
        <v>581</v>
      </c>
      <c r="GRD16" s="508" t="s">
        <v>581</v>
      </c>
      <c r="GRE16" s="508" t="s">
        <v>581</v>
      </c>
      <c r="GRF16" s="508" t="s">
        <v>581</v>
      </c>
      <c r="GRG16" s="508" t="s">
        <v>581</v>
      </c>
      <c r="GRH16" s="508" t="s">
        <v>581</v>
      </c>
      <c r="GRI16" s="508" t="s">
        <v>581</v>
      </c>
      <c r="GRJ16" s="508" t="s">
        <v>581</v>
      </c>
      <c r="GRK16" s="508" t="s">
        <v>581</v>
      </c>
      <c r="GRL16" s="508" t="s">
        <v>581</v>
      </c>
      <c r="GRM16" s="508" t="s">
        <v>581</v>
      </c>
      <c r="GRN16" s="508" t="s">
        <v>581</v>
      </c>
      <c r="GRO16" s="508" t="s">
        <v>581</v>
      </c>
      <c r="GRP16" s="508" t="s">
        <v>581</v>
      </c>
      <c r="GRQ16" s="508" t="s">
        <v>581</v>
      </c>
      <c r="GRR16" s="508" t="s">
        <v>581</v>
      </c>
      <c r="GRS16" s="508" t="s">
        <v>581</v>
      </c>
      <c r="GRT16" s="508" t="s">
        <v>581</v>
      </c>
      <c r="GRU16" s="508" t="s">
        <v>581</v>
      </c>
      <c r="GRV16" s="508" t="s">
        <v>581</v>
      </c>
      <c r="GRW16" s="508" t="s">
        <v>581</v>
      </c>
      <c r="GRX16" s="508" t="s">
        <v>581</v>
      </c>
      <c r="GRY16" s="508" t="s">
        <v>581</v>
      </c>
      <c r="GRZ16" s="508" t="s">
        <v>581</v>
      </c>
      <c r="GSA16" s="508" t="s">
        <v>581</v>
      </c>
      <c r="GSB16" s="508" t="s">
        <v>581</v>
      </c>
      <c r="GSC16" s="508" t="s">
        <v>581</v>
      </c>
      <c r="GSD16" s="508" t="s">
        <v>581</v>
      </c>
      <c r="GSE16" s="508" t="s">
        <v>581</v>
      </c>
      <c r="GSF16" s="508" t="s">
        <v>581</v>
      </c>
      <c r="GSG16" s="508" t="s">
        <v>581</v>
      </c>
      <c r="GSH16" s="508" t="s">
        <v>581</v>
      </c>
      <c r="GSI16" s="508" t="s">
        <v>581</v>
      </c>
      <c r="GSJ16" s="508" t="s">
        <v>581</v>
      </c>
      <c r="GSK16" s="508" t="s">
        <v>581</v>
      </c>
      <c r="GSL16" s="508" t="s">
        <v>581</v>
      </c>
      <c r="GSM16" s="508" t="s">
        <v>581</v>
      </c>
      <c r="GSN16" s="508" t="s">
        <v>581</v>
      </c>
      <c r="GSO16" s="508" t="s">
        <v>581</v>
      </c>
      <c r="GSP16" s="508" t="s">
        <v>581</v>
      </c>
      <c r="GSQ16" s="508" t="s">
        <v>581</v>
      </c>
      <c r="GSR16" s="508" t="s">
        <v>581</v>
      </c>
      <c r="GSS16" s="508" t="s">
        <v>581</v>
      </c>
      <c r="GST16" s="508" t="s">
        <v>581</v>
      </c>
      <c r="GSU16" s="508" t="s">
        <v>581</v>
      </c>
      <c r="GSV16" s="508" t="s">
        <v>581</v>
      </c>
      <c r="GSW16" s="508" t="s">
        <v>581</v>
      </c>
      <c r="GSX16" s="508" t="s">
        <v>581</v>
      </c>
      <c r="GSY16" s="508" t="s">
        <v>581</v>
      </c>
      <c r="GSZ16" s="508" t="s">
        <v>581</v>
      </c>
      <c r="GTA16" s="508" t="s">
        <v>581</v>
      </c>
      <c r="GTB16" s="508" t="s">
        <v>581</v>
      </c>
      <c r="GTC16" s="508" t="s">
        <v>581</v>
      </c>
      <c r="GTD16" s="508" t="s">
        <v>581</v>
      </c>
      <c r="GTE16" s="508" t="s">
        <v>581</v>
      </c>
      <c r="GTF16" s="508" t="s">
        <v>581</v>
      </c>
      <c r="GTG16" s="508" t="s">
        <v>581</v>
      </c>
      <c r="GTH16" s="508" t="s">
        <v>581</v>
      </c>
      <c r="GTI16" s="508" t="s">
        <v>581</v>
      </c>
      <c r="GTJ16" s="508" t="s">
        <v>581</v>
      </c>
      <c r="GTK16" s="508" t="s">
        <v>581</v>
      </c>
      <c r="GTL16" s="508" t="s">
        <v>581</v>
      </c>
      <c r="GTM16" s="508" t="s">
        <v>581</v>
      </c>
      <c r="GTN16" s="508" t="s">
        <v>581</v>
      </c>
      <c r="GTO16" s="508" t="s">
        <v>581</v>
      </c>
      <c r="GTP16" s="508" t="s">
        <v>581</v>
      </c>
      <c r="GTQ16" s="508" t="s">
        <v>581</v>
      </c>
      <c r="GTR16" s="508" t="s">
        <v>581</v>
      </c>
      <c r="GTS16" s="508" t="s">
        <v>581</v>
      </c>
      <c r="GTT16" s="508" t="s">
        <v>581</v>
      </c>
      <c r="GTU16" s="508" t="s">
        <v>581</v>
      </c>
      <c r="GTV16" s="508" t="s">
        <v>581</v>
      </c>
      <c r="GTW16" s="508" t="s">
        <v>581</v>
      </c>
      <c r="GTX16" s="508" t="s">
        <v>581</v>
      </c>
      <c r="GTY16" s="508" t="s">
        <v>581</v>
      </c>
      <c r="GTZ16" s="508" t="s">
        <v>581</v>
      </c>
      <c r="GUA16" s="508" t="s">
        <v>581</v>
      </c>
      <c r="GUB16" s="508" t="s">
        <v>581</v>
      </c>
      <c r="GUC16" s="508" t="s">
        <v>581</v>
      </c>
      <c r="GUD16" s="508" t="s">
        <v>581</v>
      </c>
      <c r="GUE16" s="508" t="s">
        <v>581</v>
      </c>
      <c r="GUF16" s="508" t="s">
        <v>581</v>
      </c>
      <c r="GUG16" s="508" t="s">
        <v>581</v>
      </c>
      <c r="GUH16" s="508" t="s">
        <v>581</v>
      </c>
      <c r="GUI16" s="508" t="s">
        <v>581</v>
      </c>
      <c r="GUJ16" s="508" t="s">
        <v>581</v>
      </c>
      <c r="GUK16" s="508" t="s">
        <v>581</v>
      </c>
      <c r="GUL16" s="508" t="s">
        <v>581</v>
      </c>
      <c r="GUM16" s="508" t="s">
        <v>581</v>
      </c>
      <c r="GUN16" s="508" t="s">
        <v>581</v>
      </c>
      <c r="GUO16" s="508" t="s">
        <v>581</v>
      </c>
      <c r="GUP16" s="508" t="s">
        <v>581</v>
      </c>
      <c r="GUQ16" s="508" t="s">
        <v>581</v>
      </c>
      <c r="GUR16" s="508" t="s">
        <v>581</v>
      </c>
      <c r="GUS16" s="508" t="s">
        <v>581</v>
      </c>
      <c r="GUT16" s="508" t="s">
        <v>581</v>
      </c>
      <c r="GUU16" s="508" t="s">
        <v>581</v>
      </c>
      <c r="GUV16" s="508" t="s">
        <v>581</v>
      </c>
      <c r="GUW16" s="508" t="s">
        <v>581</v>
      </c>
      <c r="GUX16" s="508" t="s">
        <v>581</v>
      </c>
      <c r="GUY16" s="508" t="s">
        <v>581</v>
      </c>
      <c r="GUZ16" s="508" t="s">
        <v>581</v>
      </c>
      <c r="GVA16" s="508" t="s">
        <v>581</v>
      </c>
      <c r="GVB16" s="508" t="s">
        <v>581</v>
      </c>
      <c r="GVC16" s="508" t="s">
        <v>581</v>
      </c>
      <c r="GVD16" s="508" t="s">
        <v>581</v>
      </c>
      <c r="GVE16" s="508" t="s">
        <v>581</v>
      </c>
      <c r="GVF16" s="508" t="s">
        <v>581</v>
      </c>
      <c r="GVG16" s="508" t="s">
        <v>581</v>
      </c>
      <c r="GVH16" s="508" t="s">
        <v>581</v>
      </c>
      <c r="GVI16" s="508" t="s">
        <v>581</v>
      </c>
      <c r="GVJ16" s="508" t="s">
        <v>581</v>
      </c>
      <c r="GVK16" s="508" t="s">
        <v>581</v>
      </c>
      <c r="GVL16" s="508" t="s">
        <v>581</v>
      </c>
      <c r="GVM16" s="508" t="s">
        <v>581</v>
      </c>
      <c r="GVN16" s="508" t="s">
        <v>581</v>
      </c>
      <c r="GVO16" s="508" t="s">
        <v>581</v>
      </c>
      <c r="GVP16" s="508" t="s">
        <v>581</v>
      </c>
      <c r="GVQ16" s="508" t="s">
        <v>581</v>
      </c>
      <c r="GVR16" s="508" t="s">
        <v>581</v>
      </c>
      <c r="GVS16" s="508" t="s">
        <v>581</v>
      </c>
      <c r="GVT16" s="508" t="s">
        <v>581</v>
      </c>
      <c r="GVU16" s="508" t="s">
        <v>581</v>
      </c>
      <c r="GVV16" s="508" t="s">
        <v>581</v>
      </c>
      <c r="GVW16" s="508" t="s">
        <v>581</v>
      </c>
      <c r="GVX16" s="508" t="s">
        <v>581</v>
      </c>
      <c r="GVY16" s="508" t="s">
        <v>581</v>
      </c>
      <c r="GVZ16" s="508" t="s">
        <v>581</v>
      </c>
      <c r="GWA16" s="508" t="s">
        <v>581</v>
      </c>
      <c r="GWB16" s="508" t="s">
        <v>581</v>
      </c>
      <c r="GWC16" s="508" t="s">
        <v>581</v>
      </c>
      <c r="GWD16" s="508" t="s">
        <v>581</v>
      </c>
      <c r="GWE16" s="508" t="s">
        <v>581</v>
      </c>
      <c r="GWF16" s="508" t="s">
        <v>581</v>
      </c>
      <c r="GWG16" s="508" t="s">
        <v>581</v>
      </c>
      <c r="GWH16" s="508" t="s">
        <v>581</v>
      </c>
      <c r="GWI16" s="508" t="s">
        <v>581</v>
      </c>
      <c r="GWJ16" s="508" t="s">
        <v>581</v>
      </c>
      <c r="GWK16" s="508" t="s">
        <v>581</v>
      </c>
      <c r="GWL16" s="508" t="s">
        <v>581</v>
      </c>
      <c r="GWM16" s="508" t="s">
        <v>581</v>
      </c>
      <c r="GWN16" s="508" t="s">
        <v>581</v>
      </c>
      <c r="GWO16" s="508" t="s">
        <v>581</v>
      </c>
      <c r="GWP16" s="508" t="s">
        <v>581</v>
      </c>
      <c r="GWQ16" s="508" t="s">
        <v>581</v>
      </c>
      <c r="GWR16" s="508" t="s">
        <v>581</v>
      </c>
      <c r="GWS16" s="508" t="s">
        <v>581</v>
      </c>
      <c r="GWT16" s="508" t="s">
        <v>581</v>
      </c>
      <c r="GWU16" s="508" t="s">
        <v>581</v>
      </c>
      <c r="GWV16" s="508" t="s">
        <v>581</v>
      </c>
      <c r="GWW16" s="508" t="s">
        <v>581</v>
      </c>
      <c r="GWX16" s="508" t="s">
        <v>581</v>
      </c>
      <c r="GWY16" s="508" t="s">
        <v>581</v>
      </c>
      <c r="GWZ16" s="508" t="s">
        <v>581</v>
      </c>
      <c r="GXA16" s="508" t="s">
        <v>581</v>
      </c>
      <c r="GXB16" s="508" t="s">
        <v>581</v>
      </c>
      <c r="GXC16" s="508" t="s">
        <v>581</v>
      </c>
      <c r="GXD16" s="508" t="s">
        <v>581</v>
      </c>
      <c r="GXE16" s="508" t="s">
        <v>581</v>
      </c>
      <c r="GXF16" s="508" t="s">
        <v>581</v>
      </c>
      <c r="GXG16" s="508" t="s">
        <v>581</v>
      </c>
      <c r="GXH16" s="508" t="s">
        <v>581</v>
      </c>
      <c r="GXI16" s="508" t="s">
        <v>581</v>
      </c>
      <c r="GXJ16" s="508" t="s">
        <v>581</v>
      </c>
      <c r="GXK16" s="508" t="s">
        <v>581</v>
      </c>
      <c r="GXL16" s="508" t="s">
        <v>581</v>
      </c>
      <c r="GXM16" s="508" t="s">
        <v>581</v>
      </c>
      <c r="GXN16" s="508" t="s">
        <v>581</v>
      </c>
      <c r="GXO16" s="508" t="s">
        <v>581</v>
      </c>
      <c r="GXP16" s="508" t="s">
        <v>581</v>
      </c>
      <c r="GXQ16" s="508" t="s">
        <v>581</v>
      </c>
      <c r="GXR16" s="508" t="s">
        <v>581</v>
      </c>
      <c r="GXS16" s="508" t="s">
        <v>581</v>
      </c>
      <c r="GXT16" s="508" t="s">
        <v>581</v>
      </c>
      <c r="GXU16" s="508" t="s">
        <v>581</v>
      </c>
      <c r="GXV16" s="508" t="s">
        <v>581</v>
      </c>
      <c r="GXW16" s="508" t="s">
        <v>581</v>
      </c>
      <c r="GXX16" s="508" t="s">
        <v>581</v>
      </c>
      <c r="GXY16" s="508" t="s">
        <v>581</v>
      </c>
      <c r="GXZ16" s="508" t="s">
        <v>581</v>
      </c>
      <c r="GYA16" s="508" t="s">
        <v>581</v>
      </c>
      <c r="GYB16" s="508" t="s">
        <v>581</v>
      </c>
      <c r="GYC16" s="508" t="s">
        <v>581</v>
      </c>
      <c r="GYD16" s="508" t="s">
        <v>581</v>
      </c>
      <c r="GYE16" s="508" t="s">
        <v>581</v>
      </c>
      <c r="GYF16" s="508" t="s">
        <v>581</v>
      </c>
      <c r="GYG16" s="508" t="s">
        <v>581</v>
      </c>
      <c r="GYH16" s="508" t="s">
        <v>581</v>
      </c>
      <c r="GYI16" s="508" t="s">
        <v>581</v>
      </c>
      <c r="GYJ16" s="508" t="s">
        <v>581</v>
      </c>
      <c r="GYK16" s="508" t="s">
        <v>581</v>
      </c>
      <c r="GYL16" s="508" t="s">
        <v>581</v>
      </c>
      <c r="GYM16" s="508" t="s">
        <v>581</v>
      </c>
      <c r="GYN16" s="508" t="s">
        <v>581</v>
      </c>
      <c r="GYO16" s="508" t="s">
        <v>581</v>
      </c>
      <c r="GYP16" s="508" t="s">
        <v>581</v>
      </c>
      <c r="GYQ16" s="508" t="s">
        <v>581</v>
      </c>
      <c r="GYR16" s="508" t="s">
        <v>581</v>
      </c>
      <c r="GYS16" s="508" t="s">
        <v>581</v>
      </c>
      <c r="GYT16" s="508" t="s">
        <v>581</v>
      </c>
      <c r="GYU16" s="508" t="s">
        <v>581</v>
      </c>
      <c r="GYV16" s="508" t="s">
        <v>581</v>
      </c>
      <c r="GYW16" s="508" t="s">
        <v>581</v>
      </c>
      <c r="GYX16" s="508" t="s">
        <v>581</v>
      </c>
      <c r="GYY16" s="508" t="s">
        <v>581</v>
      </c>
      <c r="GYZ16" s="508" t="s">
        <v>581</v>
      </c>
      <c r="GZA16" s="508" t="s">
        <v>581</v>
      </c>
      <c r="GZB16" s="508" t="s">
        <v>581</v>
      </c>
      <c r="GZC16" s="508" t="s">
        <v>581</v>
      </c>
      <c r="GZD16" s="508" t="s">
        <v>581</v>
      </c>
      <c r="GZE16" s="508" t="s">
        <v>581</v>
      </c>
      <c r="GZF16" s="508" t="s">
        <v>581</v>
      </c>
      <c r="GZG16" s="508" t="s">
        <v>581</v>
      </c>
      <c r="GZH16" s="508" t="s">
        <v>581</v>
      </c>
      <c r="GZI16" s="508" t="s">
        <v>581</v>
      </c>
      <c r="GZJ16" s="508" t="s">
        <v>581</v>
      </c>
      <c r="GZK16" s="508" t="s">
        <v>581</v>
      </c>
      <c r="GZL16" s="508" t="s">
        <v>581</v>
      </c>
      <c r="GZM16" s="508" t="s">
        <v>581</v>
      </c>
      <c r="GZN16" s="508" t="s">
        <v>581</v>
      </c>
      <c r="GZO16" s="508" t="s">
        <v>581</v>
      </c>
      <c r="GZP16" s="508" t="s">
        <v>581</v>
      </c>
      <c r="GZQ16" s="508" t="s">
        <v>581</v>
      </c>
      <c r="GZR16" s="508" t="s">
        <v>581</v>
      </c>
      <c r="GZS16" s="508" t="s">
        <v>581</v>
      </c>
      <c r="GZT16" s="508" t="s">
        <v>581</v>
      </c>
      <c r="GZU16" s="508" t="s">
        <v>581</v>
      </c>
      <c r="GZV16" s="508" t="s">
        <v>581</v>
      </c>
      <c r="GZW16" s="508" t="s">
        <v>581</v>
      </c>
      <c r="GZX16" s="508" t="s">
        <v>581</v>
      </c>
      <c r="GZY16" s="508" t="s">
        <v>581</v>
      </c>
      <c r="GZZ16" s="508" t="s">
        <v>581</v>
      </c>
      <c r="HAA16" s="508" t="s">
        <v>581</v>
      </c>
      <c r="HAB16" s="508" t="s">
        <v>581</v>
      </c>
      <c r="HAC16" s="508" t="s">
        <v>581</v>
      </c>
      <c r="HAD16" s="508" t="s">
        <v>581</v>
      </c>
      <c r="HAE16" s="508" t="s">
        <v>581</v>
      </c>
      <c r="HAF16" s="508" t="s">
        <v>581</v>
      </c>
      <c r="HAG16" s="508" t="s">
        <v>581</v>
      </c>
      <c r="HAH16" s="508" t="s">
        <v>581</v>
      </c>
      <c r="HAI16" s="508" t="s">
        <v>581</v>
      </c>
      <c r="HAJ16" s="508" t="s">
        <v>581</v>
      </c>
      <c r="HAK16" s="508" t="s">
        <v>581</v>
      </c>
      <c r="HAL16" s="508" t="s">
        <v>581</v>
      </c>
      <c r="HAM16" s="508" t="s">
        <v>581</v>
      </c>
      <c r="HAN16" s="508" t="s">
        <v>581</v>
      </c>
      <c r="HAO16" s="508" t="s">
        <v>581</v>
      </c>
      <c r="HAP16" s="508" t="s">
        <v>581</v>
      </c>
      <c r="HAQ16" s="508" t="s">
        <v>581</v>
      </c>
      <c r="HAR16" s="508" t="s">
        <v>581</v>
      </c>
      <c r="HAS16" s="508" t="s">
        <v>581</v>
      </c>
      <c r="HAT16" s="508" t="s">
        <v>581</v>
      </c>
      <c r="HAU16" s="508" t="s">
        <v>581</v>
      </c>
      <c r="HAV16" s="508" t="s">
        <v>581</v>
      </c>
      <c r="HAW16" s="508" t="s">
        <v>581</v>
      </c>
      <c r="HAX16" s="508" t="s">
        <v>581</v>
      </c>
      <c r="HAY16" s="508" t="s">
        <v>581</v>
      </c>
      <c r="HAZ16" s="508" t="s">
        <v>581</v>
      </c>
      <c r="HBA16" s="508" t="s">
        <v>581</v>
      </c>
      <c r="HBB16" s="508" t="s">
        <v>581</v>
      </c>
      <c r="HBC16" s="508" t="s">
        <v>581</v>
      </c>
      <c r="HBD16" s="508" t="s">
        <v>581</v>
      </c>
      <c r="HBE16" s="508" t="s">
        <v>581</v>
      </c>
      <c r="HBF16" s="508" t="s">
        <v>581</v>
      </c>
      <c r="HBG16" s="508" t="s">
        <v>581</v>
      </c>
      <c r="HBH16" s="508" t="s">
        <v>581</v>
      </c>
      <c r="HBI16" s="508" t="s">
        <v>581</v>
      </c>
      <c r="HBJ16" s="508" t="s">
        <v>581</v>
      </c>
      <c r="HBK16" s="508" t="s">
        <v>581</v>
      </c>
      <c r="HBL16" s="508" t="s">
        <v>581</v>
      </c>
      <c r="HBM16" s="508" t="s">
        <v>581</v>
      </c>
      <c r="HBN16" s="508" t="s">
        <v>581</v>
      </c>
      <c r="HBO16" s="508" t="s">
        <v>581</v>
      </c>
      <c r="HBP16" s="508" t="s">
        <v>581</v>
      </c>
      <c r="HBQ16" s="508" t="s">
        <v>581</v>
      </c>
      <c r="HBR16" s="508" t="s">
        <v>581</v>
      </c>
      <c r="HBS16" s="508" t="s">
        <v>581</v>
      </c>
      <c r="HBT16" s="508" t="s">
        <v>581</v>
      </c>
      <c r="HBU16" s="508" t="s">
        <v>581</v>
      </c>
      <c r="HBV16" s="508" t="s">
        <v>581</v>
      </c>
      <c r="HBW16" s="508" t="s">
        <v>581</v>
      </c>
      <c r="HBX16" s="508" t="s">
        <v>581</v>
      </c>
      <c r="HBY16" s="508" t="s">
        <v>581</v>
      </c>
      <c r="HBZ16" s="508" t="s">
        <v>581</v>
      </c>
      <c r="HCA16" s="508" t="s">
        <v>581</v>
      </c>
      <c r="HCB16" s="508" t="s">
        <v>581</v>
      </c>
      <c r="HCC16" s="508" t="s">
        <v>581</v>
      </c>
      <c r="HCD16" s="508" t="s">
        <v>581</v>
      </c>
      <c r="HCE16" s="508" t="s">
        <v>581</v>
      </c>
      <c r="HCF16" s="508" t="s">
        <v>581</v>
      </c>
      <c r="HCG16" s="508" t="s">
        <v>581</v>
      </c>
      <c r="HCH16" s="508" t="s">
        <v>581</v>
      </c>
      <c r="HCI16" s="508" t="s">
        <v>581</v>
      </c>
      <c r="HCJ16" s="508" t="s">
        <v>581</v>
      </c>
      <c r="HCK16" s="508" t="s">
        <v>581</v>
      </c>
      <c r="HCL16" s="508" t="s">
        <v>581</v>
      </c>
      <c r="HCM16" s="508" t="s">
        <v>581</v>
      </c>
      <c r="HCN16" s="508" t="s">
        <v>581</v>
      </c>
      <c r="HCO16" s="508" t="s">
        <v>581</v>
      </c>
      <c r="HCP16" s="508" t="s">
        <v>581</v>
      </c>
      <c r="HCQ16" s="508" t="s">
        <v>581</v>
      </c>
      <c r="HCR16" s="508" t="s">
        <v>581</v>
      </c>
      <c r="HCS16" s="508" t="s">
        <v>581</v>
      </c>
      <c r="HCT16" s="508" t="s">
        <v>581</v>
      </c>
      <c r="HCU16" s="508" t="s">
        <v>581</v>
      </c>
      <c r="HCV16" s="508" t="s">
        <v>581</v>
      </c>
      <c r="HCW16" s="508" t="s">
        <v>581</v>
      </c>
      <c r="HCX16" s="508" t="s">
        <v>581</v>
      </c>
      <c r="HCY16" s="508" t="s">
        <v>581</v>
      </c>
      <c r="HCZ16" s="508" t="s">
        <v>581</v>
      </c>
      <c r="HDA16" s="508" t="s">
        <v>581</v>
      </c>
      <c r="HDB16" s="508" t="s">
        <v>581</v>
      </c>
      <c r="HDC16" s="508" t="s">
        <v>581</v>
      </c>
      <c r="HDD16" s="508" t="s">
        <v>581</v>
      </c>
      <c r="HDE16" s="508" t="s">
        <v>581</v>
      </c>
      <c r="HDF16" s="508" t="s">
        <v>581</v>
      </c>
      <c r="HDG16" s="508" t="s">
        <v>581</v>
      </c>
      <c r="HDH16" s="508" t="s">
        <v>581</v>
      </c>
      <c r="HDI16" s="508" t="s">
        <v>581</v>
      </c>
      <c r="HDJ16" s="508" t="s">
        <v>581</v>
      </c>
      <c r="HDK16" s="508" t="s">
        <v>581</v>
      </c>
      <c r="HDL16" s="508" t="s">
        <v>581</v>
      </c>
      <c r="HDM16" s="508" t="s">
        <v>581</v>
      </c>
      <c r="HDN16" s="508" t="s">
        <v>581</v>
      </c>
      <c r="HDO16" s="508" t="s">
        <v>581</v>
      </c>
      <c r="HDP16" s="508" t="s">
        <v>581</v>
      </c>
      <c r="HDQ16" s="508" t="s">
        <v>581</v>
      </c>
      <c r="HDR16" s="508" t="s">
        <v>581</v>
      </c>
      <c r="HDS16" s="508" t="s">
        <v>581</v>
      </c>
      <c r="HDT16" s="508" t="s">
        <v>581</v>
      </c>
      <c r="HDU16" s="508" t="s">
        <v>581</v>
      </c>
      <c r="HDV16" s="508" t="s">
        <v>581</v>
      </c>
      <c r="HDW16" s="508" t="s">
        <v>581</v>
      </c>
      <c r="HDX16" s="508" t="s">
        <v>581</v>
      </c>
      <c r="HDY16" s="508" t="s">
        <v>581</v>
      </c>
      <c r="HDZ16" s="508" t="s">
        <v>581</v>
      </c>
      <c r="HEA16" s="508" t="s">
        <v>581</v>
      </c>
      <c r="HEB16" s="508" t="s">
        <v>581</v>
      </c>
      <c r="HEC16" s="508" t="s">
        <v>581</v>
      </c>
      <c r="HED16" s="508" t="s">
        <v>581</v>
      </c>
      <c r="HEE16" s="508" t="s">
        <v>581</v>
      </c>
      <c r="HEF16" s="508" t="s">
        <v>581</v>
      </c>
      <c r="HEG16" s="508" t="s">
        <v>581</v>
      </c>
      <c r="HEH16" s="508" t="s">
        <v>581</v>
      </c>
      <c r="HEI16" s="508" t="s">
        <v>581</v>
      </c>
      <c r="HEJ16" s="508" t="s">
        <v>581</v>
      </c>
      <c r="HEK16" s="508" t="s">
        <v>581</v>
      </c>
      <c r="HEL16" s="508" t="s">
        <v>581</v>
      </c>
      <c r="HEM16" s="508" t="s">
        <v>581</v>
      </c>
      <c r="HEN16" s="508" t="s">
        <v>581</v>
      </c>
      <c r="HEO16" s="508" t="s">
        <v>581</v>
      </c>
      <c r="HEP16" s="508" t="s">
        <v>581</v>
      </c>
      <c r="HEQ16" s="508" t="s">
        <v>581</v>
      </c>
      <c r="HER16" s="508" t="s">
        <v>581</v>
      </c>
      <c r="HES16" s="508" t="s">
        <v>581</v>
      </c>
      <c r="HET16" s="508" t="s">
        <v>581</v>
      </c>
      <c r="HEU16" s="508" t="s">
        <v>581</v>
      </c>
      <c r="HEV16" s="508" t="s">
        <v>581</v>
      </c>
      <c r="HEW16" s="508" t="s">
        <v>581</v>
      </c>
      <c r="HEX16" s="508" t="s">
        <v>581</v>
      </c>
      <c r="HEY16" s="508" t="s">
        <v>581</v>
      </c>
      <c r="HEZ16" s="508" t="s">
        <v>581</v>
      </c>
      <c r="HFA16" s="508" t="s">
        <v>581</v>
      </c>
      <c r="HFB16" s="508" t="s">
        <v>581</v>
      </c>
      <c r="HFC16" s="508" t="s">
        <v>581</v>
      </c>
      <c r="HFD16" s="508" t="s">
        <v>581</v>
      </c>
      <c r="HFE16" s="508" t="s">
        <v>581</v>
      </c>
      <c r="HFF16" s="508" t="s">
        <v>581</v>
      </c>
      <c r="HFG16" s="508" t="s">
        <v>581</v>
      </c>
      <c r="HFH16" s="508" t="s">
        <v>581</v>
      </c>
      <c r="HFI16" s="508" t="s">
        <v>581</v>
      </c>
      <c r="HFJ16" s="508" t="s">
        <v>581</v>
      </c>
      <c r="HFK16" s="508" t="s">
        <v>581</v>
      </c>
      <c r="HFL16" s="508" t="s">
        <v>581</v>
      </c>
      <c r="HFM16" s="508" t="s">
        <v>581</v>
      </c>
      <c r="HFN16" s="508" t="s">
        <v>581</v>
      </c>
      <c r="HFO16" s="508" t="s">
        <v>581</v>
      </c>
      <c r="HFP16" s="508" t="s">
        <v>581</v>
      </c>
      <c r="HFQ16" s="508" t="s">
        <v>581</v>
      </c>
      <c r="HFR16" s="508" t="s">
        <v>581</v>
      </c>
      <c r="HFS16" s="508" t="s">
        <v>581</v>
      </c>
      <c r="HFT16" s="508" t="s">
        <v>581</v>
      </c>
      <c r="HFU16" s="508" t="s">
        <v>581</v>
      </c>
      <c r="HFV16" s="508" t="s">
        <v>581</v>
      </c>
      <c r="HFW16" s="508" t="s">
        <v>581</v>
      </c>
      <c r="HFX16" s="508" t="s">
        <v>581</v>
      </c>
      <c r="HFY16" s="508" t="s">
        <v>581</v>
      </c>
      <c r="HFZ16" s="508" t="s">
        <v>581</v>
      </c>
      <c r="HGA16" s="508" t="s">
        <v>581</v>
      </c>
      <c r="HGB16" s="508" t="s">
        <v>581</v>
      </c>
      <c r="HGC16" s="508" t="s">
        <v>581</v>
      </c>
      <c r="HGD16" s="508" t="s">
        <v>581</v>
      </c>
      <c r="HGE16" s="508" t="s">
        <v>581</v>
      </c>
      <c r="HGF16" s="508" t="s">
        <v>581</v>
      </c>
      <c r="HGG16" s="508" t="s">
        <v>581</v>
      </c>
      <c r="HGH16" s="508" t="s">
        <v>581</v>
      </c>
      <c r="HGI16" s="508" t="s">
        <v>581</v>
      </c>
      <c r="HGJ16" s="508" t="s">
        <v>581</v>
      </c>
      <c r="HGK16" s="508" t="s">
        <v>581</v>
      </c>
      <c r="HGL16" s="508" t="s">
        <v>581</v>
      </c>
      <c r="HGM16" s="508" t="s">
        <v>581</v>
      </c>
      <c r="HGN16" s="508" t="s">
        <v>581</v>
      </c>
      <c r="HGO16" s="508" t="s">
        <v>581</v>
      </c>
      <c r="HGP16" s="508" t="s">
        <v>581</v>
      </c>
      <c r="HGQ16" s="508" t="s">
        <v>581</v>
      </c>
      <c r="HGR16" s="508" t="s">
        <v>581</v>
      </c>
      <c r="HGS16" s="508" t="s">
        <v>581</v>
      </c>
      <c r="HGT16" s="508" t="s">
        <v>581</v>
      </c>
      <c r="HGU16" s="508" t="s">
        <v>581</v>
      </c>
      <c r="HGV16" s="508" t="s">
        <v>581</v>
      </c>
      <c r="HGW16" s="508" t="s">
        <v>581</v>
      </c>
      <c r="HGX16" s="508" t="s">
        <v>581</v>
      </c>
      <c r="HGY16" s="508" t="s">
        <v>581</v>
      </c>
      <c r="HGZ16" s="508" t="s">
        <v>581</v>
      </c>
      <c r="HHA16" s="508" t="s">
        <v>581</v>
      </c>
      <c r="HHB16" s="508" t="s">
        <v>581</v>
      </c>
      <c r="HHC16" s="508" t="s">
        <v>581</v>
      </c>
      <c r="HHD16" s="508" t="s">
        <v>581</v>
      </c>
      <c r="HHE16" s="508" t="s">
        <v>581</v>
      </c>
      <c r="HHF16" s="508" t="s">
        <v>581</v>
      </c>
      <c r="HHG16" s="508" t="s">
        <v>581</v>
      </c>
      <c r="HHH16" s="508" t="s">
        <v>581</v>
      </c>
      <c r="HHI16" s="508" t="s">
        <v>581</v>
      </c>
      <c r="HHJ16" s="508" t="s">
        <v>581</v>
      </c>
      <c r="HHK16" s="508" t="s">
        <v>581</v>
      </c>
      <c r="HHL16" s="508" t="s">
        <v>581</v>
      </c>
      <c r="HHM16" s="508" t="s">
        <v>581</v>
      </c>
      <c r="HHN16" s="508" t="s">
        <v>581</v>
      </c>
      <c r="HHO16" s="508" t="s">
        <v>581</v>
      </c>
      <c r="HHP16" s="508" t="s">
        <v>581</v>
      </c>
      <c r="HHQ16" s="508" t="s">
        <v>581</v>
      </c>
      <c r="HHR16" s="508" t="s">
        <v>581</v>
      </c>
      <c r="HHS16" s="508" t="s">
        <v>581</v>
      </c>
      <c r="HHT16" s="508" t="s">
        <v>581</v>
      </c>
      <c r="HHU16" s="508" t="s">
        <v>581</v>
      </c>
      <c r="HHV16" s="508" t="s">
        <v>581</v>
      </c>
      <c r="HHW16" s="508" t="s">
        <v>581</v>
      </c>
      <c r="HHX16" s="508" t="s">
        <v>581</v>
      </c>
      <c r="HHY16" s="508" t="s">
        <v>581</v>
      </c>
      <c r="HHZ16" s="508" t="s">
        <v>581</v>
      </c>
      <c r="HIA16" s="508" t="s">
        <v>581</v>
      </c>
      <c r="HIB16" s="508" t="s">
        <v>581</v>
      </c>
      <c r="HIC16" s="508" t="s">
        <v>581</v>
      </c>
      <c r="HID16" s="508" t="s">
        <v>581</v>
      </c>
      <c r="HIE16" s="508" t="s">
        <v>581</v>
      </c>
      <c r="HIF16" s="508" t="s">
        <v>581</v>
      </c>
      <c r="HIG16" s="508" t="s">
        <v>581</v>
      </c>
      <c r="HIH16" s="508" t="s">
        <v>581</v>
      </c>
      <c r="HII16" s="508" t="s">
        <v>581</v>
      </c>
      <c r="HIJ16" s="508" t="s">
        <v>581</v>
      </c>
      <c r="HIK16" s="508" t="s">
        <v>581</v>
      </c>
      <c r="HIL16" s="508" t="s">
        <v>581</v>
      </c>
      <c r="HIM16" s="508" t="s">
        <v>581</v>
      </c>
      <c r="HIN16" s="508" t="s">
        <v>581</v>
      </c>
      <c r="HIO16" s="508" t="s">
        <v>581</v>
      </c>
      <c r="HIP16" s="508" t="s">
        <v>581</v>
      </c>
      <c r="HIQ16" s="508" t="s">
        <v>581</v>
      </c>
      <c r="HIR16" s="508" t="s">
        <v>581</v>
      </c>
      <c r="HIS16" s="508" t="s">
        <v>581</v>
      </c>
      <c r="HIT16" s="508" t="s">
        <v>581</v>
      </c>
      <c r="HIU16" s="508" t="s">
        <v>581</v>
      </c>
      <c r="HIV16" s="508" t="s">
        <v>581</v>
      </c>
      <c r="HIW16" s="508" t="s">
        <v>581</v>
      </c>
      <c r="HIX16" s="508" t="s">
        <v>581</v>
      </c>
      <c r="HIY16" s="508" t="s">
        <v>581</v>
      </c>
      <c r="HIZ16" s="508" t="s">
        <v>581</v>
      </c>
      <c r="HJA16" s="508" t="s">
        <v>581</v>
      </c>
      <c r="HJB16" s="508" t="s">
        <v>581</v>
      </c>
      <c r="HJC16" s="508" t="s">
        <v>581</v>
      </c>
      <c r="HJD16" s="508" t="s">
        <v>581</v>
      </c>
      <c r="HJE16" s="508" t="s">
        <v>581</v>
      </c>
      <c r="HJF16" s="508" t="s">
        <v>581</v>
      </c>
      <c r="HJG16" s="508" t="s">
        <v>581</v>
      </c>
      <c r="HJH16" s="508" t="s">
        <v>581</v>
      </c>
      <c r="HJI16" s="508" t="s">
        <v>581</v>
      </c>
      <c r="HJJ16" s="508" t="s">
        <v>581</v>
      </c>
      <c r="HJK16" s="508" t="s">
        <v>581</v>
      </c>
      <c r="HJL16" s="508" t="s">
        <v>581</v>
      </c>
      <c r="HJM16" s="508" t="s">
        <v>581</v>
      </c>
      <c r="HJN16" s="508" t="s">
        <v>581</v>
      </c>
      <c r="HJO16" s="508" t="s">
        <v>581</v>
      </c>
      <c r="HJP16" s="508" t="s">
        <v>581</v>
      </c>
      <c r="HJQ16" s="508" t="s">
        <v>581</v>
      </c>
      <c r="HJR16" s="508" t="s">
        <v>581</v>
      </c>
      <c r="HJS16" s="508" t="s">
        <v>581</v>
      </c>
      <c r="HJT16" s="508" t="s">
        <v>581</v>
      </c>
      <c r="HJU16" s="508" t="s">
        <v>581</v>
      </c>
      <c r="HJV16" s="508" t="s">
        <v>581</v>
      </c>
      <c r="HJW16" s="508" t="s">
        <v>581</v>
      </c>
      <c r="HJX16" s="508" t="s">
        <v>581</v>
      </c>
      <c r="HJY16" s="508" t="s">
        <v>581</v>
      </c>
      <c r="HJZ16" s="508" t="s">
        <v>581</v>
      </c>
      <c r="HKA16" s="508" t="s">
        <v>581</v>
      </c>
      <c r="HKB16" s="508" t="s">
        <v>581</v>
      </c>
      <c r="HKC16" s="508" t="s">
        <v>581</v>
      </c>
      <c r="HKD16" s="508" t="s">
        <v>581</v>
      </c>
      <c r="HKE16" s="508" t="s">
        <v>581</v>
      </c>
      <c r="HKF16" s="508" t="s">
        <v>581</v>
      </c>
      <c r="HKG16" s="508" t="s">
        <v>581</v>
      </c>
      <c r="HKH16" s="508" t="s">
        <v>581</v>
      </c>
      <c r="HKI16" s="508" t="s">
        <v>581</v>
      </c>
      <c r="HKJ16" s="508" t="s">
        <v>581</v>
      </c>
      <c r="HKK16" s="508" t="s">
        <v>581</v>
      </c>
      <c r="HKL16" s="508" t="s">
        <v>581</v>
      </c>
      <c r="HKM16" s="508" t="s">
        <v>581</v>
      </c>
      <c r="HKN16" s="508" t="s">
        <v>581</v>
      </c>
      <c r="HKO16" s="508" t="s">
        <v>581</v>
      </c>
      <c r="HKP16" s="508" t="s">
        <v>581</v>
      </c>
      <c r="HKQ16" s="508" t="s">
        <v>581</v>
      </c>
      <c r="HKR16" s="508" t="s">
        <v>581</v>
      </c>
      <c r="HKS16" s="508" t="s">
        <v>581</v>
      </c>
      <c r="HKT16" s="508" t="s">
        <v>581</v>
      </c>
      <c r="HKU16" s="508" t="s">
        <v>581</v>
      </c>
      <c r="HKV16" s="508" t="s">
        <v>581</v>
      </c>
      <c r="HKW16" s="508" t="s">
        <v>581</v>
      </c>
      <c r="HKX16" s="508" t="s">
        <v>581</v>
      </c>
      <c r="HKY16" s="508" t="s">
        <v>581</v>
      </c>
      <c r="HKZ16" s="508" t="s">
        <v>581</v>
      </c>
      <c r="HLA16" s="508" t="s">
        <v>581</v>
      </c>
      <c r="HLB16" s="508" t="s">
        <v>581</v>
      </c>
      <c r="HLC16" s="508" t="s">
        <v>581</v>
      </c>
      <c r="HLD16" s="508" t="s">
        <v>581</v>
      </c>
      <c r="HLE16" s="508" t="s">
        <v>581</v>
      </c>
      <c r="HLF16" s="508" t="s">
        <v>581</v>
      </c>
      <c r="HLG16" s="508" t="s">
        <v>581</v>
      </c>
      <c r="HLH16" s="508" t="s">
        <v>581</v>
      </c>
      <c r="HLI16" s="508" t="s">
        <v>581</v>
      </c>
      <c r="HLJ16" s="508" t="s">
        <v>581</v>
      </c>
      <c r="HLK16" s="508" t="s">
        <v>581</v>
      </c>
      <c r="HLL16" s="508" t="s">
        <v>581</v>
      </c>
      <c r="HLM16" s="508" t="s">
        <v>581</v>
      </c>
      <c r="HLN16" s="508" t="s">
        <v>581</v>
      </c>
      <c r="HLO16" s="508" t="s">
        <v>581</v>
      </c>
      <c r="HLP16" s="508" t="s">
        <v>581</v>
      </c>
      <c r="HLQ16" s="508" t="s">
        <v>581</v>
      </c>
      <c r="HLR16" s="508" t="s">
        <v>581</v>
      </c>
      <c r="HLS16" s="508" t="s">
        <v>581</v>
      </c>
      <c r="HLT16" s="508" t="s">
        <v>581</v>
      </c>
      <c r="HLU16" s="508" t="s">
        <v>581</v>
      </c>
      <c r="HLV16" s="508" t="s">
        <v>581</v>
      </c>
      <c r="HLW16" s="508" t="s">
        <v>581</v>
      </c>
      <c r="HLX16" s="508" t="s">
        <v>581</v>
      </c>
      <c r="HLY16" s="508" t="s">
        <v>581</v>
      </c>
      <c r="HLZ16" s="508" t="s">
        <v>581</v>
      </c>
      <c r="HMA16" s="508" t="s">
        <v>581</v>
      </c>
      <c r="HMB16" s="508" t="s">
        <v>581</v>
      </c>
      <c r="HMC16" s="508" t="s">
        <v>581</v>
      </c>
      <c r="HMD16" s="508" t="s">
        <v>581</v>
      </c>
      <c r="HME16" s="508" t="s">
        <v>581</v>
      </c>
      <c r="HMF16" s="508" t="s">
        <v>581</v>
      </c>
      <c r="HMG16" s="508" t="s">
        <v>581</v>
      </c>
      <c r="HMH16" s="508" t="s">
        <v>581</v>
      </c>
      <c r="HMI16" s="508" t="s">
        <v>581</v>
      </c>
      <c r="HMJ16" s="508" t="s">
        <v>581</v>
      </c>
      <c r="HMK16" s="508" t="s">
        <v>581</v>
      </c>
      <c r="HML16" s="508" t="s">
        <v>581</v>
      </c>
      <c r="HMM16" s="508" t="s">
        <v>581</v>
      </c>
      <c r="HMN16" s="508" t="s">
        <v>581</v>
      </c>
      <c r="HMO16" s="508" t="s">
        <v>581</v>
      </c>
      <c r="HMP16" s="508" t="s">
        <v>581</v>
      </c>
      <c r="HMQ16" s="508" t="s">
        <v>581</v>
      </c>
      <c r="HMR16" s="508" t="s">
        <v>581</v>
      </c>
      <c r="HMS16" s="508" t="s">
        <v>581</v>
      </c>
      <c r="HMT16" s="508" t="s">
        <v>581</v>
      </c>
      <c r="HMU16" s="508" t="s">
        <v>581</v>
      </c>
      <c r="HMV16" s="508" t="s">
        <v>581</v>
      </c>
      <c r="HMW16" s="508" t="s">
        <v>581</v>
      </c>
      <c r="HMX16" s="508" t="s">
        <v>581</v>
      </c>
      <c r="HMY16" s="508" t="s">
        <v>581</v>
      </c>
      <c r="HMZ16" s="508" t="s">
        <v>581</v>
      </c>
      <c r="HNA16" s="508" t="s">
        <v>581</v>
      </c>
      <c r="HNB16" s="508" t="s">
        <v>581</v>
      </c>
      <c r="HNC16" s="508" t="s">
        <v>581</v>
      </c>
      <c r="HND16" s="508" t="s">
        <v>581</v>
      </c>
      <c r="HNE16" s="508" t="s">
        <v>581</v>
      </c>
      <c r="HNF16" s="508" t="s">
        <v>581</v>
      </c>
      <c r="HNG16" s="508" t="s">
        <v>581</v>
      </c>
      <c r="HNH16" s="508" t="s">
        <v>581</v>
      </c>
      <c r="HNI16" s="508" t="s">
        <v>581</v>
      </c>
      <c r="HNJ16" s="508" t="s">
        <v>581</v>
      </c>
      <c r="HNK16" s="508" t="s">
        <v>581</v>
      </c>
      <c r="HNL16" s="508" t="s">
        <v>581</v>
      </c>
      <c r="HNM16" s="508" t="s">
        <v>581</v>
      </c>
      <c r="HNN16" s="508" t="s">
        <v>581</v>
      </c>
      <c r="HNO16" s="508" t="s">
        <v>581</v>
      </c>
      <c r="HNP16" s="508" t="s">
        <v>581</v>
      </c>
      <c r="HNQ16" s="508" t="s">
        <v>581</v>
      </c>
      <c r="HNR16" s="508" t="s">
        <v>581</v>
      </c>
      <c r="HNS16" s="508" t="s">
        <v>581</v>
      </c>
      <c r="HNT16" s="508" t="s">
        <v>581</v>
      </c>
      <c r="HNU16" s="508" t="s">
        <v>581</v>
      </c>
      <c r="HNV16" s="508" t="s">
        <v>581</v>
      </c>
      <c r="HNW16" s="508" t="s">
        <v>581</v>
      </c>
      <c r="HNX16" s="508" t="s">
        <v>581</v>
      </c>
      <c r="HNY16" s="508" t="s">
        <v>581</v>
      </c>
      <c r="HNZ16" s="508" t="s">
        <v>581</v>
      </c>
      <c r="HOA16" s="508" t="s">
        <v>581</v>
      </c>
      <c r="HOB16" s="508" t="s">
        <v>581</v>
      </c>
      <c r="HOC16" s="508" t="s">
        <v>581</v>
      </c>
      <c r="HOD16" s="508" t="s">
        <v>581</v>
      </c>
      <c r="HOE16" s="508" t="s">
        <v>581</v>
      </c>
      <c r="HOF16" s="508" t="s">
        <v>581</v>
      </c>
      <c r="HOG16" s="508" t="s">
        <v>581</v>
      </c>
      <c r="HOH16" s="508" t="s">
        <v>581</v>
      </c>
      <c r="HOI16" s="508" t="s">
        <v>581</v>
      </c>
      <c r="HOJ16" s="508" t="s">
        <v>581</v>
      </c>
      <c r="HOK16" s="508" t="s">
        <v>581</v>
      </c>
      <c r="HOL16" s="508" t="s">
        <v>581</v>
      </c>
      <c r="HOM16" s="508" t="s">
        <v>581</v>
      </c>
      <c r="HON16" s="508" t="s">
        <v>581</v>
      </c>
      <c r="HOO16" s="508" t="s">
        <v>581</v>
      </c>
      <c r="HOP16" s="508" t="s">
        <v>581</v>
      </c>
      <c r="HOQ16" s="508" t="s">
        <v>581</v>
      </c>
      <c r="HOR16" s="508" t="s">
        <v>581</v>
      </c>
      <c r="HOS16" s="508" t="s">
        <v>581</v>
      </c>
      <c r="HOT16" s="508" t="s">
        <v>581</v>
      </c>
      <c r="HOU16" s="508" t="s">
        <v>581</v>
      </c>
      <c r="HOV16" s="508" t="s">
        <v>581</v>
      </c>
      <c r="HOW16" s="508" t="s">
        <v>581</v>
      </c>
      <c r="HOX16" s="508" t="s">
        <v>581</v>
      </c>
      <c r="HOY16" s="508" t="s">
        <v>581</v>
      </c>
      <c r="HOZ16" s="508" t="s">
        <v>581</v>
      </c>
      <c r="HPA16" s="508" t="s">
        <v>581</v>
      </c>
      <c r="HPB16" s="508" t="s">
        <v>581</v>
      </c>
      <c r="HPC16" s="508" t="s">
        <v>581</v>
      </c>
      <c r="HPD16" s="508" t="s">
        <v>581</v>
      </c>
      <c r="HPE16" s="508" t="s">
        <v>581</v>
      </c>
      <c r="HPF16" s="508" t="s">
        <v>581</v>
      </c>
      <c r="HPG16" s="508" t="s">
        <v>581</v>
      </c>
      <c r="HPH16" s="508" t="s">
        <v>581</v>
      </c>
      <c r="HPI16" s="508" t="s">
        <v>581</v>
      </c>
      <c r="HPJ16" s="508" t="s">
        <v>581</v>
      </c>
      <c r="HPK16" s="508" t="s">
        <v>581</v>
      </c>
      <c r="HPL16" s="508" t="s">
        <v>581</v>
      </c>
      <c r="HPM16" s="508" t="s">
        <v>581</v>
      </c>
      <c r="HPN16" s="508" t="s">
        <v>581</v>
      </c>
      <c r="HPO16" s="508" t="s">
        <v>581</v>
      </c>
      <c r="HPP16" s="508" t="s">
        <v>581</v>
      </c>
      <c r="HPQ16" s="508" t="s">
        <v>581</v>
      </c>
      <c r="HPR16" s="508" t="s">
        <v>581</v>
      </c>
      <c r="HPS16" s="508" t="s">
        <v>581</v>
      </c>
      <c r="HPT16" s="508" t="s">
        <v>581</v>
      </c>
      <c r="HPU16" s="508" t="s">
        <v>581</v>
      </c>
      <c r="HPV16" s="508" t="s">
        <v>581</v>
      </c>
      <c r="HPW16" s="508" t="s">
        <v>581</v>
      </c>
      <c r="HPX16" s="508" t="s">
        <v>581</v>
      </c>
      <c r="HPY16" s="508" t="s">
        <v>581</v>
      </c>
      <c r="HPZ16" s="508" t="s">
        <v>581</v>
      </c>
      <c r="HQA16" s="508" t="s">
        <v>581</v>
      </c>
      <c r="HQB16" s="508" t="s">
        <v>581</v>
      </c>
      <c r="HQC16" s="508" t="s">
        <v>581</v>
      </c>
      <c r="HQD16" s="508" t="s">
        <v>581</v>
      </c>
      <c r="HQE16" s="508" t="s">
        <v>581</v>
      </c>
      <c r="HQF16" s="508" t="s">
        <v>581</v>
      </c>
      <c r="HQG16" s="508" t="s">
        <v>581</v>
      </c>
      <c r="HQH16" s="508" t="s">
        <v>581</v>
      </c>
      <c r="HQI16" s="508" t="s">
        <v>581</v>
      </c>
      <c r="HQJ16" s="508" t="s">
        <v>581</v>
      </c>
      <c r="HQK16" s="508" t="s">
        <v>581</v>
      </c>
      <c r="HQL16" s="508" t="s">
        <v>581</v>
      </c>
      <c r="HQM16" s="508" t="s">
        <v>581</v>
      </c>
      <c r="HQN16" s="508" t="s">
        <v>581</v>
      </c>
      <c r="HQO16" s="508" t="s">
        <v>581</v>
      </c>
      <c r="HQP16" s="508" t="s">
        <v>581</v>
      </c>
      <c r="HQQ16" s="508" t="s">
        <v>581</v>
      </c>
      <c r="HQR16" s="508" t="s">
        <v>581</v>
      </c>
      <c r="HQS16" s="508" t="s">
        <v>581</v>
      </c>
      <c r="HQT16" s="508" t="s">
        <v>581</v>
      </c>
      <c r="HQU16" s="508" t="s">
        <v>581</v>
      </c>
      <c r="HQV16" s="508" t="s">
        <v>581</v>
      </c>
      <c r="HQW16" s="508" t="s">
        <v>581</v>
      </c>
      <c r="HQX16" s="508" t="s">
        <v>581</v>
      </c>
      <c r="HQY16" s="508" t="s">
        <v>581</v>
      </c>
      <c r="HQZ16" s="508" t="s">
        <v>581</v>
      </c>
      <c r="HRA16" s="508" t="s">
        <v>581</v>
      </c>
      <c r="HRB16" s="508" t="s">
        <v>581</v>
      </c>
      <c r="HRC16" s="508" t="s">
        <v>581</v>
      </c>
      <c r="HRD16" s="508" t="s">
        <v>581</v>
      </c>
      <c r="HRE16" s="508" t="s">
        <v>581</v>
      </c>
      <c r="HRF16" s="508" t="s">
        <v>581</v>
      </c>
      <c r="HRG16" s="508" t="s">
        <v>581</v>
      </c>
      <c r="HRH16" s="508" t="s">
        <v>581</v>
      </c>
      <c r="HRI16" s="508" t="s">
        <v>581</v>
      </c>
      <c r="HRJ16" s="508" t="s">
        <v>581</v>
      </c>
      <c r="HRK16" s="508" t="s">
        <v>581</v>
      </c>
      <c r="HRL16" s="508" t="s">
        <v>581</v>
      </c>
      <c r="HRM16" s="508" t="s">
        <v>581</v>
      </c>
      <c r="HRN16" s="508" t="s">
        <v>581</v>
      </c>
      <c r="HRO16" s="508" t="s">
        <v>581</v>
      </c>
      <c r="HRP16" s="508" t="s">
        <v>581</v>
      </c>
      <c r="HRQ16" s="508" t="s">
        <v>581</v>
      </c>
      <c r="HRR16" s="508" t="s">
        <v>581</v>
      </c>
      <c r="HRS16" s="508" t="s">
        <v>581</v>
      </c>
      <c r="HRT16" s="508" t="s">
        <v>581</v>
      </c>
      <c r="HRU16" s="508" t="s">
        <v>581</v>
      </c>
      <c r="HRV16" s="508" t="s">
        <v>581</v>
      </c>
      <c r="HRW16" s="508" t="s">
        <v>581</v>
      </c>
      <c r="HRX16" s="508" t="s">
        <v>581</v>
      </c>
      <c r="HRY16" s="508" t="s">
        <v>581</v>
      </c>
      <c r="HRZ16" s="508" t="s">
        <v>581</v>
      </c>
      <c r="HSA16" s="508" t="s">
        <v>581</v>
      </c>
      <c r="HSB16" s="508" t="s">
        <v>581</v>
      </c>
      <c r="HSC16" s="508" t="s">
        <v>581</v>
      </c>
      <c r="HSD16" s="508" t="s">
        <v>581</v>
      </c>
      <c r="HSE16" s="508" t="s">
        <v>581</v>
      </c>
      <c r="HSF16" s="508" t="s">
        <v>581</v>
      </c>
      <c r="HSG16" s="508" t="s">
        <v>581</v>
      </c>
      <c r="HSH16" s="508" t="s">
        <v>581</v>
      </c>
      <c r="HSI16" s="508" t="s">
        <v>581</v>
      </c>
      <c r="HSJ16" s="508" t="s">
        <v>581</v>
      </c>
      <c r="HSK16" s="508" t="s">
        <v>581</v>
      </c>
      <c r="HSL16" s="508" t="s">
        <v>581</v>
      </c>
      <c r="HSM16" s="508" t="s">
        <v>581</v>
      </c>
      <c r="HSN16" s="508" t="s">
        <v>581</v>
      </c>
      <c r="HSO16" s="508" t="s">
        <v>581</v>
      </c>
      <c r="HSP16" s="508" t="s">
        <v>581</v>
      </c>
      <c r="HSQ16" s="508" t="s">
        <v>581</v>
      </c>
      <c r="HSR16" s="508" t="s">
        <v>581</v>
      </c>
      <c r="HSS16" s="508" t="s">
        <v>581</v>
      </c>
      <c r="HST16" s="508" t="s">
        <v>581</v>
      </c>
      <c r="HSU16" s="508" t="s">
        <v>581</v>
      </c>
      <c r="HSV16" s="508" t="s">
        <v>581</v>
      </c>
      <c r="HSW16" s="508" t="s">
        <v>581</v>
      </c>
      <c r="HSX16" s="508" t="s">
        <v>581</v>
      </c>
      <c r="HSY16" s="508" t="s">
        <v>581</v>
      </c>
      <c r="HSZ16" s="508" t="s">
        <v>581</v>
      </c>
      <c r="HTA16" s="508" t="s">
        <v>581</v>
      </c>
      <c r="HTB16" s="508" t="s">
        <v>581</v>
      </c>
      <c r="HTC16" s="508" t="s">
        <v>581</v>
      </c>
      <c r="HTD16" s="508" t="s">
        <v>581</v>
      </c>
      <c r="HTE16" s="508" t="s">
        <v>581</v>
      </c>
      <c r="HTF16" s="508" t="s">
        <v>581</v>
      </c>
      <c r="HTG16" s="508" t="s">
        <v>581</v>
      </c>
      <c r="HTH16" s="508" t="s">
        <v>581</v>
      </c>
      <c r="HTI16" s="508" t="s">
        <v>581</v>
      </c>
      <c r="HTJ16" s="508" t="s">
        <v>581</v>
      </c>
      <c r="HTK16" s="508" t="s">
        <v>581</v>
      </c>
      <c r="HTL16" s="508" t="s">
        <v>581</v>
      </c>
      <c r="HTM16" s="508" t="s">
        <v>581</v>
      </c>
      <c r="HTN16" s="508" t="s">
        <v>581</v>
      </c>
      <c r="HTO16" s="508" t="s">
        <v>581</v>
      </c>
      <c r="HTP16" s="508" t="s">
        <v>581</v>
      </c>
      <c r="HTQ16" s="508" t="s">
        <v>581</v>
      </c>
      <c r="HTR16" s="508" t="s">
        <v>581</v>
      </c>
      <c r="HTS16" s="508" t="s">
        <v>581</v>
      </c>
      <c r="HTT16" s="508" t="s">
        <v>581</v>
      </c>
      <c r="HTU16" s="508" t="s">
        <v>581</v>
      </c>
      <c r="HTV16" s="508" t="s">
        <v>581</v>
      </c>
      <c r="HTW16" s="508" t="s">
        <v>581</v>
      </c>
      <c r="HTX16" s="508" t="s">
        <v>581</v>
      </c>
      <c r="HTY16" s="508" t="s">
        <v>581</v>
      </c>
      <c r="HTZ16" s="508" t="s">
        <v>581</v>
      </c>
      <c r="HUA16" s="508" t="s">
        <v>581</v>
      </c>
      <c r="HUB16" s="508" t="s">
        <v>581</v>
      </c>
      <c r="HUC16" s="508" t="s">
        <v>581</v>
      </c>
      <c r="HUD16" s="508" t="s">
        <v>581</v>
      </c>
      <c r="HUE16" s="508" t="s">
        <v>581</v>
      </c>
      <c r="HUF16" s="508" t="s">
        <v>581</v>
      </c>
      <c r="HUG16" s="508" t="s">
        <v>581</v>
      </c>
      <c r="HUH16" s="508" t="s">
        <v>581</v>
      </c>
      <c r="HUI16" s="508" t="s">
        <v>581</v>
      </c>
      <c r="HUJ16" s="508" t="s">
        <v>581</v>
      </c>
      <c r="HUK16" s="508" t="s">
        <v>581</v>
      </c>
      <c r="HUL16" s="508" t="s">
        <v>581</v>
      </c>
      <c r="HUM16" s="508" t="s">
        <v>581</v>
      </c>
      <c r="HUN16" s="508" t="s">
        <v>581</v>
      </c>
      <c r="HUO16" s="508" t="s">
        <v>581</v>
      </c>
      <c r="HUP16" s="508" t="s">
        <v>581</v>
      </c>
      <c r="HUQ16" s="508" t="s">
        <v>581</v>
      </c>
      <c r="HUR16" s="508" t="s">
        <v>581</v>
      </c>
      <c r="HUS16" s="508" t="s">
        <v>581</v>
      </c>
      <c r="HUT16" s="508" t="s">
        <v>581</v>
      </c>
      <c r="HUU16" s="508" t="s">
        <v>581</v>
      </c>
      <c r="HUV16" s="508" t="s">
        <v>581</v>
      </c>
      <c r="HUW16" s="508" t="s">
        <v>581</v>
      </c>
      <c r="HUX16" s="508" t="s">
        <v>581</v>
      </c>
      <c r="HUY16" s="508" t="s">
        <v>581</v>
      </c>
      <c r="HUZ16" s="508" t="s">
        <v>581</v>
      </c>
      <c r="HVA16" s="508" t="s">
        <v>581</v>
      </c>
      <c r="HVB16" s="508" t="s">
        <v>581</v>
      </c>
      <c r="HVC16" s="508" t="s">
        <v>581</v>
      </c>
      <c r="HVD16" s="508" t="s">
        <v>581</v>
      </c>
      <c r="HVE16" s="508" t="s">
        <v>581</v>
      </c>
      <c r="HVF16" s="508" t="s">
        <v>581</v>
      </c>
      <c r="HVG16" s="508" t="s">
        <v>581</v>
      </c>
      <c r="HVH16" s="508" t="s">
        <v>581</v>
      </c>
      <c r="HVI16" s="508" t="s">
        <v>581</v>
      </c>
      <c r="HVJ16" s="508" t="s">
        <v>581</v>
      </c>
      <c r="HVK16" s="508" t="s">
        <v>581</v>
      </c>
      <c r="HVL16" s="508" t="s">
        <v>581</v>
      </c>
      <c r="HVM16" s="508" t="s">
        <v>581</v>
      </c>
      <c r="HVN16" s="508" t="s">
        <v>581</v>
      </c>
      <c r="HVO16" s="508" t="s">
        <v>581</v>
      </c>
      <c r="HVP16" s="508" t="s">
        <v>581</v>
      </c>
      <c r="HVQ16" s="508" t="s">
        <v>581</v>
      </c>
      <c r="HVR16" s="508" t="s">
        <v>581</v>
      </c>
      <c r="HVS16" s="508" t="s">
        <v>581</v>
      </c>
      <c r="HVT16" s="508" t="s">
        <v>581</v>
      </c>
      <c r="HVU16" s="508" t="s">
        <v>581</v>
      </c>
      <c r="HVV16" s="508" t="s">
        <v>581</v>
      </c>
      <c r="HVW16" s="508" t="s">
        <v>581</v>
      </c>
      <c r="HVX16" s="508" t="s">
        <v>581</v>
      </c>
      <c r="HVY16" s="508" t="s">
        <v>581</v>
      </c>
      <c r="HVZ16" s="508" t="s">
        <v>581</v>
      </c>
      <c r="HWA16" s="508" t="s">
        <v>581</v>
      </c>
      <c r="HWB16" s="508" t="s">
        <v>581</v>
      </c>
      <c r="HWC16" s="508" t="s">
        <v>581</v>
      </c>
      <c r="HWD16" s="508" t="s">
        <v>581</v>
      </c>
      <c r="HWE16" s="508" t="s">
        <v>581</v>
      </c>
      <c r="HWF16" s="508" t="s">
        <v>581</v>
      </c>
      <c r="HWG16" s="508" t="s">
        <v>581</v>
      </c>
      <c r="HWH16" s="508" t="s">
        <v>581</v>
      </c>
      <c r="HWI16" s="508" t="s">
        <v>581</v>
      </c>
      <c r="HWJ16" s="508" t="s">
        <v>581</v>
      </c>
      <c r="HWK16" s="508" t="s">
        <v>581</v>
      </c>
      <c r="HWL16" s="508" t="s">
        <v>581</v>
      </c>
      <c r="HWM16" s="508" t="s">
        <v>581</v>
      </c>
      <c r="HWN16" s="508" t="s">
        <v>581</v>
      </c>
      <c r="HWO16" s="508" t="s">
        <v>581</v>
      </c>
      <c r="HWP16" s="508" t="s">
        <v>581</v>
      </c>
      <c r="HWQ16" s="508" t="s">
        <v>581</v>
      </c>
      <c r="HWR16" s="508" t="s">
        <v>581</v>
      </c>
      <c r="HWS16" s="508" t="s">
        <v>581</v>
      </c>
      <c r="HWT16" s="508" t="s">
        <v>581</v>
      </c>
      <c r="HWU16" s="508" t="s">
        <v>581</v>
      </c>
      <c r="HWV16" s="508" t="s">
        <v>581</v>
      </c>
      <c r="HWW16" s="508" t="s">
        <v>581</v>
      </c>
      <c r="HWX16" s="508" t="s">
        <v>581</v>
      </c>
      <c r="HWY16" s="508" t="s">
        <v>581</v>
      </c>
      <c r="HWZ16" s="508" t="s">
        <v>581</v>
      </c>
      <c r="HXA16" s="508" t="s">
        <v>581</v>
      </c>
      <c r="HXB16" s="508" t="s">
        <v>581</v>
      </c>
      <c r="HXC16" s="508" t="s">
        <v>581</v>
      </c>
      <c r="HXD16" s="508" t="s">
        <v>581</v>
      </c>
      <c r="HXE16" s="508" t="s">
        <v>581</v>
      </c>
      <c r="HXF16" s="508" t="s">
        <v>581</v>
      </c>
      <c r="HXG16" s="508" t="s">
        <v>581</v>
      </c>
      <c r="HXH16" s="508" t="s">
        <v>581</v>
      </c>
      <c r="HXI16" s="508" t="s">
        <v>581</v>
      </c>
      <c r="HXJ16" s="508" t="s">
        <v>581</v>
      </c>
      <c r="HXK16" s="508" t="s">
        <v>581</v>
      </c>
      <c r="HXL16" s="508" t="s">
        <v>581</v>
      </c>
      <c r="HXM16" s="508" t="s">
        <v>581</v>
      </c>
      <c r="HXN16" s="508" t="s">
        <v>581</v>
      </c>
      <c r="HXO16" s="508" t="s">
        <v>581</v>
      </c>
      <c r="HXP16" s="508" t="s">
        <v>581</v>
      </c>
      <c r="HXQ16" s="508" t="s">
        <v>581</v>
      </c>
      <c r="HXR16" s="508" t="s">
        <v>581</v>
      </c>
      <c r="HXS16" s="508" t="s">
        <v>581</v>
      </c>
      <c r="HXT16" s="508" t="s">
        <v>581</v>
      </c>
      <c r="HXU16" s="508" t="s">
        <v>581</v>
      </c>
      <c r="HXV16" s="508" t="s">
        <v>581</v>
      </c>
      <c r="HXW16" s="508" t="s">
        <v>581</v>
      </c>
      <c r="HXX16" s="508" t="s">
        <v>581</v>
      </c>
      <c r="HXY16" s="508" t="s">
        <v>581</v>
      </c>
      <c r="HXZ16" s="508" t="s">
        <v>581</v>
      </c>
      <c r="HYA16" s="508" t="s">
        <v>581</v>
      </c>
      <c r="HYB16" s="508" t="s">
        <v>581</v>
      </c>
      <c r="HYC16" s="508" t="s">
        <v>581</v>
      </c>
      <c r="HYD16" s="508" t="s">
        <v>581</v>
      </c>
      <c r="HYE16" s="508" t="s">
        <v>581</v>
      </c>
      <c r="HYF16" s="508" t="s">
        <v>581</v>
      </c>
      <c r="HYG16" s="508" t="s">
        <v>581</v>
      </c>
      <c r="HYH16" s="508" t="s">
        <v>581</v>
      </c>
      <c r="HYI16" s="508" t="s">
        <v>581</v>
      </c>
      <c r="HYJ16" s="508" t="s">
        <v>581</v>
      </c>
      <c r="HYK16" s="508" t="s">
        <v>581</v>
      </c>
      <c r="HYL16" s="508" t="s">
        <v>581</v>
      </c>
      <c r="HYM16" s="508" t="s">
        <v>581</v>
      </c>
      <c r="HYN16" s="508" t="s">
        <v>581</v>
      </c>
      <c r="HYO16" s="508" t="s">
        <v>581</v>
      </c>
      <c r="HYP16" s="508" t="s">
        <v>581</v>
      </c>
      <c r="HYQ16" s="508" t="s">
        <v>581</v>
      </c>
      <c r="HYR16" s="508" t="s">
        <v>581</v>
      </c>
      <c r="HYS16" s="508" t="s">
        <v>581</v>
      </c>
      <c r="HYT16" s="508" t="s">
        <v>581</v>
      </c>
      <c r="HYU16" s="508" t="s">
        <v>581</v>
      </c>
      <c r="HYV16" s="508" t="s">
        <v>581</v>
      </c>
      <c r="HYW16" s="508" t="s">
        <v>581</v>
      </c>
      <c r="HYX16" s="508" t="s">
        <v>581</v>
      </c>
      <c r="HYY16" s="508" t="s">
        <v>581</v>
      </c>
      <c r="HYZ16" s="508" t="s">
        <v>581</v>
      </c>
      <c r="HZA16" s="508" t="s">
        <v>581</v>
      </c>
      <c r="HZB16" s="508" t="s">
        <v>581</v>
      </c>
      <c r="HZC16" s="508" t="s">
        <v>581</v>
      </c>
      <c r="HZD16" s="508" t="s">
        <v>581</v>
      </c>
      <c r="HZE16" s="508" t="s">
        <v>581</v>
      </c>
      <c r="HZF16" s="508" t="s">
        <v>581</v>
      </c>
      <c r="HZG16" s="508" t="s">
        <v>581</v>
      </c>
      <c r="HZH16" s="508" t="s">
        <v>581</v>
      </c>
      <c r="HZI16" s="508" t="s">
        <v>581</v>
      </c>
      <c r="HZJ16" s="508" t="s">
        <v>581</v>
      </c>
      <c r="HZK16" s="508" t="s">
        <v>581</v>
      </c>
      <c r="HZL16" s="508" t="s">
        <v>581</v>
      </c>
      <c r="HZM16" s="508" t="s">
        <v>581</v>
      </c>
      <c r="HZN16" s="508" t="s">
        <v>581</v>
      </c>
      <c r="HZO16" s="508" t="s">
        <v>581</v>
      </c>
      <c r="HZP16" s="508" t="s">
        <v>581</v>
      </c>
      <c r="HZQ16" s="508" t="s">
        <v>581</v>
      </c>
      <c r="HZR16" s="508" t="s">
        <v>581</v>
      </c>
      <c r="HZS16" s="508" t="s">
        <v>581</v>
      </c>
      <c r="HZT16" s="508" t="s">
        <v>581</v>
      </c>
      <c r="HZU16" s="508" t="s">
        <v>581</v>
      </c>
      <c r="HZV16" s="508" t="s">
        <v>581</v>
      </c>
      <c r="HZW16" s="508" t="s">
        <v>581</v>
      </c>
      <c r="HZX16" s="508" t="s">
        <v>581</v>
      </c>
      <c r="HZY16" s="508" t="s">
        <v>581</v>
      </c>
      <c r="HZZ16" s="508" t="s">
        <v>581</v>
      </c>
      <c r="IAA16" s="508" t="s">
        <v>581</v>
      </c>
      <c r="IAB16" s="508" t="s">
        <v>581</v>
      </c>
      <c r="IAC16" s="508" t="s">
        <v>581</v>
      </c>
      <c r="IAD16" s="508" t="s">
        <v>581</v>
      </c>
      <c r="IAE16" s="508" t="s">
        <v>581</v>
      </c>
      <c r="IAF16" s="508" t="s">
        <v>581</v>
      </c>
      <c r="IAG16" s="508" t="s">
        <v>581</v>
      </c>
      <c r="IAH16" s="508" t="s">
        <v>581</v>
      </c>
      <c r="IAI16" s="508" t="s">
        <v>581</v>
      </c>
      <c r="IAJ16" s="508" t="s">
        <v>581</v>
      </c>
      <c r="IAK16" s="508" t="s">
        <v>581</v>
      </c>
      <c r="IAL16" s="508" t="s">
        <v>581</v>
      </c>
      <c r="IAM16" s="508" t="s">
        <v>581</v>
      </c>
      <c r="IAN16" s="508" t="s">
        <v>581</v>
      </c>
      <c r="IAO16" s="508" t="s">
        <v>581</v>
      </c>
      <c r="IAP16" s="508" t="s">
        <v>581</v>
      </c>
      <c r="IAQ16" s="508" t="s">
        <v>581</v>
      </c>
      <c r="IAR16" s="508" t="s">
        <v>581</v>
      </c>
      <c r="IAS16" s="508" t="s">
        <v>581</v>
      </c>
      <c r="IAT16" s="508" t="s">
        <v>581</v>
      </c>
      <c r="IAU16" s="508" t="s">
        <v>581</v>
      </c>
      <c r="IAV16" s="508" t="s">
        <v>581</v>
      </c>
      <c r="IAW16" s="508" t="s">
        <v>581</v>
      </c>
      <c r="IAX16" s="508" t="s">
        <v>581</v>
      </c>
      <c r="IAY16" s="508" t="s">
        <v>581</v>
      </c>
      <c r="IAZ16" s="508" t="s">
        <v>581</v>
      </c>
      <c r="IBA16" s="508" t="s">
        <v>581</v>
      </c>
      <c r="IBB16" s="508" t="s">
        <v>581</v>
      </c>
      <c r="IBC16" s="508" t="s">
        <v>581</v>
      </c>
      <c r="IBD16" s="508" t="s">
        <v>581</v>
      </c>
      <c r="IBE16" s="508" t="s">
        <v>581</v>
      </c>
      <c r="IBF16" s="508" t="s">
        <v>581</v>
      </c>
      <c r="IBG16" s="508" t="s">
        <v>581</v>
      </c>
      <c r="IBH16" s="508" t="s">
        <v>581</v>
      </c>
      <c r="IBI16" s="508" t="s">
        <v>581</v>
      </c>
      <c r="IBJ16" s="508" t="s">
        <v>581</v>
      </c>
      <c r="IBK16" s="508" t="s">
        <v>581</v>
      </c>
      <c r="IBL16" s="508" t="s">
        <v>581</v>
      </c>
      <c r="IBM16" s="508" t="s">
        <v>581</v>
      </c>
      <c r="IBN16" s="508" t="s">
        <v>581</v>
      </c>
      <c r="IBO16" s="508" t="s">
        <v>581</v>
      </c>
      <c r="IBP16" s="508" t="s">
        <v>581</v>
      </c>
      <c r="IBQ16" s="508" t="s">
        <v>581</v>
      </c>
      <c r="IBR16" s="508" t="s">
        <v>581</v>
      </c>
      <c r="IBS16" s="508" t="s">
        <v>581</v>
      </c>
      <c r="IBT16" s="508" t="s">
        <v>581</v>
      </c>
      <c r="IBU16" s="508" t="s">
        <v>581</v>
      </c>
      <c r="IBV16" s="508" t="s">
        <v>581</v>
      </c>
      <c r="IBW16" s="508" t="s">
        <v>581</v>
      </c>
      <c r="IBX16" s="508" t="s">
        <v>581</v>
      </c>
      <c r="IBY16" s="508" t="s">
        <v>581</v>
      </c>
      <c r="IBZ16" s="508" t="s">
        <v>581</v>
      </c>
      <c r="ICA16" s="508" t="s">
        <v>581</v>
      </c>
      <c r="ICB16" s="508" t="s">
        <v>581</v>
      </c>
      <c r="ICC16" s="508" t="s">
        <v>581</v>
      </c>
      <c r="ICD16" s="508" t="s">
        <v>581</v>
      </c>
      <c r="ICE16" s="508" t="s">
        <v>581</v>
      </c>
      <c r="ICF16" s="508" t="s">
        <v>581</v>
      </c>
      <c r="ICG16" s="508" t="s">
        <v>581</v>
      </c>
      <c r="ICH16" s="508" t="s">
        <v>581</v>
      </c>
      <c r="ICI16" s="508" t="s">
        <v>581</v>
      </c>
      <c r="ICJ16" s="508" t="s">
        <v>581</v>
      </c>
      <c r="ICK16" s="508" t="s">
        <v>581</v>
      </c>
      <c r="ICL16" s="508" t="s">
        <v>581</v>
      </c>
      <c r="ICM16" s="508" t="s">
        <v>581</v>
      </c>
      <c r="ICN16" s="508" t="s">
        <v>581</v>
      </c>
      <c r="ICO16" s="508" t="s">
        <v>581</v>
      </c>
      <c r="ICP16" s="508" t="s">
        <v>581</v>
      </c>
      <c r="ICQ16" s="508" t="s">
        <v>581</v>
      </c>
      <c r="ICR16" s="508" t="s">
        <v>581</v>
      </c>
      <c r="ICS16" s="508" t="s">
        <v>581</v>
      </c>
      <c r="ICT16" s="508" t="s">
        <v>581</v>
      </c>
      <c r="ICU16" s="508" t="s">
        <v>581</v>
      </c>
      <c r="ICV16" s="508" t="s">
        <v>581</v>
      </c>
      <c r="ICW16" s="508" t="s">
        <v>581</v>
      </c>
      <c r="ICX16" s="508" t="s">
        <v>581</v>
      </c>
      <c r="ICY16" s="508" t="s">
        <v>581</v>
      </c>
      <c r="ICZ16" s="508" t="s">
        <v>581</v>
      </c>
      <c r="IDA16" s="508" t="s">
        <v>581</v>
      </c>
      <c r="IDB16" s="508" t="s">
        <v>581</v>
      </c>
      <c r="IDC16" s="508" t="s">
        <v>581</v>
      </c>
      <c r="IDD16" s="508" t="s">
        <v>581</v>
      </c>
      <c r="IDE16" s="508" t="s">
        <v>581</v>
      </c>
      <c r="IDF16" s="508" t="s">
        <v>581</v>
      </c>
      <c r="IDG16" s="508" t="s">
        <v>581</v>
      </c>
      <c r="IDH16" s="508" t="s">
        <v>581</v>
      </c>
      <c r="IDI16" s="508" t="s">
        <v>581</v>
      </c>
      <c r="IDJ16" s="508" t="s">
        <v>581</v>
      </c>
      <c r="IDK16" s="508" t="s">
        <v>581</v>
      </c>
      <c r="IDL16" s="508" t="s">
        <v>581</v>
      </c>
      <c r="IDM16" s="508" t="s">
        <v>581</v>
      </c>
      <c r="IDN16" s="508" t="s">
        <v>581</v>
      </c>
      <c r="IDO16" s="508" t="s">
        <v>581</v>
      </c>
      <c r="IDP16" s="508" t="s">
        <v>581</v>
      </c>
      <c r="IDQ16" s="508" t="s">
        <v>581</v>
      </c>
      <c r="IDR16" s="508" t="s">
        <v>581</v>
      </c>
      <c r="IDS16" s="508" t="s">
        <v>581</v>
      </c>
      <c r="IDT16" s="508" t="s">
        <v>581</v>
      </c>
      <c r="IDU16" s="508" t="s">
        <v>581</v>
      </c>
      <c r="IDV16" s="508" t="s">
        <v>581</v>
      </c>
      <c r="IDW16" s="508" t="s">
        <v>581</v>
      </c>
      <c r="IDX16" s="508" t="s">
        <v>581</v>
      </c>
      <c r="IDY16" s="508" t="s">
        <v>581</v>
      </c>
      <c r="IDZ16" s="508" t="s">
        <v>581</v>
      </c>
      <c r="IEA16" s="508" t="s">
        <v>581</v>
      </c>
      <c r="IEB16" s="508" t="s">
        <v>581</v>
      </c>
      <c r="IEC16" s="508" t="s">
        <v>581</v>
      </c>
      <c r="IED16" s="508" t="s">
        <v>581</v>
      </c>
      <c r="IEE16" s="508" t="s">
        <v>581</v>
      </c>
      <c r="IEF16" s="508" t="s">
        <v>581</v>
      </c>
      <c r="IEG16" s="508" t="s">
        <v>581</v>
      </c>
      <c r="IEH16" s="508" t="s">
        <v>581</v>
      </c>
      <c r="IEI16" s="508" t="s">
        <v>581</v>
      </c>
      <c r="IEJ16" s="508" t="s">
        <v>581</v>
      </c>
      <c r="IEK16" s="508" t="s">
        <v>581</v>
      </c>
      <c r="IEL16" s="508" t="s">
        <v>581</v>
      </c>
      <c r="IEM16" s="508" t="s">
        <v>581</v>
      </c>
      <c r="IEN16" s="508" t="s">
        <v>581</v>
      </c>
      <c r="IEO16" s="508" t="s">
        <v>581</v>
      </c>
      <c r="IEP16" s="508" t="s">
        <v>581</v>
      </c>
      <c r="IEQ16" s="508" t="s">
        <v>581</v>
      </c>
      <c r="IER16" s="508" t="s">
        <v>581</v>
      </c>
      <c r="IES16" s="508" t="s">
        <v>581</v>
      </c>
      <c r="IET16" s="508" t="s">
        <v>581</v>
      </c>
      <c r="IEU16" s="508" t="s">
        <v>581</v>
      </c>
      <c r="IEV16" s="508" t="s">
        <v>581</v>
      </c>
      <c r="IEW16" s="508" t="s">
        <v>581</v>
      </c>
      <c r="IEX16" s="508" t="s">
        <v>581</v>
      </c>
      <c r="IEY16" s="508" t="s">
        <v>581</v>
      </c>
      <c r="IEZ16" s="508" t="s">
        <v>581</v>
      </c>
      <c r="IFA16" s="508" t="s">
        <v>581</v>
      </c>
      <c r="IFB16" s="508" t="s">
        <v>581</v>
      </c>
      <c r="IFC16" s="508" t="s">
        <v>581</v>
      </c>
      <c r="IFD16" s="508" t="s">
        <v>581</v>
      </c>
      <c r="IFE16" s="508" t="s">
        <v>581</v>
      </c>
      <c r="IFF16" s="508" t="s">
        <v>581</v>
      </c>
      <c r="IFG16" s="508" t="s">
        <v>581</v>
      </c>
      <c r="IFH16" s="508" t="s">
        <v>581</v>
      </c>
      <c r="IFI16" s="508" t="s">
        <v>581</v>
      </c>
      <c r="IFJ16" s="508" t="s">
        <v>581</v>
      </c>
      <c r="IFK16" s="508" t="s">
        <v>581</v>
      </c>
      <c r="IFL16" s="508" t="s">
        <v>581</v>
      </c>
      <c r="IFM16" s="508" t="s">
        <v>581</v>
      </c>
      <c r="IFN16" s="508" t="s">
        <v>581</v>
      </c>
      <c r="IFO16" s="508" t="s">
        <v>581</v>
      </c>
      <c r="IFP16" s="508" t="s">
        <v>581</v>
      </c>
      <c r="IFQ16" s="508" t="s">
        <v>581</v>
      </c>
      <c r="IFR16" s="508" t="s">
        <v>581</v>
      </c>
      <c r="IFS16" s="508" t="s">
        <v>581</v>
      </c>
      <c r="IFT16" s="508" t="s">
        <v>581</v>
      </c>
      <c r="IFU16" s="508" t="s">
        <v>581</v>
      </c>
      <c r="IFV16" s="508" t="s">
        <v>581</v>
      </c>
      <c r="IFW16" s="508" t="s">
        <v>581</v>
      </c>
      <c r="IFX16" s="508" t="s">
        <v>581</v>
      </c>
      <c r="IFY16" s="508" t="s">
        <v>581</v>
      </c>
      <c r="IFZ16" s="508" t="s">
        <v>581</v>
      </c>
      <c r="IGA16" s="508" t="s">
        <v>581</v>
      </c>
      <c r="IGB16" s="508" t="s">
        <v>581</v>
      </c>
      <c r="IGC16" s="508" t="s">
        <v>581</v>
      </c>
      <c r="IGD16" s="508" t="s">
        <v>581</v>
      </c>
      <c r="IGE16" s="508" t="s">
        <v>581</v>
      </c>
      <c r="IGF16" s="508" t="s">
        <v>581</v>
      </c>
      <c r="IGG16" s="508" t="s">
        <v>581</v>
      </c>
      <c r="IGH16" s="508" t="s">
        <v>581</v>
      </c>
      <c r="IGI16" s="508" t="s">
        <v>581</v>
      </c>
      <c r="IGJ16" s="508" t="s">
        <v>581</v>
      </c>
      <c r="IGK16" s="508" t="s">
        <v>581</v>
      </c>
      <c r="IGL16" s="508" t="s">
        <v>581</v>
      </c>
      <c r="IGM16" s="508" t="s">
        <v>581</v>
      </c>
      <c r="IGN16" s="508" t="s">
        <v>581</v>
      </c>
      <c r="IGO16" s="508" t="s">
        <v>581</v>
      </c>
      <c r="IGP16" s="508" t="s">
        <v>581</v>
      </c>
      <c r="IGQ16" s="508" t="s">
        <v>581</v>
      </c>
      <c r="IGR16" s="508" t="s">
        <v>581</v>
      </c>
      <c r="IGS16" s="508" t="s">
        <v>581</v>
      </c>
      <c r="IGT16" s="508" t="s">
        <v>581</v>
      </c>
      <c r="IGU16" s="508" t="s">
        <v>581</v>
      </c>
      <c r="IGV16" s="508" t="s">
        <v>581</v>
      </c>
      <c r="IGW16" s="508" t="s">
        <v>581</v>
      </c>
      <c r="IGX16" s="508" t="s">
        <v>581</v>
      </c>
      <c r="IGY16" s="508" t="s">
        <v>581</v>
      </c>
      <c r="IGZ16" s="508" t="s">
        <v>581</v>
      </c>
      <c r="IHA16" s="508" t="s">
        <v>581</v>
      </c>
      <c r="IHB16" s="508" t="s">
        <v>581</v>
      </c>
      <c r="IHC16" s="508" t="s">
        <v>581</v>
      </c>
      <c r="IHD16" s="508" t="s">
        <v>581</v>
      </c>
      <c r="IHE16" s="508" t="s">
        <v>581</v>
      </c>
      <c r="IHF16" s="508" t="s">
        <v>581</v>
      </c>
      <c r="IHG16" s="508" t="s">
        <v>581</v>
      </c>
      <c r="IHH16" s="508" t="s">
        <v>581</v>
      </c>
      <c r="IHI16" s="508" t="s">
        <v>581</v>
      </c>
      <c r="IHJ16" s="508" t="s">
        <v>581</v>
      </c>
      <c r="IHK16" s="508" t="s">
        <v>581</v>
      </c>
      <c r="IHL16" s="508" t="s">
        <v>581</v>
      </c>
      <c r="IHM16" s="508" t="s">
        <v>581</v>
      </c>
      <c r="IHN16" s="508" t="s">
        <v>581</v>
      </c>
      <c r="IHO16" s="508" t="s">
        <v>581</v>
      </c>
      <c r="IHP16" s="508" t="s">
        <v>581</v>
      </c>
      <c r="IHQ16" s="508" t="s">
        <v>581</v>
      </c>
      <c r="IHR16" s="508" t="s">
        <v>581</v>
      </c>
      <c r="IHS16" s="508" t="s">
        <v>581</v>
      </c>
      <c r="IHT16" s="508" t="s">
        <v>581</v>
      </c>
      <c r="IHU16" s="508" t="s">
        <v>581</v>
      </c>
      <c r="IHV16" s="508" t="s">
        <v>581</v>
      </c>
      <c r="IHW16" s="508" t="s">
        <v>581</v>
      </c>
      <c r="IHX16" s="508" t="s">
        <v>581</v>
      </c>
      <c r="IHY16" s="508" t="s">
        <v>581</v>
      </c>
      <c r="IHZ16" s="508" t="s">
        <v>581</v>
      </c>
      <c r="IIA16" s="508" t="s">
        <v>581</v>
      </c>
      <c r="IIB16" s="508" t="s">
        <v>581</v>
      </c>
      <c r="IIC16" s="508" t="s">
        <v>581</v>
      </c>
      <c r="IID16" s="508" t="s">
        <v>581</v>
      </c>
      <c r="IIE16" s="508" t="s">
        <v>581</v>
      </c>
      <c r="IIF16" s="508" t="s">
        <v>581</v>
      </c>
      <c r="IIG16" s="508" t="s">
        <v>581</v>
      </c>
      <c r="IIH16" s="508" t="s">
        <v>581</v>
      </c>
      <c r="III16" s="508" t="s">
        <v>581</v>
      </c>
      <c r="IIJ16" s="508" t="s">
        <v>581</v>
      </c>
      <c r="IIK16" s="508" t="s">
        <v>581</v>
      </c>
      <c r="IIL16" s="508" t="s">
        <v>581</v>
      </c>
      <c r="IIM16" s="508" t="s">
        <v>581</v>
      </c>
      <c r="IIN16" s="508" t="s">
        <v>581</v>
      </c>
      <c r="IIO16" s="508" t="s">
        <v>581</v>
      </c>
      <c r="IIP16" s="508" t="s">
        <v>581</v>
      </c>
      <c r="IIQ16" s="508" t="s">
        <v>581</v>
      </c>
      <c r="IIR16" s="508" t="s">
        <v>581</v>
      </c>
      <c r="IIS16" s="508" t="s">
        <v>581</v>
      </c>
      <c r="IIT16" s="508" t="s">
        <v>581</v>
      </c>
      <c r="IIU16" s="508" t="s">
        <v>581</v>
      </c>
      <c r="IIV16" s="508" t="s">
        <v>581</v>
      </c>
      <c r="IIW16" s="508" t="s">
        <v>581</v>
      </c>
      <c r="IIX16" s="508" t="s">
        <v>581</v>
      </c>
      <c r="IIY16" s="508" t="s">
        <v>581</v>
      </c>
      <c r="IIZ16" s="508" t="s">
        <v>581</v>
      </c>
      <c r="IJA16" s="508" t="s">
        <v>581</v>
      </c>
      <c r="IJB16" s="508" t="s">
        <v>581</v>
      </c>
      <c r="IJC16" s="508" t="s">
        <v>581</v>
      </c>
      <c r="IJD16" s="508" t="s">
        <v>581</v>
      </c>
      <c r="IJE16" s="508" t="s">
        <v>581</v>
      </c>
      <c r="IJF16" s="508" t="s">
        <v>581</v>
      </c>
      <c r="IJG16" s="508" t="s">
        <v>581</v>
      </c>
      <c r="IJH16" s="508" t="s">
        <v>581</v>
      </c>
      <c r="IJI16" s="508" t="s">
        <v>581</v>
      </c>
      <c r="IJJ16" s="508" t="s">
        <v>581</v>
      </c>
      <c r="IJK16" s="508" t="s">
        <v>581</v>
      </c>
      <c r="IJL16" s="508" t="s">
        <v>581</v>
      </c>
      <c r="IJM16" s="508" t="s">
        <v>581</v>
      </c>
      <c r="IJN16" s="508" t="s">
        <v>581</v>
      </c>
      <c r="IJO16" s="508" t="s">
        <v>581</v>
      </c>
      <c r="IJP16" s="508" t="s">
        <v>581</v>
      </c>
      <c r="IJQ16" s="508" t="s">
        <v>581</v>
      </c>
      <c r="IJR16" s="508" t="s">
        <v>581</v>
      </c>
      <c r="IJS16" s="508" t="s">
        <v>581</v>
      </c>
      <c r="IJT16" s="508" t="s">
        <v>581</v>
      </c>
      <c r="IJU16" s="508" t="s">
        <v>581</v>
      </c>
      <c r="IJV16" s="508" t="s">
        <v>581</v>
      </c>
      <c r="IJW16" s="508" t="s">
        <v>581</v>
      </c>
      <c r="IJX16" s="508" t="s">
        <v>581</v>
      </c>
      <c r="IJY16" s="508" t="s">
        <v>581</v>
      </c>
      <c r="IJZ16" s="508" t="s">
        <v>581</v>
      </c>
      <c r="IKA16" s="508" t="s">
        <v>581</v>
      </c>
      <c r="IKB16" s="508" t="s">
        <v>581</v>
      </c>
      <c r="IKC16" s="508" t="s">
        <v>581</v>
      </c>
      <c r="IKD16" s="508" t="s">
        <v>581</v>
      </c>
      <c r="IKE16" s="508" t="s">
        <v>581</v>
      </c>
      <c r="IKF16" s="508" t="s">
        <v>581</v>
      </c>
      <c r="IKG16" s="508" t="s">
        <v>581</v>
      </c>
      <c r="IKH16" s="508" t="s">
        <v>581</v>
      </c>
      <c r="IKI16" s="508" t="s">
        <v>581</v>
      </c>
      <c r="IKJ16" s="508" t="s">
        <v>581</v>
      </c>
      <c r="IKK16" s="508" t="s">
        <v>581</v>
      </c>
      <c r="IKL16" s="508" t="s">
        <v>581</v>
      </c>
      <c r="IKM16" s="508" t="s">
        <v>581</v>
      </c>
      <c r="IKN16" s="508" t="s">
        <v>581</v>
      </c>
      <c r="IKO16" s="508" t="s">
        <v>581</v>
      </c>
      <c r="IKP16" s="508" t="s">
        <v>581</v>
      </c>
      <c r="IKQ16" s="508" t="s">
        <v>581</v>
      </c>
      <c r="IKR16" s="508" t="s">
        <v>581</v>
      </c>
      <c r="IKS16" s="508" t="s">
        <v>581</v>
      </c>
      <c r="IKT16" s="508" t="s">
        <v>581</v>
      </c>
      <c r="IKU16" s="508" t="s">
        <v>581</v>
      </c>
      <c r="IKV16" s="508" t="s">
        <v>581</v>
      </c>
      <c r="IKW16" s="508" t="s">
        <v>581</v>
      </c>
      <c r="IKX16" s="508" t="s">
        <v>581</v>
      </c>
      <c r="IKY16" s="508" t="s">
        <v>581</v>
      </c>
      <c r="IKZ16" s="508" t="s">
        <v>581</v>
      </c>
      <c r="ILA16" s="508" t="s">
        <v>581</v>
      </c>
      <c r="ILB16" s="508" t="s">
        <v>581</v>
      </c>
      <c r="ILC16" s="508" t="s">
        <v>581</v>
      </c>
      <c r="ILD16" s="508" t="s">
        <v>581</v>
      </c>
      <c r="ILE16" s="508" t="s">
        <v>581</v>
      </c>
      <c r="ILF16" s="508" t="s">
        <v>581</v>
      </c>
      <c r="ILG16" s="508" t="s">
        <v>581</v>
      </c>
      <c r="ILH16" s="508" t="s">
        <v>581</v>
      </c>
      <c r="ILI16" s="508" t="s">
        <v>581</v>
      </c>
      <c r="ILJ16" s="508" t="s">
        <v>581</v>
      </c>
      <c r="ILK16" s="508" t="s">
        <v>581</v>
      </c>
      <c r="ILL16" s="508" t="s">
        <v>581</v>
      </c>
      <c r="ILM16" s="508" t="s">
        <v>581</v>
      </c>
      <c r="ILN16" s="508" t="s">
        <v>581</v>
      </c>
      <c r="ILO16" s="508" t="s">
        <v>581</v>
      </c>
      <c r="ILP16" s="508" t="s">
        <v>581</v>
      </c>
      <c r="ILQ16" s="508" t="s">
        <v>581</v>
      </c>
      <c r="ILR16" s="508" t="s">
        <v>581</v>
      </c>
      <c r="ILS16" s="508" t="s">
        <v>581</v>
      </c>
      <c r="ILT16" s="508" t="s">
        <v>581</v>
      </c>
      <c r="ILU16" s="508" t="s">
        <v>581</v>
      </c>
      <c r="ILV16" s="508" t="s">
        <v>581</v>
      </c>
      <c r="ILW16" s="508" t="s">
        <v>581</v>
      </c>
      <c r="ILX16" s="508" t="s">
        <v>581</v>
      </c>
      <c r="ILY16" s="508" t="s">
        <v>581</v>
      </c>
      <c r="ILZ16" s="508" t="s">
        <v>581</v>
      </c>
      <c r="IMA16" s="508" t="s">
        <v>581</v>
      </c>
      <c r="IMB16" s="508" t="s">
        <v>581</v>
      </c>
      <c r="IMC16" s="508" t="s">
        <v>581</v>
      </c>
      <c r="IMD16" s="508" t="s">
        <v>581</v>
      </c>
      <c r="IME16" s="508" t="s">
        <v>581</v>
      </c>
      <c r="IMF16" s="508" t="s">
        <v>581</v>
      </c>
      <c r="IMG16" s="508" t="s">
        <v>581</v>
      </c>
      <c r="IMH16" s="508" t="s">
        <v>581</v>
      </c>
      <c r="IMI16" s="508" t="s">
        <v>581</v>
      </c>
      <c r="IMJ16" s="508" t="s">
        <v>581</v>
      </c>
      <c r="IMK16" s="508" t="s">
        <v>581</v>
      </c>
      <c r="IML16" s="508" t="s">
        <v>581</v>
      </c>
      <c r="IMM16" s="508" t="s">
        <v>581</v>
      </c>
      <c r="IMN16" s="508" t="s">
        <v>581</v>
      </c>
      <c r="IMO16" s="508" t="s">
        <v>581</v>
      </c>
      <c r="IMP16" s="508" t="s">
        <v>581</v>
      </c>
      <c r="IMQ16" s="508" t="s">
        <v>581</v>
      </c>
      <c r="IMR16" s="508" t="s">
        <v>581</v>
      </c>
      <c r="IMS16" s="508" t="s">
        <v>581</v>
      </c>
      <c r="IMT16" s="508" t="s">
        <v>581</v>
      </c>
      <c r="IMU16" s="508" t="s">
        <v>581</v>
      </c>
      <c r="IMV16" s="508" t="s">
        <v>581</v>
      </c>
      <c r="IMW16" s="508" t="s">
        <v>581</v>
      </c>
      <c r="IMX16" s="508" t="s">
        <v>581</v>
      </c>
      <c r="IMY16" s="508" t="s">
        <v>581</v>
      </c>
      <c r="IMZ16" s="508" t="s">
        <v>581</v>
      </c>
      <c r="INA16" s="508" t="s">
        <v>581</v>
      </c>
      <c r="INB16" s="508" t="s">
        <v>581</v>
      </c>
      <c r="INC16" s="508" t="s">
        <v>581</v>
      </c>
      <c r="IND16" s="508" t="s">
        <v>581</v>
      </c>
      <c r="INE16" s="508" t="s">
        <v>581</v>
      </c>
      <c r="INF16" s="508" t="s">
        <v>581</v>
      </c>
      <c r="ING16" s="508" t="s">
        <v>581</v>
      </c>
      <c r="INH16" s="508" t="s">
        <v>581</v>
      </c>
      <c r="INI16" s="508" t="s">
        <v>581</v>
      </c>
      <c r="INJ16" s="508" t="s">
        <v>581</v>
      </c>
      <c r="INK16" s="508" t="s">
        <v>581</v>
      </c>
      <c r="INL16" s="508" t="s">
        <v>581</v>
      </c>
      <c r="INM16" s="508" t="s">
        <v>581</v>
      </c>
      <c r="INN16" s="508" t="s">
        <v>581</v>
      </c>
      <c r="INO16" s="508" t="s">
        <v>581</v>
      </c>
      <c r="INP16" s="508" t="s">
        <v>581</v>
      </c>
      <c r="INQ16" s="508" t="s">
        <v>581</v>
      </c>
      <c r="INR16" s="508" t="s">
        <v>581</v>
      </c>
      <c r="INS16" s="508" t="s">
        <v>581</v>
      </c>
      <c r="INT16" s="508" t="s">
        <v>581</v>
      </c>
      <c r="INU16" s="508" t="s">
        <v>581</v>
      </c>
      <c r="INV16" s="508" t="s">
        <v>581</v>
      </c>
      <c r="INW16" s="508" t="s">
        <v>581</v>
      </c>
      <c r="INX16" s="508" t="s">
        <v>581</v>
      </c>
      <c r="INY16" s="508" t="s">
        <v>581</v>
      </c>
      <c r="INZ16" s="508" t="s">
        <v>581</v>
      </c>
      <c r="IOA16" s="508" t="s">
        <v>581</v>
      </c>
      <c r="IOB16" s="508" t="s">
        <v>581</v>
      </c>
      <c r="IOC16" s="508" t="s">
        <v>581</v>
      </c>
      <c r="IOD16" s="508" t="s">
        <v>581</v>
      </c>
      <c r="IOE16" s="508" t="s">
        <v>581</v>
      </c>
      <c r="IOF16" s="508" t="s">
        <v>581</v>
      </c>
      <c r="IOG16" s="508" t="s">
        <v>581</v>
      </c>
      <c r="IOH16" s="508" t="s">
        <v>581</v>
      </c>
      <c r="IOI16" s="508" t="s">
        <v>581</v>
      </c>
      <c r="IOJ16" s="508" t="s">
        <v>581</v>
      </c>
      <c r="IOK16" s="508" t="s">
        <v>581</v>
      </c>
      <c r="IOL16" s="508" t="s">
        <v>581</v>
      </c>
      <c r="IOM16" s="508" t="s">
        <v>581</v>
      </c>
      <c r="ION16" s="508" t="s">
        <v>581</v>
      </c>
      <c r="IOO16" s="508" t="s">
        <v>581</v>
      </c>
      <c r="IOP16" s="508" t="s">
        <v>581</v>
      </c>
      <c r="IOQ16" s="508" t="s">
        <v>581</v>
      </c>
      <c r="IOR16" s="508" t="s">
        <v>581</v>
      </c>
      <c r="IOS16" s="508" t="s">
        <v>581</v>
      </c>
      <c r="IOT16" s="508" t="s">
        <v>581</v>
      </c>
      <c r="IOU16" s="508" t="s">
        <v>581</v>
      </c>
      <c r="IOV16" s="508" t="s">
        <v>581</v>
      </c>
      <c r="IOW16" s="508" t="s">
        <v>581</v>
      </c>
      <c r="IOX16" s="508" t="s">
        <v>581</v>
      </c>
      <c r="IOY16" s="508" t="s">
        <v>581</v>
      </c>
      <c r="IOZ16" s="508" t="s">
        <v>581</v>
      </c>
      <c r="IPA16" s="508" t="s">
        <v>581</v>
      </c>
      <c r="IPB16" s="508" t="s">
        <v>581</v>
      </c>
      <c r="IPC16" s="508" t="s">
        <v>581</v>
      </c>
      <c r="IPD16" s="508" t="s">
        <v>581</v>
      </c>
      <c r="IPE16" s="508" t="s">
        <v>581</v>
      </c>
      <c r="IPF16" s="508" t="s">
        <v>581</v>
      </c>
      <c r="IPG16" s="508" t="s">
        <v>581</v>
      </c>
      <c r="IPH16" s="508" t="s">
        <v>581</v>
      </c>
      <c r="IPI16" s="508" t="s">
        <v>581</v>
      </c>
      <c r="IPJ16" s="508" t="s">
        <v>581</v>
      </c>
      <c r="IPK16" s="508" t="s">
        <v>581</v>
      </c>
      <c r="IPL16" s="508" t="s">
        <v>581</v>
      </c>
      <c r="IPM16" s="508" t="s">
        <v>581</v>
      </c>
      <c r="IPN16" s="508" t="s">
        <v>581</v>
      </c>
      <c r="IPO16" s="508" t="s">
        <v>581</v>
      </c>
      <c r="IPP16" s="508" t="s">
        <v>581</v>
      </c>
      <c r="IPQ16" s="508" t="s">
        <v>581</v>
      </c>
      <c r="IPR16" s="508" t="s">
        <v>581</v>
      </c>
      <c r="IPS16" s="508" t="s">
        <v>581</v>
      </c>
      <c r="IPT16" s="508" t="s">
        <v>581</v>
      </c>
      <c r="IPU16" s="508" t="s">
        <v>581</v>
      </c>
      <c r="IPV16" s="508" t="s">
        <v>581</v>
      </c>
      <c r="IPW16" s="508" t="s">
        <v>581</v>
      </c>
      <c r="IPX16" s="508" t="s">
        <v>581</v>
      </c>
      <c r="IPY16" s="508" t="s">
        <v>581</v>
      </c>
      <c r="IPZ16" s="508" t="s">
        <v>581</v>
      </c>
      <c r="IQA16" s="508" t="s">
        <v>581</v>
      </c>
      <c r="IQB16" s="508" t="s">
        <v>581</v>
      </c>
      <c r="IQC16" s="508" t="s">
        <v>581</v>
      </c>
      <c r="IQD16" s="508" t="s">
        <v>581</v>
      </c>
      <c r="IQE16" s="508" t="s">
        <v>581</v>
      </c>
      <c r="IQF16" s="508" t="s">
        <v>581</v>
      </c>
      <c r="IQG16" s="508" t="s">
        <v>581</v>
      </c>
      <c r="IQH16" s="508" t="s">
        <v>581</v>
      </c>
      <c r="IQI16" s="508" t="s">
        <v>581</v>
      </c>
      <c r="IQJ16" s="508" t="s">
        <v>581</v>
      </c>
      <c r="IQK16" s="508" t="s">
        <v>581</v>
      </c>
      <c r="IQL16" s="508" t="s">
        <v>581</v>
      </c>
      <c r="IQM16" s="508" t="s">
        <v>581</v>
      </c>
      <c r="IQN16" s="508" t="s">
        <v>581</v>
      </c>
      <c r="IQO16" s="508" t="s">
        <v>581</v>
      </c>
      <c r="IQP16" s="508" t="s">
        <v>581</v>
      </c>
      <c r="IQQ16" s="508" t="s">
        <v>581</v>
      </c>
      <c r="IQR16" s="508" t="s">
        <v>581</v>
      </c>
      <c r="IQS16" s="508" t="s">
        <v>581</v>
      </c>
      <c r="IQT16" s="508" t="s">
        <v>581</v>
      </c>
      <c r="IQU16" s="508" t="s">
        <v>581</v>
      </c>
      <c r="IQV16" s="508" t="s">
        <v>581</v>
      </c>
      <c r="IQW16" s="508" t="s">
        <v>581</v>
      </c>
      <c r="IQX16" s="508" t="s">
        <v>581</v>
      </c>
      <c r="IQY16" s="508" t="s">
        <v>581</v>
      </c>
      <c r="IQZ16" s="508" t="s">
        <v>581</v>
      </c>
      <c r="IRA16" s="508" t="s">
        <v>581</v>
      </c>
      <c r="IRB16" s="508" t="s">
        <v>581</v>
      </c>
      <c r="IRC16" s="508" t="s">
        <v>581</v>
      </c>
      <c r="IRD16" s="508" t="s">
        <v>581</v>
      </c>
      <c r="IRE16" s="508" t="s">
        <v>581</v>
      </c>
      <c r="IRF16" s="508" t="s">
        <v>581</v>
      </c>
      <c r="IRG16" s="508" t="s">
        <v>581</v>
      </c>
      <c r="IRH16" s="508" t="s">
        <v>581</v>
      </c>
      <c r="IRI16" s="508" t="s">
        <v>581</v>
      </c>
      <c r="IRJ16" s="508" t="s">
        <v>581</v>
      </c>
      <c r="IRK16" s="508" t="s">
        <v>581</v>
      </c>
      <c r="IRL16" s="508" t="s">
        <v>581</v>
      </c>
      <c r="IRM16" s="508" t="s">
        <v>581</v>
      </c>
      <c r="IRN16" s="508" t="s">
        <v>581</v>
      </c>
      <c r="IRO16" s="508" t="s">
        <v>581</v>
      </c>
      <c r="IRP16" s="508" t="s">
        <v>581</v>
      </c>
      <c r="IRQ16" s="508" t="s">
        <v>581</v>
      </c>
      <c r="IRR16" s="508" t="s">
        <v>581</v>
      </c>
      <c r="IRS16" s="508" t="s">
        <v>581</v>
      </c>
      <c r="IRT16" s="508" t="s">
        <v>581</v>
      </c>
      <c r="IRU16" s="508" t="s">
        <v>581</v>
      </c>
      <c r="IRV16" s="508" t="s">
        <v>581</v>
      </c>
      <c r="IRW16" s="508" t="s">
        <v>581</v>
      </c>
      <c r="IRX16" s="508" t="s">
        <v>581</v>
      </c>
      <c r="IRY16" s="508" t="s">
        <v>581</v>
      </c>
      <c r="IRZ16" s="508" t="s">
        <v>581</v>
      </c>
      <c r="ISA16" s="508" t="s">
        <v>581</v>
      </c>
      <c r="ISB16" s="508" t="s">
        <v>581</v>
      </c>
      <c r="ISC16" s="508" t="s">
        <v>581</v>
      </c>
      <c r="ISD16" s="508" t="s">
        <v>581</v>
      </c>
      <c r="ISE16" s="508" t="s">
        <v>581</v>
      </c>
      <c r="ISF16" s="508" t="s">
        <v>581</v>
      </c>
      <c r="ISG16" s="508" t="s">
        <v>581</v>
      </c>
      <c r="ISH16" s="508" t="s">
        <v>581</v>
      </c>
      <c r="ISI16" s="508" t="s">
        <v>581</v>
      </c>
      <c r="ISJ16" s="508" t="s">
        <v>581</v>
      </c>
      <c r="ISK16" s="508" t="s">
        <v>581</v>
      </c>
      <c r="ISL16" s="508" t="s">
        <v>581</v>
      </c>
      <c r="ISM16" s="508" t="s">
        <v>581</v>
      </c>
      <c r="ISN16" s="508" t="s">
        <v>581</v>
      </c>
      <c r="ISO16" s="508" t="s">
        <v>581</v>
      </c>
      <c r="ISP16" s="508" t="s">
        <v>581</v>
      </c>
      <c r="ISQ16" s="508" t="s">
        <v>581</v>
      </c>
      <c r="ISR16" s="508" t="s">
        <v>581</v>
      </c>
      <c r="ISS16" s="508" t="s">
        <v>581</v>
      </c>
      <c r="IST16" s="508" t="s">
        <v>581</v>
      </c>
      <c r="ISU16" s="508" t="s">
        <v>581</v>
      </c>
      <c r="ISV16" s="508" t="s">
        <v>581</v>
      </c>
      <c r="ISW16" s="508" t="s">
        <v>581</v>
      </c>
      <c r="ISX16" s="508" t="s">
        <v>581</v>
      </c>
      <c r="ISY16" s="508" t="s">
        <v>581</v>
      </c>
      <c r="ISZ16" s="508" t="s">
        <v>581</v>
      </c>
      <c r="ITA16" s="508" t="s">
        <v>581</v>
      </c>
      <c r="ITB16" s="508" t="s">
        <v>581</v>
      </c>
      <c r="ITC16" s="508" t="s">
        <v>581</v>
      </c>
      <c r="ITD16" s="508" t="s">
        <v>581</v>
      </c>
      <c r="ITE16" s="508" t="s">
        <v>581</v>
      </c>
      <c r="ITF16" s="508" t="s">
        <v>581</v>
      </c>
      <c r="ITG16" s="508" t="s">
        <v>581</v>
      </c>
      <c r="ITH16" s="508" t="s">
        <v>581</v>
      </c>
      <c r="ITI16" s="508" t="s">
        <v>581</v>
      </c>
      <c r="ITJ16" s="508" t="s">
        <v>581</v>
      </c>
      <c r="ITK16" s="508" t="s">
        <v>581</v>
      </c>
      <c r="ITL16" s="508" t="s">
        <v>581</v>
      </c>
      <c r="ITM16" s="508" t="s">
        <v>581</v>
      </c>
      <c r="ITN16" s="508" t="s">
        <v>581</v>
      </c>
      <c r="ITO16" s="508" t="s">
        <v>581</v>
      </c>
      <c r="ITP16" s="508" t="s">
        <v>581</v>
      </c>
      <c r="ITQ16" s="508" t="s">
        <v>581</v>
      </c>
      <c r="ITR16" s="508" t="s">
        <v>581</v>
      </c>
      <c r="ITS16" s="508" t="s">
        <v>581</v>
      </c>
      <c r="ITT16" s="508" t="s">
        <v>581</v>
      </c>
      <c r="ITU16" s="508" t="s">
        <v>581</v>
      </c>
      <c r="ITV16" s="508" t="s">
        <v>581</v>
      </c>
      <c r="ITW16" s="508" t="s">
        <v>581</v>
      </c>
      <c r="ITX16" s="508" t="s">
        <v>581</v>
      </c>
      <c r="ITY16" s="508" t="s">
        <v>581</v>
      </c>
      <c r="ITZ16" s="508" t="s">
        <v>581</v>
      </c>
      <c r="IUA16" s="508" t="s">
        <v>581</v>
      </c>
      <c r="IUB16" s="508" t="s">
        <v>581</v>
      </c>
      <c r="IUC16" s="508" t="s">
        <v>581</v>
      </c>
      <c r="IUD16" s="508" t="s">
        <v>581</v>
      </c>
      <c r="IUE16" s="508" t="s">
        <v>581</v>
      </c>
      <c r="IUF16" s="508" t="s">
        <v>581</v>
      </c>
      <c r="IUG16" s="508" t="s">
        <v>581</v>
      </c>
      <c r="IUH16" s="508" t="s">
        <v>581</v>
      </c>
      <c r="IUI16" s="508" t="s">
        <v>581</v>
      </c>
      <c r="IUJ16" s="508" t="s">
        <v>581</v>
      </c>
      <c r="IUK16" s="508" t="s">
        <v>581</v>
      </c>
      <c r="IUL16" s="508" t="s">
        <v>581</v>
      </c>
      <c r="IUM16" s="508" t="s">
        <v>581</v>
      </c>
      <c r="IUN16" s="508" t="s">
        <v>581</v>
      </c>
      <c r="IUO16" s="508" t="s">
        <v>581</v>
      </c>
      <c r="IUP16" s="508" t="s">
        <v>581</v>
      </c>
      <c r="IUQ16" s="508" t="s">
        <v>581</v>
      </c>
      <c r="IUR16" s="508" t="s">
        <v>581</v>
      </c>
      <c r="IUS16" s="508" t="s">
        <v>581</v>
      </c>
      <c r="IUT16" s="508" t="s">
        <v>581</v>
      </c>
      <c r="IUU16" s="508" t="s">
        <v>581</v>
      </c>
      <c r="IUV16" s="508" t="s">
        <v>581</v>
      </c>
      <c r="IUW16" s="508" t="s">
        <v>581</v>
      </c>
      <c r="IUX16" s="508" t="s">
        <v>581</v>
      </c>
      <c r="IUY16" s="508" t="s">
        <v>581</v>
      </c>
      <c r="IUZ16" s="508" t="s">
        <v>581</v>
      </c>
      <c r="IVA16" s="508" t="s">
        <v>581</v>
      </c>
      <c r="IVB16" s="508" t="s">
        <v>581</v>
      </c>
      <c r="IVC16" s="508" t="s">
        <v>581</v>
      </c>
      <c r="IVD16" s="508" t="s">
        <v>581</v>
      </c>
      <c r="IVE16" s="508" t="s">
        <v>581</v>
      </c>
      <c r="IVF16" s="508" t="s">
        <v>581</v>
      </c>
      <c r="IVG16" s="508" t="s">
        <v>581</v>
      </c>
      <c r="IVH16" s="508" t="s">
        <v>581</v>
      </c>
      <c r="IVI16" s="508" t="s">
        <v>581</v>
      </c>
      <c r="IVJ16" s="508" t="s">
        <v>581</v>
      </c>
      <c r="IVK16" s="508" t="s">
        <v>581</v>
      </c>
      <c r="IVL16" s="508" t="s">
        <v>581</v>
      </c>
      <c r="IVM16" s="508" t="s">
        <v>581</v>
      </c>
      <c r="IVN16" s="508" t="s">
        <v>581</v>
      </c>
      <c r="IVO16" s="508" t="s">
        <v>581</v>
      </c>
      <c r="IVP16" s="508" t="s">
        <v>581</v>
      </c>
      <c r="IVQ16" s="508" t="s">
        <v>581</v>
      </c>
      <c r="IVR16" s="508" t="s">
        <v>581</v>
      </c>
      <c r="IVS16" s="508" t="s">
        <v>581</v>
      </c>
      <c r="IVT16" s="508" t="s">
        <v>581</v>
      </c>
      <c r="IVU16" s="508" t="s">
        <v>581</v>
      </c>
      <c r="IVV16" s="508" t="s">
        <v>581</v>
      </c>
      <c r="IVW16" s="508" t="s">
        <v>581</v>
      </c>
      <c r="IVX16" s="508" t="s">
        <v>581</v>
      </c>
      <c r="IVY16" s="508" t="s">
        <v>581</v>
      </c>
      <c r="IVZ16" s="508" t="s">
        <v>581</v>
      </c>
      <c r="IWA16" s="508" t="s">
        <v>581</v>
      </c>
      <c r="IWB16" s="508" t="s">
        <v>581</v>
      </c>
      <c r="IWC16" s="508" t="s">
        <v>581</v>
      </c>
      <c r="IWD16" s="508" t="s">
        <v>581</v>
      </c>
      <c r="IWE16" s="508" t="s">
        <v>581</v>
      </c>
      <c r="IWF16" s="508" t="s">
        <v>581</v>
      </c>
      <c r="IWG16" s="508" t="s">
        <v>581</v>
      </c>
      <c r="IWH16" s="508" t="s">
        <v>581</v>
      </c>
      <c r="IWI16" s="508" t="s">
        <v>581</v>
      </c>
      <c r="IWJ16" s="508" t="s">
        <v>581</v>
      </c>
      <c r="IWK16" s="508" t="s">
        <v>581</v>
      </c>
      <c r="IWL16" s="508" t="s">
        <v>581</v>
      </c>
      <c r="IWM16" s="508" t="s">
        <v>581</v>
      </c>
      <c r="IWN16" s="508" t="s">
        <v>581</v>
      </c>
      <c r="IWO16" s="508" t="s">
        <v>581</v>
      </c>
      <c r="IWP16" s="508" t="s">
        <v>581</v>
      </c>
      <c r="IWQ16" s="508" t="s">
        <v>581</v>
      </c>
      <c r="IWR16" s="508" t="s">
        <v>581</v>
      </c>
      <c r="IWS16" s="508" t="s">
        <v>581</v>
      </c>
      <c r="IWT16" s="508" t="s">
        <v>581</v>
      </c>
      <c r="IWU16" s="508" t="s">
        <v>581</v>
      </c>
      <c r="IWV16" s="508" t="s">
        <v>581</v>
      </c>
      <c r="IWW16" s="508" t="s">
        <v>581</v>
      </c>
      <c r="IWX16" s="508" t="s">
        <v>581</v>
      </c>
      <c r="IWY16" s="508" t="s">
        <v>581</v>
      </c>
      <c r="IWZ16" s="508" t="s">
        <v>581</v>
      </c>
      <c r="IXA16" s="508" t="s">
        <v>581</v>
      </c>
      <c r="IXB16" s="508" t="s">
        <v>581</v>
      </c>
      <c r="IXC16" s="508" t="s">
        <v>581</v>
      </c>
      <c r="IXD16" s="508" t="s">
        <v>581</v>
      </c>
      <c r="IXE16" s="508" t="s">
        <v>581</v>
      </c>
      <c r="IXF16" s="508" t="s">
        <v>581</v>
      </c>
      <c r="IXG16" s="508" t="s">
        <v>581</v>
      </c>
      <c r="IXH16" s="508" t="s">
        <v>581</v>
      </c>
      <c r="IXI16" s="508" t="s">
        <v>581</v>
      </c>
      <c r="IXJ16" s="508" t="s">
        <v>581</v>
      </c>
      <c r="IXK16" s="508" t="s">
        <v>581</v>
      </c>
      <c r="IXL16" s="508" t="s">
        <v>581</v>
      </c>
      <c r="IXM16" s="508" t="s">
        <v>581</v>
      </c>
      <c r="IXN16" s="508" t="s">
        <v>581</v>
      </c>
      <c r="IXO16" s="508" t="s">
        <v>581</v>
      </c>
      <c r="IXP16" s="508" t="s">
        <v>581</v>
      </c>
      <c r="IXQ16" s="508" t="s">
        <v>581</v>
      </c>
      <c r="IXR16" s="508" t="s">
        <v>581</v>
      </c>
      <c r="IXS16" s="508" t="s">
        <v>581</v>
      </c>
      <c r="IXT16" s="508" t="s">
        <v>581</v>
      </c>
      <c r="IXU16" s="508" t="s">
        <v>581</v>
      </c>
      <c r="IXV16" s="508" t="s">
        <v>581</v>
      </c>
      <c r="IXW16" s="508" t="s">
        <v>581</v>
      </c>
      <c r="IXX16" s="508" t="s">
        <v>581</v>
      </c>
      <c r="IXY16" s="508" t="s">
        <v>581</v>
      </c>
      <c r="IXZ16" s="508" t="s">
        <v>581</v>
      </c>
      <c r="IYA16" s="508" t="s">
        <v>581</v>
      </c>
      <c r="IYB16" s="508" t="s">
        <v>581</v>
      </c>
      <c r="IYC16" s="508" t="s">
        <v>581</v>
      </c>
      <c r="IYD16" s="508" t="s">
        <v>581</v>
      </c>
      <c r="IYE16" s="508" t="s">
        <v>581</v>
      </c>
      <c r="IYF16" s="508" t="s">
        <v>581</v>
      </c>
      <c r="IYG16" s="508" t="s">
        <v>581</v>
      </c>
      <c r="IYH16" s="508" t="s">
        <v>581</v>
      </c>
      <c r="IYI16" s="508" t="s">
        <v>581</v>
      </c>
      <c r="IYJ16" s="508" t="s">
        <v>581</v>
      </c>
      <c r="IYK16" s="508" t="s">
        <v>581</v>
      </c>
      <c r="IYL16" s="508" t="s">
        <v>581</v>
      </c>
      <c r="IYM16" s="508" t="s">
        <v>581</v>
      </c>
      <c r="IYN16" s="508" t="s">
        <v>581</v>
      </c>
      <c r="IYO16" s="508" t="s">
        <v>581</v>
      </c>
      <c r="IYP16" s="508" t="s">
        <v>581</v>
      </c>
      <c r="IYQ16" s="508" t="s">
        <v>581</v>
      </c>
      <c r="IYR16" s="508" t="s">
        <v>581</v>
      </c>
      <c r="IYS16" s="508" t="s">
        <v>581</v>
      </c>
      <c r="IYT16" s="508" t="s">
        <v>581</v>
      </c>
      <c r="IYU16" s="508" t="s">
        <v>581</v>
      </c>
      <c r="IYV16" s="508" t="s">
        <v>581</v>
      </c>
      <c r="IYW16" s="508" t="s">
        <v>581</v>
      </c>
      <c r="IYX16" s="508" t="s">
        <v>581</v>
      </c>
      <c r="IYY16" s="508" t="s">
        <v>581</v>
      </c>
      <c r="IYZ16" s="508" t="s">
        <v>581</v>
      </c>
      <c r="IZA16" s="508" t="s">
        <v>581</v>
      </c>
      <c r="IZB16" s="508" t="s">
        <v>581</v>
      </c>
      <c r="IZC16" s="508" t="s">
        <v>581</v>
      </c>
      <c r="IZD16" s="508" t="s">
        <v>581</v>
      </c>
      <c r="IZE16" s="508" t="s">
        <v>581</v>
      </c>
      <c r="IZF16" s="508" t="s">
        <v>581</v>
      </c>
      <c r="IZG16" s="508" t="s">
        <v>581</v>
      </c>
      <c r="IZH16" s="508" t="s">
        <v>581</v>
      </c>
      <c r="IZI16" s="508" t="s">
        <v>581</v>
      </c>
      <c r="IZJ16" s="508" t="s">
        <v>581</v>
      </c>
      <c r="IZK16" s="508" t="s">
        <v>581</v>
      </c>
      <c r="IZL16" s="508" t="s">
        <v>581</v>
      </c>
      <c r="IZM16" s="508" t="s">
        <v>581</v>
      </c>
      <c r="IZN16" s="508" t="s">
        <v>581</v>
      </c>
      <c r="IZO16" s="508" t="s">
        <v>581</v>
      </c>
      <c r="IZP16" s="508" t="s">
        <v>581</v>
      </c>
      <c r="IZQ16" s="508" t="s">
        <v>581</v>
      </c>
      <c r="IZR16" s="508" t="s">
        <v>581</v>
      </c>
      <c r="IZS16" s="508" t="s">
        <v>581</v>
      </c>
      <c r="IZT16" s="508" t="s">
        <v>581</v>
      </c>
      <c r="IZU16" s="508" t="s">
        <v>581</v>
      </c>
      <c r="IZV16" s="508" t="s">
        <v>581</v>
      </c>
      <c r="IZW16" s="508" t="s">
        <v>581</v>
      </c>
      <c r="IZX16" s="508" t="s">
        <v>581</v>
      </c>
      <c r="IZY16" s="508" t="s">
        <v>581</v>
      </c>
      <c r="IZZ16" s="508" t="s">
        <v>581</v>
      </c>
      <c r="JAA16" s="508" t="s">
        <v>581</v>
      </c>
      <c r="JAB16" s="508" t="s">
        <v>581</v>
      </c>
      <c r="JAC16" s="508" t="s">
        <v>581</v>
      </c>
      <c r="JAD16" s="508" t="s">
        <v>581</v>
      </c>
      <c r="JAE16" s="508" t="s">
        <v>581</v>
      </c>
      <c r="JAF16" s="508" t="s">
        <v>581</v>
      </c>
      <c r="JAG16" s="508" t="s">
        <v>581</v>
      </c>
      <c r="JAH16" s="508" t="s">
        <v>581</v>
      </c>
      <c r="JAI16" s="508" t="s">
        <v>581</v>
      </c>
      <c r="JAJ16" s="508" t="s">
        <v>581</v>
      </c>
      <c r="JAK16" s="508" t="s">
        <v>581</v>
      </c>
      <c r="JAL16" s="508" t="s">
        <v>581</v>
      </c>
      <c r="JAM16" s="508" t="s">
        <v>581</v>
      </c>
      <c r="JAN16" s="508" t="s">
        <v>581</v>
      </c>
      <c r="JAO16" s="508" t="s">
        <v>581</v>
      </c>
      <c r="JAP16" s="508" t="s">
        <v>581</v>
      </c>
      <c r="JAQ16" s="508" t="s">
        <v>581</v>
      </c>
      <c r="JAR16" s="508" t="s">
        <v>581</v>
      </c>
      <c r="JAS16" s="508" t="s">
        <v>581</v>
      </c>
      <c r="JAT16" s="508" t="s">
        <v>581</v>
      </c>
      <c r="JAU16" s="508" t="s">
        <v>581</v>
      </c>
      <c r="JAV16" s="508" t="s">
        <v>581</v>
      </c>
      <c r="JAW16" s="508" t="s">
        <v>581</v>
      </c>
      <c r="JAX16" s="508" t="s">
        <v>581</v>
      </c>
      <c r="JAY16" s="508" t="s">
        <v>581</v>
      </c>
      <c r="JAZ16" s="508" t="s">
        <v>581</v>
      </c>
      <c r="JBA16" s="508" t="s">
        <v>581</v>
      </c>
      <c r="JBB16" s="508" t="s">
        <v>581</v>
      </c>
      <c r="JBC16" s="508" t="s">
        <v>581</v>
      </c>
      <c r="JBD16" s="508" t="s">
        <v>581</v>
      </c>
      <c r="JBE16" s="508" t="s">
        <v>581</v>
      </c>
      <c r="JBF16" s="508" t="s">
        <v>581</v>
      </c>
      <c r="JBG16" s="508" t="s">
        <v>581</v>
      </c>
      <c r="JBH16" s="508" t="s">
        <v>581</v>
      </c>
      <c r="JBI16" s="508" t="s">
        <v>581</v>
      </c>
      <c r="JBJ16" s="508" t="s">
        <v>581</v>
      </c>
      <c r="JBK16" s="508" t="s">
        <v>581</v>
      </c>
      <c r="JBL16" s="508" t="s">
        <v>581</v>
      </c>
      <c r="JBM16" s="508" t="s">
        <v>581</v>
      </c>
      <c r="JBN16" s="508" t="s">
        <v>581</v>
      </c>
      <c r="JBO16" s="508" t="s">
        <v>581</v>
      </c>
      <c r="JBP16" s="508" t="s">
        <v>581</v>
      </c>
      <c r="JBQ16" s="508" t="s">
        <v>581</v>
      </c>
      <c r="JBR16" s="508" t="s">
        <v>581</v>
      </c>
      <c r="JBS16" s="508" t="s">
        <v>581</v>
      </c>
      <c r="JBT16" s="508" t="s">
        <v>581</v>
      </c>
      <c r="JBU16" s="508" t="s">
        <v>581</v>
      </c>
      <c r="JBV16" s="508" t="s">
        <v>581</v>
      </c>
      <c r="JBW16" s="508" t="s">
        <v>581</v>
      </c>
      <c r="JBX16" s="508" t="s">
        <v>581</v>
      </c>
      <c r="JBY16" s="508" t="s">
        <v>581</v>
      </c>
      <c r="JBZ16" s="508" t="s">
        <v>581</v>
      </c>
      <c r="JCA16" s="508" t="s">
        <v>581</v>
      </c>
      <c r="JCB16" s="508" t="s">
        <v>581</v>
      </c>
      <c r="JCC16" s="508" t="s">
        <v>581</v>
      </c>
      <c r="JCD16" s="508" t="s">
        <v>581</v>
      </c>
      <c r="JCE16" s="508" t="s">
        <v>581</v>
      </c>
      <c r="JCF16" s="508" t="s">
        <v>581</v>
      </c>
      <c r="JCG16" s="508" t="s">
        <v>581</v>
      </c>
      <c r="JCH16" s="508" t="s">
        <v>581</v>
      </c>
      <c r="JCI16" s="508" t="s">
        <v>581</v>
      </c>
      <c r="JCJ16" s="508" t="s">
        <v>581</v>
      </c>
      <c r="JCK16" s="508" t="s">
        <v>581</v>
      </c>
      <c r="JCL16" s="508" t="s">
        <v>581</v>
      </c>
      <c r="JCM16" s="508" t="s">
        <v>581</v>
      </c>
      <c r="JCN16" s="508" t="s">
        <v>581</v>
      </c>
      <c r="JCO16" s="508" t="s">
        <v>581</v>
      </c>
      <c r="JCP16" s="508" t="s">
        <v>581</v>
      </c>
      <c r="JCQ16" s="508" t="s">
        <v>581</v>
      </c>
      <c r="JCR16" s="508" t="s">
        <v>581</v>
      </c>
      <c r="JCS16" s="508" t="s">
        <v>581</v>
      </c>
      <c r="JCT16" s="508" t="s">
        <v>581</v>
      </c>
      <c r="JCU16" s="508" t="s">
        <v>581</v>
      </c>
      <c r="JCV16" s="508" t="s">
        <v>581</v>
      </c>
      <c r="JCW16" s="508" t="s">
        <v>581</v>
      </c>
      <c r="JCX16" s="508" t="s">
        <v>581</v>
      </c>
      <c r="JCY16" s="508" t="s">
        <v>581</v>
      </c>
      <c r="JCZ16" s="508" t="s">
        <v>581</v>
      </c>
      <c r="JDA16" s="508" t="s">
        <v>581</v>
      </c>
      <c r="JDB16" s="508" t="s">
        <v>581</v>
      </c>
      <c r="JDC16" s="508" t="s">
        <v>581</v>
      </c>
      <c r="JDD16" s="508" t="s">
        <v>581</v>
      </c>
      <c r="JDE16" s="508" t="s">
        <v>581</v>
      </c>
      <c r="JDF16" s="508" t="s">
        <v>581</v>
      </c>
      <c r="JDG16" s="508" t="s">
        <v>581</v>
      </c>
      <c r="JDH16" s="508" t="s">
        <v>581</v>
      </c>
      <c r="JDI16" s="508" t="s">
        <v>581</v>
      </c>
      <c r="JDJ16" s="508" t="s">
        <v>581</v>
      </c>
      <c r="JDK16" s="508" t="s">
        <v>581</v>
      </c>
      <c r="JDL16" s="508" t="s">
        <v>581</v>
      </c>
      <c r="JDM16" s="508" t="s">
        <v>581</v>
      </c>
      <c r="JDN16" s="508" t="s">
        <v>581</v>
      </c>
      <c r="JDO16" s="508" t="s">
        <v>581</v>
      </c>
      <c r="JDP16" s="508" t="s">
        <v>581</v>
      </c>
      <c r="JDQ16" s="508" t="s">
        <v>581</v>
      </c>
      <c r="JDR16" s="508" t="s">
        <v>581</v>
      </c>
      <c r="JDS16" s="508" t="s">
        <v>581</v>
      </c>
      <c r="JDT16" s="508" t="s">
        <v>581</v>
      </c>
      <c r="JDU16" s="508" t="s">
        <v>581</v>
      </c>
      <c r="JDV16" s="508" t="s">
        <v>581</v>
      </c>
      <c r="JDW16" s="508" t="s">
        <v>581</v>
      </c>
      <c r="JDX16" s="508" t="s">
        <v>581</v>
      </c>
      <c r="JDY16" s="508" t="s">
        <v>581</v>
      </c>
      <c r="JDZ16" s="508" t="s">
        <v>581</v>
      </c>
      <c r="JEA16" s="508" t="s">
        <v>581</v>
      </c>
      <c r="JEB16" s="508" t="s">
        <v>581</v>
      </c>
      <c r="JEC16" s="508" t="s">
        <v>581</v>
      </c>
      <c r="JED16" s="508" t="s">
        <v>581</v>
      </c>
      <c r="JEE16" s="508" t="s">
        <v>581</v>
      </c>
      <c r="JEF16" s="508" t="s">
        <v>581</v>
      </c>
      <c r="JEG16" s="508" t="s">
        <v>581</v>
      </c>
      <c r="JEH16" s="508" t="s">
        <v>581</v>
      </c>
      <c r="JEI16" s="508" t="s">
        <v>581</v>
      </c>
      <c r="JEJ16" s="508" t="s">
        <v>581</v>
      </c>
      <c r="JEK16" s="508" t="s">
        <v>581</v>
      </c>
      <c r="JEL16" s="508" t="s">
        <v>581</v>
      </c>
      <c r="JEM16" s="508" t="s">
        <v>581</v>
      </c>
      <c r="JEN16" s="508" t="s">
        <v>581</v>
      </c>
      <c r="JEO16" s="508" t="s">
        <v>581</v>
      </c>
      <c r="JEP16" s="508" t="s">
        <v>581</v>
      </c>
      <c r="JEQ16" s="508" t="s">
        <v>581</v>
      </c>
      <c r="JER16" s="508" t="s">
        <v>581</v>
      </c>
      <c r="JES16" s="508" t="s">
        <v>581</v>
      </c>
      <c r="JET16" s="508" t="s">
        <v>581</v>
      </c>
      <c r="JEU16" s="508" t="s">
        <v>581</v>
      </c>
      <c r="JEV16" s="508" t="s">
        <v>581</v>
      </c>
      <c r="JEW16" s="508" t="s">
        <v>581</v>
      </c>
      <c r="JEX16" s="508" t="s">
        <v>581</v>
      </c>
      <c r="JEY16" s="508" t="s">
        <v>581</v>
      </c>
      <c r="JEZ16" s="508" t="s">
        <v>581</v>
      </c>
      <c r="JFA16" s="508" t="s">
        <v>581</v>
      </c>
      <c r="JFB16" s="508" t="s">
        <v>581</v>
      </c>
      <c r="JFC16" s="508" t="s">
        <v>581</v>
      </c>
      <c r="JFD16" s="508" t="s">
        <v>581</v>
      </c>
      <c r="JFE16" s="508" t="s">
        <v>581</v>
      </c>
      <c r="JFF16" s="508" t="s">
        <v>581</v>
      </c>
      <c r="JFG16" s="508" t="s">
        <v>581</v>
      </c>
      <c r="JFH16" s="508" t="s">
        <v>581</v>
      </c>
      <c r="JFI16" s="508" t="s">
        <v>581</v>
      </c>
      <c r="JFJ16" s="508" t="s">
        <v>581</v>
      </c>
      <c r="JFK16" s="508" t="s">
        <v>581</v>
      </c>
      <c r="JFL16" s="508" t="s">
        <v>581</v>
      </c>
      <c r="JFM16" s="508" t="s">
        <v>581</v>
      </c>
      <c r="JFN16" s="508" t="s">
        <v>581</v>
      </c>
      <c r="JFO16" s="508" t="s">
        <v>581</v>
      </c>
      <c r="JFP16" s="508" t="s">
        <v>581</v>
      </c>
      <c r="JFQ16" s="508" t="s">
        <v>581</v>
      </c>
      <c r="JFR16" s="508" t="s">
        <v>581</v>
      </c>
      <c r="JFS16" s="508" t="s">
        <v>581</v>
      </c>
      <c r="JFT16" s="508" t="s">
        <v>581</v>
      </c>
      <c r="JFU16" s="508" t="s">
        <v>581</v>
      </c>
      <c r="JFV16" s="508" t="s">
        <v>581</v>
      </c>
      <c r="JFW16" s="508" t="s">
        <v>581</v>
      </c>
      <c r="JFX16" s="508" t="s">
        <v>581</v>
      </c>
      <c r="JFY16" s="508" t="s">
        <v>581</v>
      </c>
      <c r="JFZ16" s="508" t="s">
        <v>581</v>
      </c>
      <c r="JGA16" s="508" t="s">
        <v>581</v>
      </c>
      <c r="JGB16" s="508" t="s">
        <v>581</v>
      </c>
      <c r="JGC16" s="508" t="s">
        <v>581</v>
      </c>
      <c r="JGD16" s="508" t="s">
        <v>581</v>
      </c>
      <c r="JGE16" s="508" t="s">
        <v>581</v>
      </c>
      <c r="JGF16" s="508" t="s">
        <v>581</v>
      </c>
      <c r="JGG16" s="508" t="s">
        <v>581</v>
      </c>
      <c r="JGH16" s="508" t="s">
        <v>581</v>
      </c>
      <c r="JGI16" s="508" t="s">
        <v>581</v>
      </c>
      <c r="JGJ16" s="508" t="s">
        <v>581</v>
      </c>
      <c r="JGK16" s="508" t="s">
        <v>581</v>
      </c>
      <c r="JGL16" s="508" t="s">
        <v>581</v>
      </c>
      <c r="JGM16" s="508" t="s">
        <v>581</v>
      </c>
      <c r="JGN16" s="508" t="s">
        <v>581</v>
      </c>
      <c r="JGO16" s="508" t="s">
        <v>581</v>
      </c>
      <c r="JGP16" s="508" t="s">
        <v>581</v>
      </c>
      <c r="JGQ16" s="508" t="s">
        <v>581</v>
      </c>
      <c r="JGR16" s="508" t="s">
        <v>581</v>
      </c>
      <c r="JGS16" s="508" t="s">
        <v>581</v>
      </c>
      <c r="JGT16" s="508" t="s">
        <v>581</v>
      </c>
      <c r="JGU16" s="508" t="s">
        <v>581</v>
      </c>
      <c r="JGV16" s="508" t="s">
        <v>581</v>
      </c>
      <c r="JGW16" s="508" t="s">
        <v>581</v>
      </c>
      <c r="JGX16" s="508" t="s">
        <v>581</v>
      </c>
      <c r="JGY16" s="508" t="s">
        <v>581</v>
      </c>
      <c r="JGZ16" s="508" t="s">
        <v>581</v>
      </c>
      <c r="JHA16" s="508" t="s">
        <v>581</v>
      </c>
      <c r="JHB16" s="508" t="s">
        <v>581</v>
      </c>
      <c r="JHC16" s="508" t="s">
        <v>581</v>
      </c>
      <c r="JHD16" s="508" t="s">
        <v>581</v>
      </c>
      <c r="JHE16" s="508" t="s">
        <v>581</v>
      </c>
      <c r="JHF16" s="508" t="s">
        <v>581</v>
      </c>
      <c r="JHG16" s="508" t="s">
        <v>581</v>
      </c>
      <c r="JHH16" s="508" t="s">
        <v>581</v>
      </c>
      <c r="JHI16" s="508" t="s">
        <v>581</v>
      </c>
      <c r="JHJ16" s="508" t="s">
        <v>581</v>
      </c>
      <c r="JHK16" s="508" t="s">
        <v>581</v>
      </c>
      <c r="JHL16" s="508" t="s">
        <v>581</v>
      </c>
      <c r="JHM16" s="508" t="s">
        <v>581</v>
      </c>
      <c r="JHN16" s="508" t="s">
        <v>581</v>
      </c>
      <c r="JHO16" s="508" t="s">
        <v>581</v>
      </c>
      <c r="JHP16" s="508" t="s">
        <v>581</v>
      </c>
      <c r="JHQ16" s="508" t="s">
        <v>581</v>
      </c>
      <c r="JHR16" s="508" t="s">
        <v>581</v>
      </c>
      <c r="JHS16" s="508" t="s">
        <v>581</v>
      </c>
      <c r="JHT16" s="508" t="s">
        <v>581</v>
      </c>
      <c r="JHU16" s="508" t="s">
        <v>581</v>
      </c>
      <c r="JHV16" s="508" t="s">
        <v>581</v>
      </c>
      <c r="JHW16" s="508" t="s">
        <v>581</v>
      </c>
      <c r="JHX16" s="508" t="s">
        <v>581</v>
      </c>
      <c r="JHY16" s="508" t="s">
        <v>581</v>
      </c>
      <c r="JHZ16" s="508" t="s">
        <v>581</v>
      </c>
      <c r="JIA16" s="508" t="s">
        <v>581</v>
      </c>
      <c r="JIB16" s="508" t="s">
        <v>581</v>
      </c>
      <c r="JIC16" s="508" t="s">
        <v>581</v>
      </c>
      <c r="JID16" s="508" t="s">
        <v>581</v>
      </c>
      <c r="JIE16" s="508" t="s">
        <v>581</v>
      </c>
      <c r="JIF16" s="508" t="s">
        <v>581</v>
      </c>
      <c r="JIG16" s="508" t="s">
        <v>581</v>
      </c>
      <c r="JIH16" s="508" t="s">
        <v>581</v>
      </c>
      <c r="JII16" s="508" t="s">
        <v>581</v>
      </c>
      <c r="JIJ16" s="508" t="s">
        <v>581</v>
      </c>
      <c r="JIK16" s="508" t="s">
        <v>581</v>
      </c>
      <c r="JIL16" s="508" t="s">
        <v>581</v>
      </c>
      <c r="JIM16" s="508" t="s">
        <v>581</v>
      </c>
      <c r="JIN16" s="508" t="s">
        <v>581</v>
      </c>
      <c r="JIO16" s="508" t="s">
        <v>581</v>
      </c>
      <c r="JIP16" s="508" t="s">
        <v>581</v>
      </c>
      <c r="JIQ16" s="508" t="s">
        <v>581</v>
      </c>
      <c r="JIR16" s="508" t="s">
        <v>581</v>
      </c>
      <c r="JIS16" s="508" t="s">
        <v>581</v>
      </c>
      <c r="JIT16" s="508" t="s">
        <v>581</v>
      </c>
      <c r="JIU16" s="508" t="s">
        <v>581</v>
      </c>
      <c r="JIV16" s="508" t="s">
        <v>581</v>
      </c>
      <c r="JIW16" s="508" t="s">
        <v>581</v>
      </c>
      <c r="JIX16" s="508" t="s">
        <v>581</v>
      </c>
      <c r="JIY16" s="508" t="s">
        <v>581</v>
      </c>
      <c r="JIZ16" s="508" t="s">
        <v>581</v>
      </c>
      <c r="JJA16" s="508" t="s">
        <v>581</v>
      </c>
      <c r="JJB16" s="508" t="s">
        <v>581</v>
      </c>
      <c r="JJC16" s="508" t="s">
        <v>581</v>
      </c>
      <c r="JJD16" s="508" t="s">
        <v>581</v>
      </c>
      <c r="JJE16" s="508" t="s">
        <v>581</v>
      </c>
      <c r="JJF16" s="508" t="s">
        <v>581</v>
      </c>
      <c r="JJG16" s="508" t="s">
        <v>581</v>
      </c>
      <c r="JJH16" s="508" t="s">
        <v>581</v>
      </c>
      <c r="JJI16" s="508" t="s">
        <v>581</v>
      </c>
      <c r="JJJ16" s="508" t="s">
        <v>581</v>
      </c>
      <c r="JJK16" s="508" t="s">
        <v>581</v>
      </c>
      <c r="JJL16" s="508" t="s">
        <v>581</v>
      </c>
      <c r="JJM16" s="508" t="s">
        <v>581</v>
      </c>
      <c r="JJN16" s="508" t="s">
        <v>581</v>
      </c>
      <c r="JJO16" s="508" t="s">
        <v>581</v>
      </c>
      <c r="JJP16" s="508" t="s">
        <v>581</v>
      </c>
      <c r="JJQ16" s="508" t="s">
        <v>581</v>
      </c>
      <c r="JJR16" s="508" t="s">
        <v>581</v>
      </c>
      <c r="JJS16" s="508" t="s">
        <v>581</v>
      </c>
      <c r="JJT16" s="508" t="s">
        <v>581</v>
      </c>
      <c r="JJU16" s="508" t="s">
        <v>581</v>
      </c>
      <c r="JJV16" s="508" t="s">
        <v>581</v>
      </c>
      <c r="JJW16" s="508" t="s">
        <v>581</v>
      </c>
      <c r="JJX16" s="508" t="s">
        <v>581</v>
      </c>
      <c r="JJY16" s="508" t="s">
        <v>581</v>
      </c>
      <c r="JJZ16" s="508" t="s">
        <v>581</v>
      </c>
      <c r="JKA16" s="508" t="s">
        <v>581</v>
      </c>
      <c r="JKB16" s="508" t="s">
        <v>581</v>
      </c>
      <c r="JKC16" s="508" t="s">
        <v>581</v>
      </c>
      <c r="JKD16" s="508" t="s">
        <v>581</v>
      </c>
      <c r="JKE16" s="508" t="s">
        <v>581</v>
      </c>
      <c r="JKF16" s="508" t="s">
        <v>581</v>
      </c>
      <c r="JKG16" s="508" t="s">
        <v>581</v>
      </c>
      <c r="JKH16" s="508" t="s">
        <v>581</v>
      </c>
      <c r="JKI16" s="508" t="s">
        <v>581</v>
      </c>
      <c r="JKJ16" s="508" t="s">
        <v>581</v>
      </c>
      <c r="JKK16" s="508" t="s">
        <v>581</v>
      </c>
      <c r="JKL16" s="508" t="s">
        <v>581</v>
      </c>
      <c r="JKM16" s="508" t="s">
        <v>581</v>
      </c>
      <c r="JKN16" s="508" t="s">
        <v>581</v>
      </c>
      <c r="JKO16" s="508" t="s">
        <v>581</v>
      </c>
      <c r="JKP16" s="508" t="s">
        <v>581</v>
      </c>
      <c r="JKQ16" s="508" t="s">
        <v>581</v>
      </c>
      <c r="JKR16" s="508" t="s">
        <v>581</v>
      </c>
      <c r="JKS16" s="508" t="s">
        <v>581</v>
      </c>
      <c r="JKT16" s="508" t="s">
        <v>581</v>
      </c>
      <c r="JKU16" s="508" t="s">
        <v>581</v>
      </c>
      <c r="JKV16" s="508" t="s">
        <v>581</v>
      </c>
      <c r="JKW16" s="508" t="s">
        <v>581</v>
      </c>
      <c r="JKX16" s="508" t="s">
        <v>581</v>
      </c>
      <c r="JKY16" s="508" t="s">
        <v>581</v>
      </c>
      <c r="JKZ16" s="508" t="s">
        <v>581</v>
      </c>
      <c r="JLA16" s="508" t="s">
        <v>581</v>
      </c>
      <c r="JLB16" s="508" t="s">
        <v>581</v>
      </c>
      <c r="JLC16" s="508" t="s">
        <v>581</v>
      </c>
      <c r="JLD16" s="508" t="s">
        <v>581</v>
      </c>
      <c r="JLE16" s="508" t="s">
        <v>581</v>
      </c>
      <c r="JLF16" s="508" t="s">
        <v>581</v>
      </c>
      <c r="JLG16" s="508" t="s">
        <v>581</v>
      </c>
      <c r="JLH16" s="508" t="s">
        <v>581</v>
      </c>
      <c r="JLI16" s="508" t="s">
        <v>581</v>
      </c>
      <c r="JLJ16" s="508" t="s">
        <v>581</v>
      </c>
      <c r="JLK16" s="508" t="s">
        <v>581</v>
      </c>
      <c r="JLL16" s="508" t="s">
        <v>581</v>
      </c>
      <c r="JLM16" s="508" t="s">
        <v>581</v>
      </c>
      <c r="JLN16" s="508" t="s">
        <v>581</v>
      </c>
      <c r="JLO16" s="508" t="s">
        <v>581</v>
      </c>
      <c r="JLP16" s="508" t="s">
        <v>581</v>
      </c>
      <c r="JLQ16" s="508" t="s">
        <v>581</v>
      </c>
      <c r="JLR16" s="508" t="s">
        <v>581</v>
      </c>
      <c r="JLS16" s="508" t="s">
        <v>581</v>
      </c>
      <c r="JLT16" s="508" t="s">
        <v>581</v>
      </c>
      <c r="JLU16" s="508" t="s">
        <v>581</v>
      </c>
      <c r="JLV16" s="508" t="s">
        <v>581</v>
      </c>
      <c r="JLW16" s="508" t="s">
        <v>581</v>
      </c>
      <c r="JLX16" s="508" t="s">
        <v>581</v>
      </c>
      <c r="JLY16" s="508" t="s">
        <v>581</v>
      </c>
      <c r="JLZ16" s="508" t="s">
        <v>581</v>
      </c>
      <c r="JMA16" s="508" t="s">
        <v>581</v>
      </c>
      <c r="JMB16" s="508" t="s">
        <v>581</v>
      </c>
      <c r="JMC16" s="508" t="s">
        <v>581</v>
      </c>
      <c r="JMD16" s="508" t="s">
        <v>581</v>
      </c>
      <c r="JME16" s="508" t="s">
        <v>581</v>
      </c>
      <c r="JMF16" s="508" t="s">
        <v>581</v>
      </c>
      <c r="JMG16" s="508" t="s">
        <v>581</v>
      </c>
      <c r="JMH16" s="508" t="s">
        <v>581</v>
      </c>
      <c r="JMI16" s="508" t="s">
        <v>581</v>
      </c>
      <c r="JMJ16" s="508" t="s">
        <v>581</v>
      </c>
      <c r="JMK16" s="508" t="s">
        <v>581</v>
      </c>
      <c r="JML16" s="508" t="s">
        <v>581</v>
      </c>
      <c r="JMM16" s="508" t="s">
        <v>581</v>
      </c>
      <c r="JMN16" s="508" t="s">
        <v>581</v>
      </c>
      <c r="JMO16" s="508" t="s">
        <v>581</v>
      </c>
      <c r="JMP16" s="508" t="s">
        <v>581</v>
      </c>
      <c r="JMQ16" s="508" t="s">
        <v>581</v>
      </c>
      <c r="JMR16" s="508" t="s">
        <v>581</v>
      </c>
      <c r="JMS16" s="508" t="s">
        <v>581</v>
      </c>
      <c r="JMT16" s="508" t="s">
        <v>581</v>
      </c>
      <c r="JMU16" s="508" t="s">
        <v>581</v>
      </c>
      <c r="JMV16" s="508" t="s">
        <v>581</v>
      </c>
      <c r="JMW16" s="508" t="s">
        <v>581</v>
      </c>
      <c r="JMX16" s="508" t="s">
        <v>581</v>
      </c>
      <c r="JMY16" s="508" t="s">
        <v>581</v>
      </c>
      <c r="JMZ16" s="508" t="s">
        <v>581</v>
      </c>
      <c r="JNA16" s="508" t="s">
        <v>581</v>
      </c>
      <c r="JNB16" s="508" t="s">
        <v>581</v>
      </c>
      <c r="JNC16" s="508" t="s">
        <v>581</v>
      </c>
      <c r="JND16" s="508" t="s">
        <v>581</v>
      </c>
      <c r="JNE16" s="508" t="s">
        <v>581</v>
      </c>
      <c r="JNF16" s="508" t="s">
        <v>581</v>
      </c>
      <c r="JNG16" s="508" t="s">
        <v>581</v>
      </c>
      <c r="JNH16" s="508" t="s">
        <v>581</v>
      </c>
      <c r="JNI16" s="508" t="s">
        <v>581</v>
      </c>
      <c r="JNJ16" s="508" t="s">
        <v>581</v>
      </c>
      <c r="JNK16" s="508" t="s">
        <v>581</v>
      </c>
      <c r="JNL16" s="508" t="s">
        <v>581</v>
      </c>
      <c r="JNM16" s="508" t="s">
        <v>581</v>
      </c>
      <c r="JNN16" s="508" t="s">
        <v>581</v>
      </c>
      <c r="JNO16" s="508" t="s">
        <v>581</v>
      </c>
      <c r="JNP16" s="508" t="s">
        <v>581</v>
      </c>
      <c r="JNQ16" s="508" t="s">
        <v>581</v>
      </c>
      <c r="JNR16" s="508" t="s">
        <v>581</v>
      </c>
      <c r="JNS16" s="508" t="s">
        <v>581</v>
      </c>
      <c r="JNT16" s="508" t="s">
        <v>581</v>
      </c>
      <c r="JNU16" s="508" t="s">
        <v>581</v>
      </c>
      <c r="JNV16" s="508" t="s">
        <v>581</v>
      </c>
      <c r="JNW16" s="508" t="s">
        <v>581</v>
      </c>
      <c r="JNX16" s="508" t="s">
        <v>581</v>
      </c>
      <c r="JNY16" s="508" t="s">
        <v>581</v>
      </c>
      <c r="JNZ16" s="508" t="s">
        <v>581</v>
      </c>
      <c r="JOA16" s="508" t="s">
        <v>581</v>
      </c>
      <c r="JOB16" s="508" t="s">
        <v>581</v>
      </c>
      <c r="JOC16" s="508" t="s">
        <v>581</v>
      </c>
      <c r="JOD16" s="508" t="s">
        <v>581</v>
      </c>
      <c r="JOE16" s="508" t="s">
        <v>581</v>
      </c>
      <c r="JOF16" s="508" t="s">
        <v>581</v>
      </c>
      <c r="JOG16" s="508" t="s">
        <v>581</v>
      </c>
      <c r="JOH16" s="508" t="s">
        <v>581</v>
      </c>
      <c r="JOI16" s="508" t="s">
        <v>581</v>
      </c>
      <c r="JOJ16" s="508" t="s">
        <v>581</v>
      </c>
      <c r="JOK16" s="508" t="s">
        <v>581</v>
      </c>
      <c r="JOL16" s="508" t="s">
        <v>581</v>
      </c>
      <c r="JOM16" s="508" t="s">
        <v>581</v>
      </c>
      <c r="JON16" s="508" t="s">
        <v>581</v>
      </c>
      <c r="JOO16" s="508" t="s">
        <v>581</v>
      </c>
      <c r="JOP16" s="508" t="s">
        <v>581</v>
      </c>
      <c r="JOQ16" s="508" t="s">
        <v>581</v>
      </c>
      <c r="JOR16" s="508" t="s">
        <v>581</v>
      </c>
      <c r="JOS16" s="508" t="s">
        <v>581</v>
      </c>
      <c r="JOT16" s="508" t="s">
        <v>581</v>
      </c>
      <c r="JOU16" s="508" t="s">
        <v>581</v>
      </c>
      <c r="JOV16" s="508" t="s">
        <v>581</v>
      </c>
      <c r="JOW16" s="508" t="s">
        <v>581</v>
      </c>
      <c r="JOX16" s="508" t="s">
        <v>581</v>
      </c>
      <c r="JOY16" s="508" t="s">
        <v>581</v>
      </c>
      <c r="JOZ16" s="508" t="s">
        <v>581</v>
      </c>
      <c r="JPA16" s="508" t="s">
        <v>581</v>
      </c>
      <c r="JPB16" s="508" t="s">
        <v>581</v>
      </c>
      <c r="JPC16" s="508" t="s">
        <v>581</v>
      </c>
      <c r="JPD16" s="508" t="s">
        <v>581</v>
      </c>
      <c r="JPE16" s="508" t="s">
        <v>581</v>
      </c>
      <c r="JPF16" s="508" t="s">
        <v>581</v>
      </c>
      <c r="JPG16" s="508" t="s">
        <v>581</v>
      </c>
      <c r="JPH16" s="508" t="s">
        <v>581</v>
      </c>
      <c r="JPI16" s="508" t="s">
        <v>581</v>
      </c>
      <c r="JPJ16" s="508" t="s">
        <v>581</v>
      </c>
      <c r="JPK16" s="508" t="s">
        <v>581</v>
      </c>
      <c r="JPL16" s="508" t="s">
        <v>581</v>
      </c>
      <c r="JPM16" s="508" t="s">
        <v>581</v>
      </c>
      <c r="JPN16" s="508" t="s">
        <v>581</v>
      </c>
      <c r="JPO16" s="508" t="s">
        <v>581</v>
      </c>
      <c r="JPP16" s="508" t="s">
        <v>581</v>
      </c>
      <c r="JPQ16" s="508" t="s">
        <v>581</v>
      </c>
      <c r="JPR16" s="508" t="s">
        <v>581</v>
      </c>
      <c r="JPS16" s="508" t="s">
        <v>581</v>
      </c>
      <c r="JPT16" s="508" t="s">
        <v>581</v>
      </c>
      <c r="JPU16" s="508" t="s">
        <v>581</v>
      </c>
      <c r="JPV16" s="508" t="s">
        <v>581</v>
      </c>
      <c r="JPW16" s="508" t="s">
        <v>581</v>
      </c>
      <c r="JPX16" s="508" t="s">
        <v>581</v>
      </c>
      <c r="JPY16" s="508" t="s">
        <v>581</v>
      </c>
      <c r="JPZ16" s="508" t="s">
        <v>581</v>
      </c>
      <c r="JQA16" s="508" t="s">
        <v>581</v>
      </c>
      <c r="JQB16" s="508" t="s">
        <v>581</v>
      </c>
      <c r="JQC16" s="508" t="s">
        <v>581</v>
      </c>
      <c r="JQD16" s="508" t="s">
        <v>581</v>
      </c>
      <c r="JQE16" s="508" t="s">
        <v>581</v>
      </c>
      <c r="JQF16" s="508" t="s">
        <v>581</v>
      </c>
      <c r="JQG16" s="508" t="s">
        <v>581</v>
      </c>
      <c r="JQH16" s="508" t="s">
        <v>581</v>
      </c>
      <c r="JQI16" s="508" t="s">
        <v>581</v>
      </c>
      <c r="JQJ16" s="508" t="s">
        <v>581</v>
      </c>
      <c r="JQK16" s="508" t="s">
        <v>581</v>
      </c>
      <c r="JQL16" s="508" t="s">
        <v>581</v>
      </c>
      <c r="JQM16" s="508" t="s">
        <v>581</v>
      </c>
      <c r="JQN16" s="508" t="s">
        <v>581</v>
      </c>
      <c r="JQO16" s="508" t="s">
        <v>581</v>
      </c>
      <c r="JQP16" s="508" t="s">
        <v>581</v>
      </c>
      <c r="JQQ16" s="508" t="s">
        <v>581</v>
      </c>
      <c r="JQR16" s="508" t="s">
        <v>581</v>
      </c>
      <c r="JQS16" s="508" t="s">
        <v>581</v>
      </c>
      <c r="JQT16" s="508" t="s">
        <v>581</v>
      </c>
      <c r="JQU16" s="508" t="s">
        <v>581</v>
      </c>
      <c r="JQV16" s="508" t="s">
        <v>581</v>
      </c>
      <c r="JQW16" s="508" t="s">
        <v>581</v>
      </c>
      <c r="JQX16" s="508" t="s">
        <v>581</v>
      </c>
      <c r="JQY16" s="508" t="s">
        <v>581</v>
      </c>
      <c r="JQZ16" s="508" t="s">
        <v>581</v>
      </c>
      <c r="JRA16" s="508" t="s">
        <v>581</v>
      </c>
      <c r="JRB16" s="508" t="s">
        <v>581</v>
      </c>
      <c r="JRC16" s="508" t="s">
        <v>581</v>
      </c>
      <c r="JRD16" s="508" t="s">
        <v>581</v>
      </c>
      <c r="JRE16" s="508" t="s">
        <v>581</v>
      </c>
      <c r="JRF16" s="508" t="s">
        <v>581</v>
      </c>
      <c r="JRG16" s="508" t="s">
        <v>581</v>
      </c>
      <c r="JRH16" s="508" t="s">
        <v>581</v>
      </c>
      <c r="JRI16" s="508" t="s">
        <v>581</v>
      </c>
      <c r="JRJ16" s="508" t="s">
        <v>581</v>
      </c>
      <c r="JRK16" s="508" t="s">
        <v>581</v>
      </c>
      <c r="JRL16" s="508" t="s">
        <v>581</v>
      </c>
      <c r="JRM16" s="508" t="s">
        <v>581</v>
      </c>
      <c r="JRN16" s="508" t="s">
        <v>581</v>
      </c>
      <c r="JRO16" s="508" t="s">
        <v>581</v>
      </c>
      <c r="JRP16" s="508" t="s">
        <v>581</v>
      </c>
      <c r="JRQ16" s="508" t="s">
        <v>581</v>
      </c>
      <c r="JRR16" s="508" t="s">
        <v>581</v>
      </c>
      <c r="JRS16" s="508" t="s">
        <v>581</v>
      </c>
      <c r="JRT16" s="508" t="s">
        <v>581</v>
      </c>
      <c r="JRU16" s="508" t="s">
        <v>581</v>
      </c>
      <c r="JRV16" s="508" t="s">
        <v>581</v>
      </c>
      <c r="JRW16" s="508" t="s">
        <v>581</v>
      </c>
      <c r="JRX16" s="508" t="s">
        <v>581</v>
      </c>
      <c r="JRY16" s="508" t="s">
        <v>581</v>
      </c>
      <c r="JRZ16" s="508" t="s">
        <v>581</v>
      </c>
      <c r="JSA16" s="508" t="s">
        <v>581</v>
      </c>
      <c r="JSB16" s="508" t="s">
        <v>581</v>
      </c>
      <c r="JSC16" s="508" t="s">
        <v>581</v>
      </c>
      <c r="JSD16" s="508" t="s">
        <v>581</v>
      </c>
      <c r="JSE16" s="508" t="s">
        <v>581</v>
      </c>
      <c r="JSF16" s="508" t="s">
        <v>581</v>
      </c>
      <c r="JSG16" s="508" t="s">
        <v>581</v>
      </c>
      <c r="JSH16" s="508" t="s">
        <v>581</v>
      </c>
      <c r="JSI16" s="508" t="s">
        <v>581</v>
      </c>
      <c r="JSJ16" s="508" t="s">
        <v>581</v>
      </c>
      <c r="JSK16" s="508" t="s">
        <v>581</v>
      </c>
      <c r="JSL16" s="508" t="s">
        <v>581</v>
      </c>
      <c r="JSM16" s="508" t="s">
        <v>581</v>
      </c>
      <c r="JSN16" s="508" t="s">
        <v>581</v>
      </c>
      <c r="JSO16" s="508" t="s">
        <v>581</v>
      </c>
      <c r="JSP16" s="508" t="s">
        <v>581</v>
      </c>
      <c r="JSQ16" s="508" t="s">
        <v>581</v>
      </c>
      <c r="JSR16" s="508" t="s">
        <v>581</v>
      </c>
      <c r="JSS16" s="508" t="s">
        <v>581</v>
      </c>
      <c r="JST16" s="508" t="s">
        <v>581</v>
      </c>
      <c r="JSU16" s="508" t="s">
        <v>581</v>
      </c>
      <c r="JSV16" s="508" t="s">
        <v>581</v>
      </c>
      <c r="JSW16" s="508" t="s">
        <v>581</v>
      </c>
      <c r="JSX16" s="508" t="s">
        <v>581</v>
      </c>
      <c r="JSY16" s="508" t="s">
        <v>581</v>
      </c>
      <c r="JSZ16" s="508" t="s">
        <v>581</v>
      </c>
      <c r="JTA16" s="508" t="s">
        <v>581</v>
      </c>
      <c r="JTB16" s="508" t="s">
        <v>581</v>
      </c>
      <c r="JTC16" s="508" t="s">
        <v>581</v>
      </c>
      <c r="JTD16" s="508" t="s">
        <v>581</v>
      </c>
      <c r="JTE16" s="508" t="s">
        <v>581</v>
      </c>
      <c r="JTF16" s="508" t="s">
        <v>581</v>
      </c>
      <c r="JTG16" s="508" t="s">
        <v>581</v>
      </c>
      <c r="JTH16" s="508" t="s">
        <v>581</v>
      </c>
      <c r="JTI16" s="508" t="s">
        <v>581</v>
      </c>
      <c r="JTJ16" s="508" t="s">
        <v>581</v>
      </c>
      <c r="JTK16" s="508" t="s">
        <v>581</v>
      </c>
      <c r="JTL16" s="508" t="s">
        <v>581</v>
      </c>
      <c r="JTM16" s="508" t="s">
        <v>581</v>
      </c>
      <c r="JTN16" s="508" t="s">
        <v>581</v>
      </c>
      <c r="JTO16" s="508" t="s">
        <v>581</v>
      </c>
      <c r="JTP16" s="508" t="s">
        <v>581</v>
      </c>
      <c r="JTQ16" s="508" t="s">
        <v>581</v>
      </c>
      <c r="JTR16" s="508" t="s">
        <v>581</v>
      </c>
      <c r="JTS16" s="508" t="s">
        <v>581</v>
      </c>
      <c r="JTT16" s="508" t="s">
        <v>581</v>
      </c>
      <c r="JTU16" s="508" t="s">
        <v>581</v>
      </c>
      <c r="JTV16" s="508" t="s">
        <v>581</v>
      </c>
      <c r="JTW16" s="508" t="s">
        <v>581</v>
      </c>
      <c r="JTX16" s="508" t="s">
        <v>581</v>
      </c>
      <c r="JTY16" s="508" t="s">
        <v>581</v>
      </c>
      <c r="JTZ16" s="508" t="s">
        <v>581</v>
      </c>
      <c r="JUA16" s="508" t="s">
        <v>581</v>
      </c>
      <c r="JUB16" s="508" t="s">
        <v>581</v>
      </c>
      <c r="JUC16" s="508" t="s">
        <v>581</v>
      </c>
      <c r="JUD16" s="508" t="s">
        <v>581</v>
      </c>
      <c r="JUE16" s="508" t="s">
        <v>581</v>
      </c>
      <c r="JUF16" s="508" t="s">
        <v>581</v>
      </c>
      <c r="JUG16" s="508" t="s">
        <v>581</v>
      </c>
      <c r="JUH16" s="508" t="s">
        <v>581</v>
      </c>
      <c r="JUI16" s="508" t="s">
        <v>581</v>
      </c>
      <c r="JUJ16" s="508" t="s">
        <v>581</v>
      </c>
      <c r="JUK16" s="508" t="s">
        <v>581</v>
      </c>
      <c r="JUL16" s="508" t="s">
        <v>581</v>
      </c>
      <c r="JUM16" s="508" t="s">
        <v>581</v>
      </c>
      <c r="JUN16" s="508" t="s">
        <v>581</v>
      </c>
      <c r="JUO16" s="508" t="s">
        <v>581</v>
      </c>
      <c r="JUP16" s="508" t="s">
        <v>581</v>
      </c>
      <c r="JUQ16" s="508" t="s">
        <v>581</v>
      </c>
      <c r="JUR16" s="508" t="s">
        <v>581</v>
      </c>
      <c r="JUS16" s="508" t="s">
        <v>581</v>
      </c>
      <c r="JUT16" s="508" t="s">
        <v>581</v>
      </c>
      <c r="JUU16" s="508" t="s">
        <v>581</v>
      </c>
      <c r="JUV16" s="508" t="s">
        <v>581</v>
      </c>
      <c r="JUW16" s="508" t="s">
        <v>581</v>
      </c>
      <c r="JUX16" s="508" t="s">
        <v>581</v>
      </c>
      <c r="JUY16" s="508" t="s">
        <v>581</v>
      </c>
      <c r="JUZ16" s="508" t="s">
        <v>581</v>
      </c>
      <c r="JVA16" s="508" t="s">
        <v>581</v>
      </c>
      <c r="JVB16" s="508" t="s">
        <v>581</v>
      </c>
      <c r="JVC16" s="508" t="s">
        <v>581</v>
      </c>
      <c r="JVD16" s="508" t="s">
        <v>581</v>
      </c>
      <c r="JVE16" s="508" t="s">
        <v>581</v>
      </c>
      <c r="JVF16" s="508" t="s">
        <v>581</v>
      </c>
      <c r="JVG16" s="508" t="s">
        <v>581</v>
      </c>
      <c r="JVH16" s="508" t="s">
        <v>581</v>
      </c>
      <c r="JVI16" s="508" t="s">
        <v>581</v>
      </c>
      <c r="JVJ16" s="508" t="s">
        <v>581</v>
      </c>
      <c r="JVK16" s="508" t="s">
        <v>581</v>
      </c>
      <c r="JVL16" s="508" t="s">
        <v>581</v>
      </c>
      <c r="JVM16" s="508" t="s">
        <v>581</v>
      </c>
      <c r="JVN16" s="508" t="s">
        <v>581</v>
      </c>
      <c r="JVO16" s="508" t="s">
        <v>581</v>
      </c>
      <c r="JVP16" s="508" t="s">
        <v>581</v>
      </c>
      <c r="JVQ16" s="508" t="s">
        <v>581</v>
      </c>
      <c r="JVR16" s="508" t="s">
        <v>581</v>
      </c>
      <c r="JVS16" s="508" t="s">
        <v>581</v>
      </c>
      <c r="JVT16" s="508" t="s">
        <v>581</v>
      </c>
      <c r="JVU16" s="508" t="s">
        <v>581</v>
      </c>
      <c r="JVV16" s="508" t="s">
        <v>581</v>
      </c>
      <c r="JVW16" s="508" t="s">
        <v>581</v>
      </c>
      <c r="JVX16" s="508" t="s">
        <v>581</v>
      </c>
      <c r="JVY16" s="508" t="s">
        <v>581</v>
      </c>
      <c r="JVZ16" s="508" t="s">
        <v>581</v>
      </c>
      <c r="JWA16" s="508" t="s">
        <v>581</v>
      </c>
      <c r="JWB16" s="508" t="s">
        <v>581</v>
      </c>
      <c r="JWC16" s="508" t="s">
        <v>581</v>
      </c>
      <c r="JWD16" s="508" t="s">
        <v>581</v>
      </c>
      <c r="JWE16" s="508" t="s">
        <v>581</v>
      </c>
      <c r="JWF16" s="508" t="s">
        <v>581</v>
      </c>
      <c r="JWG16" s="508" t="s">
        <v>581</v>
      </c>
      <c r="JWH16" s="508" t="s">
        <v>581</v>
      </c>
      <c r="JWI16" s="508" t="s">
        <v>581</v>
      </c>
      <c r="JWJ16" s="508" t="s">
        <v>581</v>
      </c>
      <c r="JWK16" s="508" t="s">
        <v>581</v>
      </c>
      <c r="JWL16" s="508" t="s">
        <v>581</v>
      </c>
      <c r="JWM16" s="508" t="s">
        <v>581</v>
      </c>
      <c r="JWN16" s="508" t="s">
        <v>581</v>
      </c>
      <c r="JWO16" s="508" t="s">
        <v>581</v>
      </c>
      <c r="JWP16" s="508" t="s">
        <v>581</v>
      </c>
      <c r="JWQ16" s="508" t="s">
        <v>581</v>
      </c>
      <c r="JWR16" s="508" t="s">
        <v>581</v>
      </c>
      <c r="JWS16" s="508" t="s">
        <v>581</v>
      </c>
      <c r="JWT16" s="508" t="s">
        <v>581</v>
      </c>
      <c r="JWU16" s="508" t="s">
        <v>581</v>
      </c>
      <c r="JWV16" s="508" t="s">
        <v>581</v>
      </c>
      <c r="JWW16" s="508" t="s">
        <v>581</v>
      </c>
      <c r="JWX16" s="508" t="s">
        <v>581</v>
      </c>
      <c r="JWY16" s="508" t="s">
        <v>581</v>
      </c>
      <c r="JWZ16" s="508" t="s">
        <v>581</v>
      </c>
      <c r="JXA16" s="508" t="s">
        <v>581</v>
      </c>
      <c r="JXB16" s="508" t="s">
        <v>581</v>
      </c>
      <c r="JXC16" s="508" t="s">
        <v>581</v>
      </c>
      <c r="JXD16" s="508" t="s">
        <v>581</v>
      </c>
      <c r="JXE16" s="508" t="s">
        <v>581</v>
      </c>
      <c r="JXF16" s="508" t="s">
        <v>581</v>
      </c>
      <c r="JXG16" s="508" t="s">
        <v>581</v>
      </c>
      <c r="JXH16" s="508" t="s">
        <v>581</v>
      </c>
      <c r="JXI16" s="508" t="s">
        <v>581</v>
      </c>
      <c r="JXJ16" s="508" t="s">
        <v>581</v>
      </c>
      <c r="JXK16" s="508" t="s">
        <v>581</v>
      </c>
      <c r="JXL16" s="508" t="s">
        <v>581</v>
      </c>
      <c r="JXM16" s="508" t="s">
        <v>581</v>
      </c>
      <c r="JXN16" s="508" t="s">
        <v>581</v>
      </c>
      <c r="JXO16" s="508" t="s">
        <v>581</v>
      </c>
      <c r="JXP16" s="508" t="s">
        <v>581</v>
      </c>
      <c r="JXQ16" s="508" t="s">
        <v>581</v>
      </c>
      <c r="JXR16" s="508" t="s">
        <v>581</v>
      </c>
      <c r="JXS16" s="508" t="s">
        <v>581</v>
      </c>
      <c r="JXT16" s="508" t="s">
        <v>581</v>
      </c>
      <c r="JXU16" s="508" t="s">
        <v>581</v>
      </c>
      <c r="JXV16" s="508" t="s">
        <v>581</v>
      </c>
      <c r="JXW16" s="508" t="s">
        <v>581</v>
      </c>
      <c r="JXX16" s="508" t="s">
        <v>581</v>
      </c>
      <c r="JXY16" s="508" t="s">
        <v>581</v>
      </c>
      <c r="JXZ16" s="508" t="s">
        <v>581</v>
      </c>
      <c r="JYA16" s="508" t="s">
        <v>581</v>
      </c>
      <c r="JYB16" s="508" t="s">
        <v>581</v>
      </c>
      <c r="JYC16" s="508" t="s">
        <v>581</v>
      </c>
      <c r="JYD16" s="508" t="s">
        <v>581</v>
      </c>
      <c r="JYE16" s="508" t="s">
        <v>581</v>
      </c>
      <c r="JYF16" s="508" t="s">
        <v>581</v>
      </c>
      <c r="JYG16" s="508" t="s">
        <v>581</v>
      </c>
      <c r="JYH16" s="508" t="s">
        <v>581</v>
      </c>
      <c r="JYI16" s="508" t="s">
        <v>581</v>
      </c>
      <c r="JYJ16" s="508" t="s">
        <v>581</v>
      </c>
      <c r="JYK16" s="508" t="s">
        <v>581</v>
      </c>
      <c r="JYL16" s="508" t="s">
        <v>581</v>
      </c>
      <c r="JYM16" s="508" t="s">
        <v>581</v>
      </c>
      <c r="JYN16" s="508" t="s">
        <v>581</v>
      </c>
      <c r="JYO16" s="508" t="s">
        <v>581</v>
      </c>
      <c r="JYP16" s="508" t="s">
        <v>581</v>
      </c>
      <c r="JYQ16" s="508" t="s">
        <v>581</v>
      </c>
      <c r="JYR16" s="508" t="s">
        <v>581</v>
      </c>
      <c r="JYS16" s="508" t="s">
        <v>581</v>
      </c>
      <c r="JYT16" s="508" t="s">
        <v>581</v>
      </c>
      <c r="JYU16" s="508" t="s">
        <v>581</v>
      </c>
      <c r="JYV16" s="508" t="s">
        <v>581</v>
      </c>
      <c r="JYW16" s="508" t="s">
        <v>581</v>
      </c>
      <c r="JYX16" s="508" t="s">
        <v>581</v>
      </c>
      <c r="JYY16" s="508" t="s">
        <v>581</v>
      </c>
      <c r="JYZ16" s="508" t="s">
        <v>581</v>
      </c>
      <c r="JZA16" s="508" t="s">
        <v>581</v>
      </c>
      <c r="JZB16" s="508" t="s">
        <v>581</v>
      </c>
      <c r="JZC16" s="508" t="s">
        <v>581</v>
      </c>
      <c r="JZD16" s="508" t="s">
        <v>581</v>
      </c>
      <c r="JZE16" s="508" t="s">
        <v>581</v>
      </c>
      <c r="JZF16" s="508" t="s">
        <v>581</v>
      </c>
      <c r="JZG16" s="508" t="s">
        <v>581</v>
      </c>
      <c r="JZH16" s="508" t="s">
        <v>581</v>
      </c>
      <c r="JZI16" s="508" t="s">
        <v>581</v>
      </c>
      <c r="JZJ16" s="508" t="s">
        <v>581</v>
      </c>
      <c r="JZK16" s="508" t="s">
        <v>581</v>
      </c>
      <c r="JZL16" s="508" t="s">
        <v>581</v>
      </c>
      <c r="JZM16" s="508" t="s">
        <v>581</v>
      </c>
      <c r="JZN16" s="508" t="s">
        <v>581</v>
      </c>
      <c r="JZO16" s="508" t="s">
        <v>581</v>
      </c>
      <c r="JZP16" s="508" t="s">
        <v>581</v>
      </c>
      <c r="JZQ16" s="508" t="s">
        <v>581</v>
      </c>
      <c r="JZR16" s="508" t="s">
        <v>581</v>
      </c>
      <c r="JZS16" s="508" t="s">
        <v>581</v>
      </c>
      <c r="JZT16" s="508" t="s">
        <v>581</v>
      </c>
      <c r="JZU16" s="508" t="s">
        <v>581</v>
      </c>
      <c r="JZV16" s="508" t="s">
        <v>581</v>
      </c>
      <c r="JZW16" s="508" t="s">
        <v>581</v>
      </c>
      <c r="JZX16" s="508" t="s">
        <v>581</v>
      </c>
      <c r="JZY16" s="508" t="s">
        <v>581</v>
      </c>
      <c r="JZZ16" s="508" t="s">
        <v>581</v>
      </c>
      <c r="KAA16" s="508" t="s">
        <v>581</v>
      </c>
      <c r="KAB16" s="508" t="s">
        <v>581</v>
      </c>
      <c r="KAC16" s="508" t="s">
        <v>581</v>
      </c>
      <c r="KAD16" s="508" t="s">
        <v>581</v>
      </c>
      <c r="KAE16" s="508" t="s">
        <v>581</v>
      </c>
      <c r="KAF16" s="508" t="s">
        <v>581</v>
      </c>
      <c r="KAG16" s="508" t="s">
        <v>581</v>
      </c>
      <c r="KAH16" s="508" t="s">
        <v>581</v>
      </c>
      <c r="KAI16" s="508" t="s">
        <v>581</v>
      </c>
      <c r="KAJ16" s="508" t="s">
        <v>581</v>
      </c>
      <c r="KAK16" s="508" t="s">
        <v>581</v>
      </c>
      <c r="KAL16" s="508" t="s">
        <v>581</v>
      </c>
      <c r="KAM16" s="508" t="s">
        <v>581</v>
      </c>
      <c r="KAN16" s="508" t="s">
        <v>581</v>
      </c>
      <c r="KAO16" s="508" t="s">
        <v>581</v>
      </c>
      <c r="KAP16" s="508" t="s">
        <v>581</v>
      </c>
      <c r="KAQ16" s="508" t="s">
        <v>581</v>
      </c>
      <c r="KAR16" s="508" t="s">
        <v>581</v>
      </c>
      <c r="KAS16" s="508" t="s">
        <v>581</v>
      </c>
      <c r="KAT16" s="508" t="s">
        <v>581</v>
      </c>
      <c r="KAU16" s="508" t="s">
        <v>581</v>
      </c>
      <c r="KAV16" s="508" t="s">
        <v>581</v>
      </c>
      <c r="KAW16" s="508" t="s">
        <v>581</v>
      </c>
      <c r="KAX16" s="508" t="s">
        <v>581</v>
      </c>
      <c r="KAY16" s="508" t="s">
        <v>581</v>
      </c>
      <c r="KAZ16" s="508" t="s">
        <v>581</v>
      </c>
      <c r="KBA16" s="508" t="s">
        <v>581</v>
      </c>
      <c r="KBB16" s="508" t="s">
        <v>581</v>
      </c>
      <c r="KBC16" s="508" t="s">
        <v>581</v>
      </c>
      <c r="KBD16" s="508" t="s">
        <v>581</v>
      </c>
      <c r="KBE16" s="508" t="s">
        <v>581</v>
      </c>
      <c r="KBF16" s="508" t="s">
        <v>581</v>
      </c>
      <c r="KBG16" s="508" t="s">
        <v>581</v>
      </c>
      <c r="KBH16" s="508" t="s">
        <v>581</v>
      </c>
      <c r="KBI16" s="508" t="s">
        <v>581</v>
      </c>
      <c r="KBJ16" s="508" t="s">
        <v>581</v>
      </c>
      <c r="KBK16" s="508" t="s">
        <v>581</v>
      </c>
      <c r="KBL16" s="508" t="s">
        <v>581</v>
      </c>
      <c r="KBM16" s="508" t="s">
        <v>581</v>
      </c>
      <c r="KBN16" s="508" t="s">
        <v>581</v>
      </c>
      <c r="KBO16" s="508" t="s">
        <v>581</v>
      </c>
      <c r="KBP16" s="508" t="s">
        <v>581</v>
      </c>
      <c r="KBQ16" s="508" t="s">
        <v>581</v>
      </c>
      <c r="KBR16" s="508" t="s">
        <v>581</v>
      </c>
      <c r="KBS16" s="508" t="s">
        <v>581</v>
      </c>
      <c r="KBT16" s="508" t="s">
        <v>581</v>
      </c>
      <c r="KBU16" s="508" t="s">
        <v>581</v>
      </c>
      <c r="KBV16" s="508" t="s">
        <v>581</v>
      </c>
      <c r="KBW16" s="508" t="s">
        <v>581</v>
      </c>
      <c r="KBX16" s="508" t="s">
        <v>581</v>
      </c>
      <c r="KBY16" s="508" t="s">
        <v>581</v>
      </c>
      <c r="KBZ16" s="508" t="s">
        <v>581</v>
      </c>
      <c r="KCA16" s="508" t="s">
        <v>581</v>
      </c>
      <c r="KCB16" s="508" t="s">
        <v>581</v>
      </c>
      <c r="KCC16" s="508" t="s">
        <v>581</v>
      </c>
      <c r="KCD16" s="508" t="s">
        <v>581</v>
      </c>
      <c r="KCE16" s="508" t="s">
        <v>581</v>
      </c>
      <c r="KCF16" s="508" t="s">
        <v>581</v>
      </c>
      <c r="KCG16" s="508" t="s">
        <v>581</v>
      </c>
      <c r="KCH16" s="508" t="s">
        <v>581</v>
      </c>
      <c r="KCI16" s="508" t="s">
        <v>581</v>
      </c>
      <c r="KCJ16" s="508" t="s">
        <v>581</v>
      </c>
      <c r="KCK16" s="508" t="s">
        <v>581</v>
      </c>
      <c r="KCL16" s="508" t="s">
        <v>581</v>
      </c>
      <c r="KCM16" s="508" t="s">
        <v>581</v>
      </c>
      <c r="KCN16" s="508" t="s">
        <v>581</v>
      </c>
      <c r="KCO16" s="508" t="s">
        <v>581</v>
      </c>
      <c r="KCP16" s="508" t="s">
        <v>581</v>
      </c>
      <c r="KCQ16" s="508" t="s">
        <v>581</v>
      </c>
      <c r="KCR16" s="508" t="s">
        <v>581</v>
      </c>
      <c r="KCS16" s="508" t="s">
        <v>581</v>
      </c>
      <c r="KCT16" s="508" t="s">
        <v>581</v>
      </c>
      <c r="KCU16" s="508" t="s">
        <v>581</v>
      </c>
      <c r="KCV16" s="508" t="s">
        <v>581</v>
      </c>
      <c r="KCW16" s="508" t="s">
        <v>581</v>
      </c>
      <c r="KCX16" s="508" t="s">
        <v>581</v>
      </c>
      <c r="KCY16" s="508" t="s">
        <v>581</v>
      </c>
      <c r="KCZ16" s="508" t="s">
        <v>581</v>
      </c>
      <c r="KDA16" s="508" t="s">
        <v>581</v>
      </c>
      <c r="KDB16" s="508" t="s">
        <v>581</v>
      </c>
      <c r="KDC16" s="508" t="s">
        <v>581</v>
      </c>
      <c r="KDD16" s="508" t="s">
        <v>581</v>
      </c>
      <c r="KDE16" s="508" t="s">
        <v>581</v>
      </c>
      <c r="KDF16" s="508" t="s">
        <v>581</v>
      </c>
      <c r="KDG16" s="508" t="s">
        <v>581</v>
      </c>
      <c r="KDH16" s="508" t="s">
        <v>581</v>
      </c>
      <c r="KDI16" s="508" t="s">
        <v>581</v>
      </c>
      <c r="KDJ16" s="508" t="s">
        <v>581</v>
      </c>
      <c r="KDK16" s="508" t="s">
        <v>581</v>
      </c>
      <c r="KDL16" s="508" t="s">
        <v>581</v>
      </c>
      <c r="KDM16" s="508" t="s">
        <v>581</v>
      </c>
      <c r="KDN16" s="508" t="s">
        <v>581</v>
      </c>
      <c r="KDO16" s="508" t="s">
        <v>581</v>
      </c>
      <c r="KDP16" s="508" t="s">
        <v>581</v>
      </c>
      <c r="KDQ16" s="508" t="s">
        <v>581</v>
      </c>
      <c r="KDR16" s="508" t="s">
        <v>581</v>
      </c>
      <c r="KDS16" s="508" t="s">
        <v>581</v>
      </c>
      <c r="KDT16" s="508" t="s">
        <v>581</v>
      </c>
      <c r="KDU16" s="508" t="s">
        <v>581</v>
      </c>
      <c r="KDV16" s="508" t="s">
        <v>581</v>
      </c>
      <c r="KDW16" s="508" t="s">
        <v>581</v>
      </c>
      <c r="KDX16" s="508" t="s">
        <v>581</v>
      </c>
      <c r="KDY16" s="508" t="s">
        <v>581</v>
      </c>
      <c r="KDZ16" s="508" t="s">
        <v>581</v>
      </c>
      <c r="KEA16" s="508" t="s">
        <v>581</v>
      </c>
      <c r="KEB16" s="508" t="s">
        <v>581</v>
      </c>
      <c r="KEC16" s="508" t="s">
        <v>581</v>
      </c>
      <c r="KED16" s="508" t="s">
        <v>581</v>
      </c>
      <c r="KEE16" s="508" t="s">
        <v>581</v>
      </c>
      <c r="KEF16" s="508" t="s">
        <v>581</v>
      </c>
      <c r="KEG16" s="508" t="s">
        <v>581</v>
      </c>
      <c r="KEH16" s="508" t="s">
        <v>581</v>
      </c>
      <c r="KEI16" s="508" t="s">
        <v>581</v>
      </c>
      <c r="KEJ16" s="508" t="s">
        <v>581</v>
      </c>
      <c r="KEK16" s="508" t="s">
        <v>581</v>
      </c>
      <c r="KEL16" s="508" t="s">
        <v>581</v>
      </c>
      <c r="KEM16" s="508" t="s">
        <v>581</v>
      </c>
      <c r="KEN16" s="508" t="s">
        <v>581</v>
      </c>
      <c r="KEO16" s="508" t="s">
        <v>581</v>
      </c>
      <c r="KEP16" s="508" t="s">
        <v>581</v>
      </c>
      <c r="KEQ16" s="508" t="s">
        <v>581</v>
      </c>
      <c r="KER16" s="508" t="s">
        <v>581</v>
      </c>
      <c r="KES16" s="508" t="s">
        <v>581</v>
      </c>
      <c r="KET16" s="508" t="s">
        <v>581</v>
      </c>
      <c r="KEU16" s="508" t="s">
        <v>581</v>
      </c>
      <c r="KEV16" s="508" t="s">
        <v>581</v>
      </c>
      <c r="KEW16" s="508" t="s">
        <v>581</v>
      </c>
      <c r="KEX16" s="508" t="s">
        <v>581</v>
      </c>
      <c r="KEY16" s="508" t="s">
        <v>581</v>
      </c>
      <c r="KEZ16" s="508" t="s">
        <v>581</v>
      </c>
      <c r="KFA16" s="508" t="s">
        <v>581</v>
      </c>
      <c r="KFB16" s="508" t="s">
        <v>581</v>
      </c>
      <c r="KFC16" s="508" t="s">
        <v>581</v>
      </c>
      <c r="KFD16" s="508" t="s">
        <v>581</v>
      </c>
      <c r="KFE16" s="508" t="s">
        <v>581</v>
      </c>
      <c r="KFF16" s="508" t="s">
        <v>581</v>
      </c>
      <c r="KFG16" s="508" t="s">
        <v>581</v>
      </c>
      <c r="KFH16" s="508" t="s">
        <v>581</v>
      </c>
      <c r="KFI16" s="508" t="s">
        <v>581</v>
      </c>
      <c r="KFJ16" s="508" t="s">
        <v>581</v>
      </c>
      <c r="KFK16" s="508" t="s">
        <v>581</v>
      </c>
      <c r="KFL16" s="508" t="s">
        <v>581</v>
      </c>
      <c r="KFM16" s="508" t="s">
        <v>581</v>
      </c>
      <c r="KFN16" s="508" t="s">
        <v>581</v>
      </c>
      <c r="KFO16" s="508" t="s">
        <v>581</v>
      </c>
      <c r="KFP16" s="508" t="s">
        <v>581</v>
      </c>
      <c r="KFQ16" s="508" t="s">
        <v>581</v>
      </c>
      <c r="KFR16" s="508" t="s">
        <v>581</v>
      </c>
      <c r="KFS16" s="508" t="s">
        <v>581</v>
      </c>
      <c r="KFT16" s="508" t="s">
        <v>581</v>
      </c>
      <c r="KFU16" s="508" t="s">
        <v>581</v>
      </c>
      <c r="KFV16" s="508" t="s">
        <v>581</v>
      </c>
      <c r="KFW16" s="508" t="s">
        <v>581</v>
      </c>
      <c r="KFX16" s="508" t="s">
        <v>581</v>
      </c>
      <c r="KFY16" s="508" t="s">
        <v>581</v>
      </c>
      <c r="KFZ16" s="508" t="s">
        <v>581</v>
      </c>
      <c r="KGA16" s="508" t="s">
        <v>581</v>
      </c>
      <c r="KGB16" s="508" t="s">
        <v>581</v>
      </c>
      <c r="KGC16" s="508" t="s">
        <v>581</v>
      </c>
      <c r="KGD16" s="508" t="s">
        <v>581</v>
      </c>
      <c r="KGE16" s="508" t="s">
        <v>581</v>
      </c>
      <c r="KGF16" s="508" t="s">
        <v>581</v>
      </c>
      <c r="KGG16" s="508" t="s">
        <v>581</v>
      </c>
      <c r="KGH16" s="508" t="s">
        <v>581</v>
      </c>
      <c r="KGI16" s="508" t="s">
        <v>581</v>
      </c>
      <c r="KGJ16" s="508" t="s">
        <v>581</v>
      </c>
      <c r="KGK16" s="508" t="s">
        <v>581</v>
      </c>
      <c r="KGL16" s="508" t="s">
        <v>581</v>
      </c>
      <c r="KGM16" s="508" t="s">
        <v>581</v>
      </c>
      <c r="KGN16" s="508" t="s">
        <v>581</v>
      </c>
      <c r="KGO16" s="508" t="s">
        <v>581</v>
      </c>
      <c r="KGP16" s="508" t="s">
        <v>581</v>
      </c>
      <c r="KGQ16" s="508" t="s">
        <v>581</v>
      </c>
      <c r="KGR16" s="508" t="s">
        <v>581</v>
      </c>
      <c r="KGS16" s="508" t="s">
        <v>581</v>
      </c>
      <c r="KGT16" s="508" t="s">
        <v>581</v>
      </c>
      <c r="KGU16" s="508" t="s">
        <v>581</v>
      </c>
      <c r="KGV16" s="508" t="s">
        <v>581</v>
      </c>
      <c r="KGW16" s="508" t="s">
        <v>581</v>
      </c>
      <c r="KGX16" s="508" t="s">
        <v>581</v>
      </c>
      <c r="KGY16" s="508" t="s">
        <v>581</v>
      </c>
      <c r="KGZ16" s="508" t="s">
        <v>581</v>
      </c>
      <c r="KHA16" s="508" t="s">
        <v>581</v>
      </c>
      <c r="KHB16" s="508" t="s">
        <v>581</v>
      </c>
      <c r="KHC16" s="508" t="s">
        <v>581</v>
      </c>
      <c r="KHD16" s="508" t="s">
        <v>581</v>
      </c>
      <c r="KHE16" s="508" t="s">
        <v>581</v>
      </c>
      <c r="KHF16" s="508" t="s">
        <v>581</v>
      </c>
      <c r="KHG16" s="508" t="s">
        <v>581</v>
      </c>
      <c r="KHH16" s="508" t="s">
        <v>581</v>
      </c>
      <c r="KHI16" s="508" t="s">
        <v>581</v>
      </c>
      <c r="KHJ16" s="508" t="s">
        <v>581</v>
      </c>
      <c r="KHK16" s="508" t="s">
        <v>581</v>
      </c>
      <c r="KHL16" s="508" t="s">
        <v>581</v>
      </c>
      <c r="KHM16" s="508" t="s">
        <v>581</v>
      </c>
      <c r="KHN16" s="508" t="s">
        <v>581</v>
      </c>
      <c r="KHO16" s="508" t="s">
        <v>581</v>
      </c>
      <c r="KHP16" s="508" t="s">
        <v>581</v>
      </c>
      <c r="KHQ16" s="508" t="s">
        <v>581</v>
      </c>
      <c r="KHR16" s="508" t="s">
        <v>581</v>
      </c>
      <c r="KHS16" s="508" t="s">
        <v>581</v>
      </c>
      <c r="KHT16" s="508" t="s">
        <v>581</v>
      </c>
      <c r="KHU16" s="508" t="s">
        <v>581</v>
      </c>
      <c r="KHV16" s="508" t="s">
        <v>581</v>
      </c>
      <c r="KHW16" s="508" t="s">
        <v>581</v>
      </c>
      <c r="KHX16" s="508" t="s">
        <v>581</v>
      </c>
      <c r="KHY16" s="508" t="s">
        <v>581</v>
      </c>
      <c r="KHZ16" s="508" t="s">
        <v>581</v>
      </c>
      <c r="KIA16" s="508" t="s">
        <v>581</v>
      </c>
      <c r="KIB16" s="508" t="s">
        <v>581</v>
      </c>
      <c r="KIC16" s="508" t="s">
        <v>581</v>
      </c>
      <c r="KID16" s="508" t="s">
        <v>581</v>
      </c>
      <c r="KIE16" s="508" t="s">
        <v>581</v>
      </c>
      <c r="KIF16" s="508" t="s">
        <v>581</v>
      </c>
      <c r="KIG16" s="508" t="s">
        <v>581</v>
      </c>
      <c r="KIH16" s="508" t="s">
        <v>581</v>
      </c>
      <c r="KII16" s="508" t="s">
        <v>581</v>
      </c>
      <c r="KIJ16" s="508" t="s">
        <v>581</v>
      </c>
      <c r="KIK16" s="508" t="s">
        <v>581</v>
      </c>
      <c r="KIL16" s="508" t="s">
        <v>581</v>
      </c>
      <c r="KIM16" s="508" t="s">
        <v>581</v>
      </c>
      <c r="KIN16" s="508" t="s">
        <v>581</v>
      </c>
      <c r="KIO16" s="508" t="s">
        <v>581</v>
      </c>
      <c r="KIP16" s="508" t="s">
        <v>581</v>
      </c>
      <c r="KIQ16" s="508" t="s">
        <v>581</v>
      </c>
      <c r="KIR16" s="508" t="s">
        <v>581</v>
      </c>
      <c r="KIS16" s="508" t="s">
        <v>581</v>
      </c>
      <c r="KIT16" s="508" t="s">
        <v>581</v>
      </c>
      <c r="KIU16" s="508" t="s">
        <v>581</v>
      </c>
      <c r="KIV16" s="508" t="s">
        <v>581</v>
      </c>
      <c r="KIW16" s="508" t="s">
        <v>581</v>
      </c>
      <c r="KIX16" s="508" t="s">
        <v>581</v>
      </c>
      <c r="KIY16" s="508" t="s">
        <v>581</v>
      </c>
      <c r="KIZ16" s="508" t="s">
        <v>581</v>
      </c>
      <c r="KJA16" s="508" t="s">
        <v>581</v>
      </c>
      <c r="KJB16" s="508" t="s">
        <v>581</v>
      </c>
      <c r="KJC16" s="508" t="s">
        <v>581</v>
      </c>
      <c r="KJD16" s="508" t="s">
        <v>581</v>
      </c>
      <c r="KJE16" s="508" t="s">
        <v>581</v>
      </c>
      <c r="KJF16" s="508" t="s">
        <v>581</v>
      </c>
      <c r="KJG16" s="508" t="s">
        <v>581</v>
      </c>
      <c r="KJH16" s="508" t="s">
        <v>581</v>
      </c>
      <c r="KJI16" s="508" t="s">
        <v>581</v>
      </c>
      <c r="KJJ16" s="508" t="s">
        <v>581</v>
      </c>
      <c r="KJK16" s="508" t="s">
        <v>581</v>
      </c>
      <c r="KJL16" s="508" t="s">
        <v>581</v>
      </c>
      <c r="KJM16" s="508" t="s">
        <v>581</v>
      </c>
      <c r="KJN16" s="508" t="s">
        <v>581</v>
      </c>
      <c r="KJO16" s="508" t="s">
        <v>581</v>
      </c>
      <c r="KJP16" s="508" t="s">
        <v>581</v>
      </c>
      <c r="KJQ16" s="508" t="s">
        <v>581</v>
      </c>
      <c r="KJR16" s="508" t="s">
        <v>581</v>
      </c>
      <c r="KJS16" s="508" t="s">
        <v>581</v>
      </c>
      <c r="KJT16" s="508" t="s">
        <v>581</v>
      </c>
      <c r="KJU16" s="508" t="s">
        <v>581</v>
      </c>
      <c r="KJV16" s="508" t="s">
        <v>581</v>
      </c>
      <c r="KJW16" s="508" t="s">
        <v>581</v>
      </c>
      <c r="KJX16" s="508" t="s">
        <v>581</v>
      </c>
      <c r="KJY16" s="508" t="s">
        <v>581</v>
      </c>
      <c r="KJZ16" s="508" t="s">
        <v>581</v>
      </c>
      <c r="KKA16" s="508" t="s">
        <v>581</v>
      </c>
      <c r="KKB16" s="508" t="s">
        <v>581</v>
      </c>
      <c r="KKC16" s="508" t="s">
        <v>581</v>
      </c>
      <c r="KKD16" s="508" t="s">
        <v>581</v>
      </c>
      <c r="KKE16" s="508" t="s">
        <v>581</v>
      </c>
      <c r="KKF16" s="508" t="s">
        <v>581</v>
      </c>
      <c r="KKG16" s="508" t="s">
        <v>581</v>
      </c>
      <c r="KKH16" s="508" t="s">
        <v>581</v>
      </c>
      <c r="KKI16" s="508" t="s">
        <v>581</v>
      </c>
      <c r="KKJ16" s="508" t="s">
        <v>581</v>
      </c>
      <c r="KKK16" s="508" t="s">
        <v>581</v>
      </c>
      <c r="KKL16" s="508" t="s">
        <v>581</v>
      </c>
      <c r="KKM16" s="508" t="s">
        <v>581</v>
      </c>
      <c r="KKN16" s="508" t="s">
        <v>581</v>
      </c>
      <c r="KKO16" s="508" t="s">
        <v>581</v>
      </c>
      <c r="KKP16" s="508" t="s">
        <v>581</v>
      </c>
      <c r="KKQ16" s="508" t="s">
        <v>581</v>
      </c>
      <c r="KKR16" s="508" t="s">
        <v>581</v>
      </c>
      <c r="KKS16" s="508" t="s">
        <v>581</v>
      </c>
      <c r="KKT16" s="508" t="s">
        <v>581</v>
      </c>
      <c r="KKU16" s="508" t="s">
        <v>581</v>
      </c>
      <c r="KKV16" s="508" t="s">
        <v>581</v>
      </c>
      <c r="KKW16" s="508" t="s">
        <v>581</v>
      </c>
      <c r="KKX16" s="508" t="s">
        <v>581</v>
      </c>
      <c r="KKY16" s="508" t="s">
        <v>581</v>
      </c>
      <c r="KKZ16" s="508" t="s">
        <v>581</v>
      </c>
      <c r="KLA16" s="508" t="s">
        <v>581</v>
      </c>
      <c r="KLB16" s="508" t="s">
        <v>581</v>
      </c>
      <c r="KLC16" s="508" t="s">
        <v>581</v>
      </c>
      <c r="KLD16" s="508" t="s">
        <v>581</v>
      </c>
      <c r="KLE16" s="508" t="s">
        <v>581</v>
      </c>
      <c r="KLF16" s="508" t="s">
        <v>581</v>
      </c>
      <c r="KLG16" s="508" t="s">
        <v>581</v>
      </c>
      <c r="KLH16" s="508" t="s">
        <v>581</v>
      </c>
      <c r="KLI16" s="508" t="s">
        <v>581</v>
      </c>
      <c r="KLJ16" s="508" t="s">
        <v>581</v>
      </c>
      <c r="KLK16" s="508" t="s">
        <v>581</v>
      </c>
      <c r="KLL16" s="508" t="s">
        <v>581</v>
      </c>
      <c r="KLM16" s="508" t="s">
        <v>581</v>
      </c>
      <c r="KLN16" s="508" t="s">
        <v>581</v>
      </c>
      <c r="KLO16" s="508" t="s">
        <v>581</v>
      </c>
      <c r="KLP16" s="508" t="s">
        <v>581</v>
      </c>
      <c r="KLQ16" s="508" t="s">
        <v>581</v>
      </c>
      <c r="KLR16" s="508" t="s">
        <v>581</v>
      </c>
      <c r="KLS16" s="508" t="s">
        <v>581</v>
      </c>
      <c r="KLT16" s="508" t="s">
        <v>581</v>
      </c>
      <c r="KLU16" s="508" t="s">
        <v>581</v>
      </c>
      <c r="KLV16" s="508" t="s">
        <v>581</v>
      </c>
      <c r="KLW16" s="508" t="s">
        <v>581</v>
      </c>
      <c r="KLX16" s="508" t="s">
        <v>581</v>
      </c>
      <c r="KLY16" s="508" t="s">
        <v>581</v>
      </c>
      <c r="KLZ16" s="508" t="s">
        <v>581</v>
      </c>
      <c r="KMA16" s="508" t="s">
        <v>581</v>
      </c>
      <c r="KMB16" s="508" t="s">
        <v>581</v>
      </c>
      <c r="KMC16" s="508" t="s">
        <v>581</v>
      </c>
      <c r="KMD16" s="508" t="s">
        <v>581</v>
      </c>
      <c r="KME16" s="508" t="s">
        <v>581</v>
      </c>
      <c r="KMF16" s="508" t="s">
        <v>581</v>
      </c>
      <c r="KMG16" s="508" t="s">
        <v>581</v>
      </c>
      <c r="KMH16" s="508" t="s">
        <v>581</v>
      </c>
      <c r="KMI16" s="508" t="s">
        <v>581</v>
      </c>
      <c r="KMJ16" s="508" t="s">
        <v>581</v>
      </c>
      <c r="KMK16" s="508" t="s">
        <v>581</v>
      </c>
      <c r="KML16" s="508" t="s">
        <v>581</v>
      </c>
      <c r="KMM16" s="508" t="s">
        <v>581</v>
      </c>
      <c r="KMN16" s="508" t="s">
        <v>581</v>
      </c>
      <c r="KMO16" s="508" t="s">
        <v>581</v>
      </c>
      <c r="KMP16" s="508" t="s">
        <v>581</v>
      </c>
      <c r="KMQ16" s="508" t="s">
        <v>581</v>
      </c>
      <c r="KMR16" s="508" t="s">
        <v>581</v>
      </c>
      <c r="KMS16" s="508" t="s">
        <v>581</v>
      </c>
      <c r="KMT16" s="508" t="s">
        <v>581</v>
      </c>
      <c r="KMU16" s="508" t="s">
        <v>581</v>
      </c>
      <c r="KMV16" s="508" t="s">
        <v>581</v>
      </c>
      <c r="KMW16" s="508" t="s">
        <v>581</v>
      </c>
      <c r="KMX16" s="508" t="s">
        <v>581</v>
      </c>
      <c r="KMY16" s="508" t="s">
        <v>581</v>
      </c>
      <c r="KMZ16" s="508" t="s">
        <v>581</v>
      </c>
      <c r="KNA16" s="508" t="s">
        <v>581</v>
      </c>
      <c r="KNB16" s="508" t="s">
        <v>581</v>
      </c>
      <c r="KNC16" s="508" t="s">
        <v>581</v>
      </c>
      <c r="KND16" s="508" t="s">
        <v>581</v>
      </c>
      <c r="KNE16" s="508" t="s">
        <v>581</v>
      </c>
      <c r="KNF16" s="508" t="s">
        <v>581</v>
      </c>
      <c r="KNG16" s="508" t="s">
        <v>581</v>
      </c>
      <c r="KNH16" s="508" t="s">
        <v>581</v>
      </c>
      <c r="KNI16" s="508" t="s">
        <v>581</v>
      </c>
      <c r="KNJ16" s="508" t="s">
        <v>581</v>
      </c>
      <c r="KNK16" s="508" t="s">
        <v>581</v>
      </c>
      <c r="KNL16" s="508" t="s">
        <v>581</v>
      </c>
      <c r="KNM16" s="508" t="s">
        <v>581</v>
      </c>
      <c r="KNN16" s="508" t="s">
        <v>581</v>
      </c>
      <c r="KNO16" s="508" t="s">
        <v>581</v>
      </c>
      <c r="KNP16" s="508" t="s">
        <v>581</v>
      </c>
      <c r="KNQ16" s="508" t="s">
        <v>581</v>
      </c>
      <c r="KNR16" s="508" t="s">
        <v>581</v>
      </c>
      <c r="KNS16" s="508" t="s">
        <v>581</v>
      </c>
      <c r="KNT16" s="508" t="s">
        <v>581</v>
      </c>
      <c r="KNU16" s="508" t="s">
        <v>581</v>
      </c>
      <c r="KNV16" s="508" t="s">
        <v>581</v>
      </c>
      <c r="KNW16" s="508" t="s">
        <v>581</v>
      </c>
      <c r="KNX16" s="508" t="s">
        <v>581</v>
      </c>
      <c r="KNY16" s="508" t="s">
        <v>581</v>
      </c>
      <c r="KNZ16" s="508" t="s">
        <v>581</v>
      </c>
      <c r="KOA16" s="508" t="s">
        <v>581</v>
      </c>
      <c r="KOB16" s="508" t="s">
        <v>581</v>
      </c>
      <c r="KOC16" s="508" t="s">
        <v>581</v>
      </c>
      <c r="KOD16" s="508" t="s">
        <v>581</v>
      </c>
      <c r="KOE16" s="508" t="s">
        <v>581</v>
      </c>
      <c r="KOF16" s="508" t="s">
        <v>581</v>
      </c>
      <c r="KOG16" s="508" t="s">
        <v>581</v>
      </c>
      <c r="KOH16" s="508" t="s">
        <v>581</v>
      </c>
      <c r="KOI16" s="508" t="s">
        <v>581</v>
      </c>
      <c r="KOJ16" s="508" t="s">
        <v>581</v>
      </c>
      <c r="KOK16" s="508" t="s">
        <v>581</v>
      </c>
      <c r="KOL16" s="508" t="s">
        <v>581</v>
      </c>
      <c r="KOM16" s="508" t="s">
        <v>581</v>
      </c>
      <c r="KON16" s="508" t="s">
        <v>581</v>
      </c>
      <c r="KOO16" s="508" t="s">
        <v>581</v>
      </c>
      <c r="KOP16" s="508" t="s">
        <v>581</v>
      </c>
      <c r="KOQ16" s="508" t="s">
        <v>581</v>
      </c>
      <c r="KOR16" s="508" t="s">
        <v>581</v>
      </c>
      <c r="KOS16" s="508" t="s">
        <v>581</v>
      </c>
      <c r="KOT16" s="508" t="s">
        <v>581</v>
      </c>
      <c r="KOU16" s="508" t="s">
        <v>581</v>
      </c>
      <c r="KOV16" s="508" t="s">
        <v>581</v>
      </c>
      <c r="KOW16" s="508" t="s">
        <v>581</v>
      </c>
      <c r="KOX16" s="508" t="s">
        <v>581</v>
      </c>
      <c r="KOY16" s="508" t="s">
        <v>581</v>
      </c>
      <c r="KOZ16" s="508" t="s">
        <v>581</v>
      </c>
      <c r="KPA16" s="508" t="s">
        <v>581</v>
      </c>
      <c r="KPB16" s="508" t="s">
        <v>581</v>
      </c>
      <c r="KPC16" s="508" t="s">
        <v>581</v>
      </c>
      <c r="KPD16" s="508" t="s">
        <v>581</v>
      </c>
      <c r="KPE16" s="508" t="s">
        <v>581</v>
      </c>
      <c r="KPF16" s="508" t="s">
        <v>581</v>
      </c>
      <c r="KPG16" s="508" t="s">
        <v>581</v>
      </c>
      <c r="KPH16" s="508" t="s">
        <v>581</v>
      </c>
      <c r="KPI16" s="508" t="s">
        <v>581</v>
      </c>
      <c r="KPJ16" s="508" t="s">
        <v>581</v>
      </c>
      <c r="KPK16" s="508" t="s">
        <v>581</v>
      </c>
      <c r="KPL16" s="508" t="s">
        <v>581</v>
      </c>
      <c r="KPM16" s="508" t="s">
        <v>581</v>
      </c>
      <c r="KPN16" s="508" t="s">
        <v>581</v>
      </c>
      <c r="KPO16" s="508" t="s">
        <v>581</v>
      </c>
      <c r="KPP16" s="508" t="s">
        <v>581</v>
      </c>
      <c r="KPQ16" s="508" t="s">
        <v>581</v>
      </c>
      <c r="KPR16" s="508" t="s">
        <v>581</v>
      </c>
      <c r="KPS16" s="508" t="s">
        <v>581</v>
      </c>
      <c r="KPT16" s="508" t="s">
        <v>581</v>
      </c>
      <c r="KPU16" s="508" t="s">
        <v>581</v>
      </c>
      <c r="KPV16" s="508" t="s">
        <v>581</v>
      </c>
      <c r="KPW16" s="508" t="s">
        <v>581</v>
      </c>
      <c r="KPX16" s="508" t="s">
        <v>581</v>
      </c>
      <c r="KPY16" s="508" t="s">
        <v>581</v>
      </c>
      <c r="KPZ16" s="508" t="s">
        <v>581</v>
      </c>
      <c r="KQA16" s="508" t="s">
        <v>581</v>
      </c>
      <c r="KQB16" s="508" t="s">
        <v>581</v>
      </c>
      <c r="KQC16" s="508" t="s">
        <v>581</v>
      </c>
      <c r="KQD16" s="508" t="s">
        <v>581</v>
      </c>
      <c r="KQE16" s="508" t="s">
        <v>581</v>
      </c>
      <c r="KQF16" s="508" t="s">
        <v>581</v>
      </c>
      <c r="KQG16" s="508" t="s">
        <v>581</v>
      </c>
      <c r="KQH16" s="508" t="s">
        <v>581</v>
      </c>
      <c r="KQI16" s="508" t="s">
        <v>581</v>
      </c>
      <c r="KQJ16" s="508" t="s">
        <v>581</v>
      </c>
      <c r="KQK16" s="508" t="s">
        <v>581</v>
      </c>
      <c r="KQL16" s="508" t="s">
        <v>581</v>
      </c>
      <c r="KQM16" s="508" t="s">
        <v>581</v>
      </c>
      <c r="KQN16" s="508" t="s">
        <v>581</v>
      </c>
      <c r="KQO16" s="508" t="s">
        <v>581</v>
      </c>
      <c r="KQP16" s="508" t="s">
        <v>581</v>
      </c>
      <c r="KQQ16" s="508" t="s">
        <v>581</v>
      </c>
      <c r="KQR16" s="508" t="s">
        <v>581</v>
      </c>
      <c r="KQS16" s="508" t="s">
        <v>581</v>
      </c>
      <c r="KQT16" s="508" t="s">
        <v>581</v>
      </c>
      <c r="KQU16" s="508" t="s">
        <v>581</v>
      </c>
      <c r="KQV16" s="508" t="s">
        <v>581</v>
      </c>
      <c r="KQW16" s="508" t="s">
        <v>581</v>
      </c>
      <c r="KQX16" s="508" t="s">
        <v>581</v>
      </c>
      <c r="KQY16" s="508" t="s">
        <v>581</v>
      </c>
      <c r="KQZ16" s="508" t="s">
        <v>581</v>
      </c>
      <c r="KRA16" s="508" t="s">
        <v>581</v>
      </c>
      <c r="KRB16" s="508" t="s">
        <v>581</v>
      </c>
      <c r="KRC16" s="508" t="s">
        <v>581</v>
      </c>
      <c r="KRD16" s="508" t="s">
        <v>581</v>
      </c>
      <c r="KRE16" s="508" t="s">
        <v>581</v>
      </c>
      <c r="KRF16" s="508" t="s">
        <v>581</v>
      </c>
      <c r="KRG16" s="508" t="s">
        <v>581</v>
      </c>
      <c r="KRH16" s="508" t="s">
        <v>581</v>
      </c>
      <c r="KRI16" s="508" t="s">
        <v>581</v>
      </c>
      <c r="KRJ16" s="508" t="s">
        <v>581</v>
      </c>
      <c r="KRK16" s="508" t="s">
        <v>581</v>
      </c>
      <c r="KRL16" s="508" t="s">
        <v>581</v>
      </c>
      <c r="KRM16" s="508" t="s">
        <v>581</v>
      </c>
      <c r="KRN16" s="508" t="s">
        <v>581</v>
      </c>
      <c r="KRO16" s="508" t="s">
        <v>581</v>
      </c>
      <c r="KRP16" s="508" t="s">
        <v>581</v>
      </c>
      <c r="KRQ16" s="508" t="s">
        <v>581</v>
      </c>
      <c r="KRR16" s="508" t="s">
        <v>581</v>
      </c>
      <c r="KRS16" s="508" t="s">
        <v>581</v>
      </c>
      <c r="KRT16" s="508" t="s">
        <v>581</v>
      </c>
      <c r="KRU16" s="508" t="s">
        <v>581</v>
      </c>
      <c r="KRV16" s="508" t="s">
        <v>581</v>
      </c>
      <c r="KRW16" s="508" t="s">
        <v>581</v>
      </c>
      <c r="KRX16" s="508" t="s">
        <v>581</v>
      </c>
      <c r="KRY16" s="508" t="s">
        <v>581</v>
      </c>
      <c r="KRZ16" s="508" t="s">
        <v>581</v>
      </c>
      <c r="KSA16" s="508" t="s">
        <v>581</v>
      </c>
      <c r="KSB16" s="508" t="s">
        <v>581</v>
      </c>
      <c r="KSC16" s="508" t="s">
        <v>581</v>
      </c>
      <c r="KSD16" s="508" t="s">
        <v>581</v>
      </c>
      <c r="KSE16" s="508" t="s">
        <v>581</v>
      </c>
      <c r="KSF16" s="508" t="s">
        <v>581</v>
      </c>
      <c r="KSG16" s="508" t="s">
        <v>581</v>
      </c>
      <c r="KSH16" s="508" t="s">
        <v>581</v>
      </c>
      <c r="KSI16" s="508" t="s">
        <v>581</v>
      </c>
      <c r="KSJ16" s="508" t="s">
        <v>581</v>
      </c>
      <c r="KSK16" s="508" t="s">
        <v>581</v>
      </c>
      <c r="KSL16" s="508" t="s">
        <v>581</v>
      </c>
      <c r="KSM16" s="508" t="s">
        <v>581</v>
      </c>
      <c r="KSN16" s="508" t="s">
        <v>581</v>
      </c>
      <c r="KSO16" s="508" t="s">
        <v>581</v>
      </c>
      <c r="KSP16" s="508" t="s">
        <v>581</v>
      </c>
      <c r="KSQ16" s="508" t="s">
        <v>581</v>
      </c>
      <c r="KSR16" s="508" t="s">
        <v>581</v>
      </c>
      <c r="KSS16" s="508" t="s">
        <v>581</v>
      </c>
      <c r="KST16" s="508" t="s">
        <v>581</v>
      </c>
      <c r="KSU16" s="508" t="s">
        <v>581</v>
      </c>
      <c r="KSV16" s="508" t="s">
        <v>581</v>
      </c>
      <c r="KSW16" s="508" t="s">
        <v>581</v>
      </c>
      <c r="KSX16" s="508" t="s">
        <v>581</v>
      </c>
      <c r="KSY16" s="508" t="s">
        <v>581</v>
      </c>
      <c r="KSZ16" s="508" t="s">
        <v>581</v>
      </c>
      <c r="KTA16" s="508" t="s">
        <v>581</v>
      </c>
      <c r="KTB16" s="508" t="s">
        <v>581</v>
      </c>
      <c r="KTC16" s="508" t="s">
        <v>581</v>
      </c>
      <c r="KTD16" s="508" t="s">
        <v>581</v>
      </c>
      <c r="KTE16" s="508" t="s">
        <v>581</v>
      </c>
      <c r="KTF16" s="508" t="s">
        <v>581</v>
      </c>
      <c r="KTG16" s="508" t="s">
        <v>581</v>
      </c>
      <c r="KTH16" s="508" t="s">
        <v>581</v>
      </c>
      <c r="KTI16" s="508" t="s">
        <v>581</v>
      </c>
      <c r="KTJ16" s="508" t="s">
        <v>581</v>
      </c>
      <c r="KTK16" s="508" t="s">
        <v>581</v>
      </c>
      <c r="KTL16" s="508" t="s">
        <v>581</v>
      </c>
      <c r="KTM16" s="508" t="s">
        <v>581</v>
      </c>
      <c r="KTN16" s="508" t="s">
        <v>581</v>
      </c>
      <c r="KTO16" s="508" t="s">
        <v>581</v>
      </c>
      <c r="KTP16" s="508" t="s">
        <v>581</v>
      </c>
      <c r="KTQ16" s="508" t="s">
        <v>581</v>
      </c>
      <c r="KTR16" s="508" t="s">
        <v>581</v>
      </c>
      <c r="KTS16" s="508" t="s">
        <v>581</v>
      </c>
      <c r="KTT16" s="508" t="s">
        <v>581</v>
      </c>
      <c r="KTU16" s="508" t="s">
        <v>581</v>
      </c>
      <c r="KTV16" s="508" t="s">
        <v>581</v>
      </c>
      <c r="KTW16" s="508" t="s">
        <v>581</v>
      </c>
      <c r="KTX16" s="508" t="s">
        <v>581</v>
      </c>
      <c r="KTY16" s="508" t="s">
        <v>581</v>
      </c>
      <c r="KTZ16" s="508" t="s">
        <v>581</v>
      </c>
      <c r="KUA16" s="508" t="s">
        <v>581</v>
      </c>
      <c r="KUB16" s="508" t="s">
        <v>581</v>
      </c>
      <c r="KUC16" s="508" t="s">
        <v>581</v>
      </c>
      <c r="KUD16" s="508" t="s">
        <v>581</v>
      </c>
      <c r="KUE16" s="508" t="s">
        <v>581</v>
      </c>
      <c r="KUF16" s="508" t="s">
        <v>581</v>
      </c>
      <c r="KUG16" s="508" t="s">
        <v>581</v>
      </c>
      <c r="KUH16" s="508" t="s">
        <v>581</v>
      </c>
      <c r="KUI16" s="508" t="s">
        <v>581</v>
      </c>
      <c r="KUJ16" s="508" t="s">
        <v>581</v>
      </c>
      <c r="KUK16" s="508" t="s">
        <v>581</v>
      </c>
      <c r="KUL16" s="508" t="s">
        <v>581</v>
      </c>
      <c r="KUM16" s="508" t="s">
        <v>581</v>
      </c>
      <c r="KUN16" s="508" t="s">
        <v>581</v>
      </c>
      <c r="KUO16" s="508" t="s">
        <v>581</v>
      </c>
      <c r="KUP16" s="508" t="s">
        <v>581</v>
      </c>
      <c r="KUQ16" s="508" t="s">
        <v>581</v>
      </c>
      <c r="KUR16" s="508" t="s">
        <v>581</v>
      </c>
      <c r="KUS16" s="508" t="s">
        <v>581</v>
      </c>
      <c r="KUT16" s="508" t="s">
        <v>581</v>
      </c>
      <c r="KUU16" s="508" t="s">
        <v>581</v>
      </c>
      <c r="KUV16" s="508" t="s">
        <v>581</v>
      </c>
      <c r="KUW16" s="508" t="s">
        <v>581</v>
      </c>
      <c r="KUX16" s="508" t="s">
        <v>581</v>
      </c>
      <c r="KUY16" s="508" t="s">
        <v>581</v>
      </c>
      <c r="KUZ16" s="508" t="s">
        <v>581</v>
      </c>
      <c r="KVA16" s="508" t="s">
        <v>581</v>
      </c>
      <c r="KVB16" s="508" t="s">
        <v>581</v>
      </c>
      <c r="KVC16" s="508" t="s">
        <v>581</v>
      </c>
      <c r="KVD16" s="508" t="s">
        <v>581</v>
      </c>
      <c r="KVE16" s="508" t="s">
        <v>581</v>
      </c>
      <c r="KVF16" s="508" t="s">
        <v>581</v>
      </c>
      <c r="KVG16" s="508" t="s">
        <v>581</v>
      </c>
      <c r="KVH16" s="508" t="s">
        <v>581</v>
      </c>
      <c r="KVI16" s="508" t="s">
        <v>581</v>
      </c>
      <c r="KVJ16" s="508" t="s">
        <v>581</v>
      </c>
      <c r="KVK16" s="508" t="s">
        <v>581</v>
      </c>
      <c r="KVL16" s="508" t="s">
        <v>581</v>
      </c>
      <c r="KVM16" s="508" t="s">
        <v>581</v>
      </c>
      <c r="KVN16" s="508" t="s">
        <v>581</v>
      </c>
      <c r="KVO16" s="508" t="s">
        <v>581</v>
      </c>
      <c r="KVP16" s="508" t="s">
        <v>581</v>
      </c>
      <c r="KVQ16" s="508" t="s">
        <v>581</v>
      </c>
      <c r="KVR16" s="508" t="s">
        <v>581</v>
      </c>
      <c r="KVS16" s="508" t="s">
        <v>581</v>
      </c>
      <c r="KVT16" s="508" t="s">
        <v>581</v>
      </c>
      <c r="KVU16" s="508" t="s">
        <v>581</v>
      </c>
      <c r="KVV16" s="508" t="s">
        <v>581</v>
      </c>
      <c r="KVW16" s="508" t="s">
        <v>581</v>
      </c>
      <c r="KVX16" s="508" t="s">
        <v>581</v>
      </c>
      <c r="KVY16" s="508" t="s">
        <v>581</v>
      </c>
      <c r="KVZ16" s="508" t="s">
        <v>581</v>
      </c>
      <c r="KWA16" s="508" t="s">
        <v>581</v>
      </c>
      <c r="KWB16" s="508" t="s">
        <v>581</v>
      </c>
      <c r="KWC16" s="508" t="s">
        <v>581</v>
      </c>
      <c r="KWD16" s="508" t="s">
        <v>581</v>
      </c>
      <c r="KWE16" s="508" t="s">
        <v>581</v>
      </c>
      <c r="KWF16" s="508" t="s">
        <v>581</v>
      </c>
      <c r="KWG16" s="508" t="s">
        <v>581</v>
      </c>
      <c r="KWH16" s="508" t="s">
        <v>581</v>
      </c>
      <c r="KWI16" s="508" t="s">
        <v>581</v>
      </c>
      <c r="KWJ16" s="508" t="s">
        <v>581</v>
      </c>
      <c r="KWK16" s="508" t="s">
        <v>581</v>
      </c>
      <c r="KWL16" s="508" t="s">
        <v>581</v>
      </c>
      <c r="KWM16" s="508" t="s">
        <v>581</v>
      </c>
      <c r="KWN16" s="508" t="s">
        <v>581</v>
      </c>
      <c r="KWO16" s="508" t="s">
        <v>581</v>
      </c>
      <c r="KWP16" s="508" t="s">
        <v>581</v>
      </c>
      <c r="KWQ16" s="508" t="s">
        <v>581</v>
      </c>
      <c r="KWR16" s="508" t="s">
        <v>581</v>
      </c>
      <c r="KWS16" s="508" t="s">
        <v>581</v>
      </c>
      <c r="KWT16" s="508" t="s">
        <v>581</v>
      </c>
      <c r="KWU16" s="508" t="s">
        <v>581</v>
      </c>
      <c r="KWV16" s="508" t="s">
        <v>581</v>
      </c>
      <c r="KWW16" s="508" t="s">
        <v>581</v>
      </c>
      <c r="KWX16" s="508" t="s">
        <v>581</v>
      </c>
      <c r="KWY16" s="508" t="s">
        <v>581</v>
      </c>
      <c r="KWZ16" s="508" t="s">
        <v>581</v>
      </c>
      <c r="KXA16" s="508" t="s">
        <v>581</v>
      </c>
      <c r="KXB16" s="508" t="s">
        <v>581</v>
      </c>
      <c r="KXC16" s="508" t="s">
        <v>581</v>
      </c>
      <c r="KXD16" s="508" t="s">
        <v>581</v>
      </c>
      <c r="KXE16" s="508" t="s">
        <v>581</v>
      </c>
      <c r="KXF16" s="508" t="s">
        <v>581</v>
      </c>
      <c r="KXG16" s="508" t="s">
        <v>581</v>
      </c>
      <c r="KXH16" s="508" t="s">
        <v>581</v>
      </c>
      <c r="KXI16" s="508" t="s">
        <v>581</v>
      </c>
      <c r="KXJ16" s="508" t="s">
        <v>581</v>
      </c>
      <c r="KXK16" s="508" t="s">
        <v>581</v>
      </c>
      <c r="KXL16" s="508" t="s">
        <v>581</v>
      </c>
      <c r="KXM16" s="508" t="s">
        <v>581</v>
      </c>
      <c r="KXN16" s="508" t="s">
        <v>581</v>
      </c>
      <c r="KXO16" s="508" t="s">
        <v>581</v>
      </c>
      <c r="KXP16" s="508" t="s">
        <v>581</v>
      </c>
      <c r="KXQ16" s="508" t="s">
        <v>581</v>
      </c>
      <c r="KXR16" s="508" t="s">
        <v>581</v>
      </c>
      <c r="KXS16" s="508" t="s">
        <v>581</v>
      </c>
      <c r="KXT16" s="508" t="s">
        <v>581</v>
      </c>
      <c r="KXU16" s="508" t="s">
        <v>581</v>
      </c>
      <c r="KXV16" s="508" t="s">
        <v>581</v>
      </c>
      <c r="KXW16" s="508" t="s">
        <v>581</v>
      </c>
      <c r="KXX16" s="508" t="s">
        <v>581</v>
      </c>
      <c r="KXY16" s="508" t="s">
        <v>581</v>
      </c>
      <c r="KXZ16" s="508" t="s">
        <v>581</v>
      </c>
      <c r="KYA16" s="508" t="s">
        <v>581</v>
      </c>
      <c r="KYB16" s="508" t="s">
        <v>581</v>
      </c>
      <c r="KYC16" s="508" t="s">
        <v>581</v>
      </c>
      <c r="KYD16" s="508" t="s">
        <v>581</v>
      </c>
      <c r="KYE16" s="508" t="s">
        <v>581</v>
      </c>
      <c r="KYF16" s="508" t="s">
        <v>581</v>
      </c>
      <c r="KYG16" s="508" t="s">
        <v>581</v>
      </c>
      <c r="KYH16" s="508" t="s">
        <v>581</v>
      </c>
      <c r="KYI16" s="508" t="s">
        <v>581</v>
      </c>
      <c r="KYJ16" s="508" t="s">
        <v>581</v>
      </c>
      <c r="KYK16" s="508" t="s">
        <v>581</v>
      </c>
      <c r="KYL16" s="508" t="s">
        <v>581</v>
      </c>
      <c r="KYM16" s="508" t="s">
        <v>581</v>
      </c>
      <c r="KYN16" s="508" t="s">
        <v>581</v>
      </c>
      <c r="KYO16" s="508" t="s">
        <v>581</v>
      </c>
      <c r="KYP16" s="508" t="s">
        <v>581</v>
      </c>
      <c r="KYQ16" s="508" t="s">
        <v>581</v>
      </c>
      <c r="KYR16" s="508" t="s">
        <v>581</v>
      </c>
      <c r="KYS16" s="508" t="s">
        <v>581</v>
      </c>
      <c r="KYT16" s="508" t="s">
        <v>581</v>
      </c>
      <c r="KYU16" s="508" t="s">
        <v>581</v>
      </c>
      <c r="KYV16" s="508" t="s">
        <v>581</v>
      </c>
      <c r="KYW16" s="508" t="s">
        <v>581</v>
      </c>
      <c r="KYX16" s="508" t="s">
        <v>581</v>
      </c>
      <c r="KYY16" s="508" t="s">
        <v>581</v>
      </c>
      <c r="KYZ16" s="508" t="s">
        <v>581</v>
      </c>
      <c r="KZA16" s="508" t="s">
        <v>581</v>
      </c>
      <c r="KZB16" s="508" t="s">
        <v>581</v>
      </c>
      <c r="KZC16" s="508" t="s">
        <v>581</v>
      </c>
      <c r="KZD16" s="508" t="s">
        <v>581</v>
      </c>
      <c r="KZE16" s="508" t="s">
        <v>581</v>
      </c>
      <c r="KZF16" s="508" t="s">
        <v>581</v>
      </c>
      <c r="KZG16" s="508" t="s">
        <v>581</v>
      </c>
      <c r="KZH16" s="508" t="s">
        <v>581</v>
      </c>
      <c r="KZI16" s="508" t="s">
        <v>581</v>
      </c>
      <c r="KZJ16" s="508" t="s">
        <v>581</v>
      </c>
      <c r="KZK16" s="508" t="s">
        <v>581</v>
      </c>
      <c r="KZL16" s="508" t="s">
        <v>581</v>
      </c>
      <c r="KZM16" s="508" t="s">
        <v>581</v>
      </c>
      <c r="KZN16" s="508" t="s">
        <v>581</v>
      </c>
      <c r="KZO16" s="508" t="s">
        <v>581</v>
      </c>
      <c r="KZP16" s="508" t="s">
        <v>581</v>
      </c>
      <c r="KZQ16" s="508" t="s">
        <v>581</v>
      </c>
      <c r="KZR16" s="508" t="s">
        <v>581</v>
      </c>
      <c r="KZS16" s="508" t="s">
        <v>581</v>
      </c>
      <c r="KZT16" s="508" t="s">
        <v>581</v>
      </c>
      <c r="KZU16" s="508" t="s">
        <v>581</v>
      </c>
      <c r="KZV16" s="508" t="s">
        <v>581</v>
      </c>
      <c r="KZW16" s="508" t="s">
        <v>581</v>
      </c>
      <c r="KZX16" s="508" t="s">
        <v>581</v>
      </c>
      <c r="KZY16" s="508" t="s">
        <v>581</v>
      </c>
      <c r="KZZ16" s="508" t="s">
        <v>581</v>
      </c>
      <c r="LAA16" s="508" t="s">
        <v>581</v>
      </c>
      <c r="LAB16" s="508" t="s">
        <v>581</v>
      </c>
      <c r="LAC16" s="508" t="s">
        <v>581</v>
      </c>
      <c r="LAD16" s="508" t="s">
        <v>581</v>
      </c>
      <c r="LAE16" s="508" t="s">
        <v>581</v>
      </c>
      <c r="LAF16" s="508" t="s">
        <v>581</v>
      </c>
      <c r="LAG16" s="508" t="s">
        <v>581</v>
      </c>
      <c r="LAH16" s="508" t="s">
        <v>581</v>
      </c>
      <c r="LAI16" s="508" t="s">
        <v>581</v>
      </c>
      <c r="LAJ16" s="508" t="s">
        <v>581</v>
      </c>
      <c r="LAK16" s="508" t="s">
        <v>581</v>
      </c>
      <c r="LAL16" s="508" t="s">
        <v>581</v>
      </c>
      <c r="LAM16" s="508" t="s">
        <v>581</v>
      </c>
      <c r="LAN16" s="508" t="s">
        <v>581</v>
      </c>
      <c r="LAO16" s="508" t="s">
        <v>581</v>
      </c>
      <c r="LAP16" s="508" t="s">
        <v>581</v>
      </c>
      <c r="LAQ16" s="508" t="s">
        <v>581</v>
      </c>
      <c r="LAR16" s="508" t="s">
        <v>581</v>
      </c>
      <c r="LAS16" s="508" t="s">
        <v>581</v>
      </c>
      <c r="LAT16" s="508" t="s">
        <v>581</v>
      </c>
      <c r="LAU16" s="508" t="s">
        <v>581</v>
      </c>
      <c r="LAV16" s="508" t="s">
        <v>581</v>
      </c>
      <c r="LAW16" s="508" t="s">
        <v>581</v>
      </c>
      <c r="LAX16" s="508" t="s">
        <v>581</v>
      </c>
      <c r="LAY16" s="508" t="s">
        <v>581</v>
      </c>
      <c r="LAZ16" s="508" t="s">
        <v>581</v>
      </c>
      <c r="LBA16" s="508" t="s">
        <v>581</v>
      </c>
      <c r="LBB16" s="508" t="s">
        <v>581</v>
      </c>
      <c r="LBC16" s="508" t="s">
        <v>581</v>
      </c>
      <c r="LBD16" s="508" t="s">
        <v>581</v>
      </c>
      <c r="LBE16" s="508" t="s">
        <v>581</v>
      </c>
      <c r="LBF16" s="508" t="s">
        <v>581</v>
      </c>
      <c r="LBG16" s="508" t="s">
        <v>581</v>
      </c>
      <c r="LBH16" s="508" t="s">
        <v>581</v>
      </c>
      <c r="LBI16" s="508" t="s">
        <v>581</v>
      </c>
      <c r="LBJ16" s="508" t="s">
        <v>581</v>
      </c>
      <c r="LBK16" s="508" t="s">
        <v>581</v>
      </c>
      <c r="LBL16" s="508" t="s">
        <v>581</v>
      </c>
      <c r="LBM16" s="508" t="s">
        <v>581</v>
      </c>
      <c r="LBN16" s="508" t="s">
        <v>581</v>
      </c>
      <c r="LBO16" s="508" t="s">
        <v>581</v>
      </c>
      <c r="LBP16" s="508" t="s">
        <v>581</v>
      </c>
      <c r="LBQ16" s="508" t="s">
        <v>581</v>
      </c>
      <c r="LBR16" s="508" t="s">
        <v>581</v>
      </c>
      <c r="LBS16" s="508" t="s">
        <v>581</v>
      </c>
      <c r="LBT16" s="508" t="s">
        <v>581</v>
      </c>
      <c r="LBU16" s="508" t="s">
        <v>581</v>
      </c>
      <c r="LBV16" s="508" t="s">
        <v>581</v>
      </c>
      <c r="LBW16" s="508" t="s">
        <v>581</v>
      </c>
      <c r="LBX16" s="508" t="s">
        <v>581</v>
      </c>
      <c r="LBY16" s="508" t="s">
        <v>581</v>
      </c>
      <c r="LBZ16" s="508" t="s">
        <v>581</v>
      </c>
      <c r="LCA16" s="508" t="s">
        <v>581</v>
      </c>
      <c r="LCB16" s="508" t="s">
        <v>581</v>
      </c>
      <c r="LCC16" s="508" t="s">
        <v>581</v>
      </c>
      <c r="LCD16" s="508" t="s">
        <v>581</v>
      </c>
      <c r="LCE16" s="508" t="s">
        <v>581</v>
      </c>
      <c r="LCF16" s="508" t="s">
        <v>581</v>
      </c>
      <c r="LCG16" s="508" t="s">
        <v>581</v>
      </c>
      <c r="LCH16" s="508" t="s">
        <v>581</v>
      </c>
      <c r="LCI16" s="508" t="s">
        <v>581</v>
      </c>
      <c r="LCJ16" s="508" t="s">
        <v>581</v>
      </c>
      <c r="LCK16" s="508" t="s">
        <v>581</v>
      </c>
      <c r="LCL16" s="508" t="s">
        <v>581</v>
      </c>
      <c r="LCM16" s="508" t="s">
        <v>581</v>
      </c>
      <c r="LCN16" s="508" t="s">
        <v>581</v>
      </c>
      <c r="LCO16" s="508" t="s">
        <v>581</v>
      </c>
      <c r="LCP16" s="508" t="s">
        <v>581</v>
      </c>
      <c r="LCQ16" s="508" t="s">
        <v>581</v>
      </c>
      <c r="LCR16" s="508" t="s">
        <v>581</v>
      </c>
      <c r="LCS16" s="508" t="s">
        <v>581</v>
      </c>
      <c r="LCT16" s="508" t="s">
        <v>581</v>
      </c>
      <c r="LCU16" s="508" t="s">
        <v>581</v>
      </c>
      <c r="LCV16" s="508" t="s">
        <v>581</v>
      </c>
      <c r="LCW16" s="508" t="s">
        <v>581</v>
      </c>
      <c r="LCX16" s="508" t="s">
        <v>581</v>
      </c>
      <c r="LCY16" s="508" t="s">
        <v>581</v>
      </c>
      <c r="LCZ16" s="508" t="s">
        <v>581</v>
      </c>
      <c r="LDA16" s="508" t="s">
        <v>581</v>
      </c>
      <c r="LDB16" s="508" t="s">
        <v>581</v>
      </c>
      <c r="LDC16" s="508" t="s">
        <v>581</v>
      </c>
      <c r="LDD16" s="508" t="s">
        <v>581</v>
      </c>
      <c r="LDE16" s="508" t="s">
        <v>581</v>
      </c>
      <c r="LDF16" s="508" t="s">
        <v>581</v>
      </c>
      <c r="LDG16" s="508" t="s">
        <v>581</v>
      </c>
      <c r="LDH16" s="508" t="s">
        <v>581</v>
      </c>
      <c r="LDI16" s="508" t="s">
        <v>581</v>
      </c>
      <c r="LDJ16" s="508" t="s">
        <v>581</v>
      </c>
      <c r="LDK16" s="508" t="s">
        <v>581</v>
      </c>
      <c r="LDL16" s="508" t="s">
        <v>581</v>
      </c>
      <c r="LDM16" s="508" t="s">
        <v>581</v>
      </c>
      <c r="LDN16" s="508" t="s">
        <v>581</v>
      </c>
      <c r="LDO16" s="508" t="s">
        <v>581</v>
      </c>
      <c r="LDP16" s="508" t="s">
        <v>581</v>
      </c>
      <c r="LDQ16" s="508" t="s">
        <v>581</v>
      </c>
      <c r="LDR16" s="508" t="s">
        <v>581</v>
      </c>
      <c r="LDS16" s="508" t="s">
        <v>581</v>
      </c>
      <c r="LDT16" s="508" t="s">
        <v>581</v>
      </c>
      <c r="LDU16" s="508" t="s">
        <v>581</v>
      </c>
      <c r="LDV16" s="508" t="s">
        <v>581</v>
      </c>
      <c r="LDW16" s="508" t="s">
        <v>581</v>
      </c>
      <c r="LDX16" s="508" t="s">
        <v>581</v>
      </c>
      <c r="LDY16" s="508" t="s">
        <v>581</v>
      </c>
      <c r="LDZ16" s="508" t="s">
        <v>581</v>
      </c>
      <c r="LEA16" s="508" t="s">
        <v>581</v>
      </c>
      <c r="LEB16" s="508" t="s">
        <v>581</v>
      </c>
      <c r="LEC16" s="508" t="s">
        <v>581</v>
      </c>
      <c r="LED16" s="508" t="s">
        <v>581</v>
      </c>
      <c r="LEE16" s="508" t="s">
        <v>581</v>
      </c>
      <c r="LEF16" s="508" t="s">
        <v>581</v>
      </c>
      <c r="LEG16" s="508" t="s">
        <v>581</v>
      </c>
      <c r="LEH16" s="508" t="s">
        <v>581</v>
      </c>
      <c r="LEI16" s="508" t="s">
        <v>581</v>
      </c>
      <c r="LEJ16" s="508" t="s">
        <v>581</v>
      </c>
      <c r="LEK16" s="508" t="s">
        <v>581</v>
      </c>
      <c r="LEL16" s="508" t="s">
        <v>581</v>
      </c>
      <c r="LEM16" s="508" t="s">
        <v>581</v>
      </c>
      <c r="LEN16" s="508" t="s">
        <v>581</v>
      </c>
      <c r="LEO16" s="508" t="s">
        <v>581</v>
      </c>
      <c r="LEP16" s="508" t="s">
        <v>581</v>
      </c>
      <c r="LEQ16" s="508" t="s">
        <v>581</v>
      </c>
      <c r="LER16" s="508" t="s">
        <v>581</v>
      </c>
      <c r="LES16" s="508" t="s">
        <v>581</v>
      </c>
      <c r="LET16" s="508" t="s">
        <v>581</v>
      </c>
      <c r="LEU16" s="508" t="s">
        <v>581</v>
      </c>
      <c r="LEV16" s="508" t="s">
        <v>581</v>
      </c>
      <c r="LEW16" s="508" t="s">
        <v>581</v>
      </c>
      <c r="LEX16" s="508" t="s">
        <v>581</v>
      </c>
      <c r="LEY16" s="508" t="s">
        <v>581</v>
      </c>
      <c r="LEZ16" s="508" t="s">
        <v>581</v>
      </c>
      <c r="LFA16" s="508" t="s">
        <v>581</v>
      </c>
      <c r="LFB16" s="508" t="s">
        <v>581</v>
      </c>
      <c r="LFC16" s="508" t="s">
        <v>581</v>
      </c>
      <c r="LFD16" s="508" t="s">
        <v>581</v>
      </c>
      <c r="LFE16" s="508" t="s">
        <v>581</v>
      </c>
      <c r="LFF16" s="508" t="s">
        <v>581</v>
      </c>
      <c r="LFG16" s="508" t="s">
        <v>581</v>
      </c>
      <c r="LFH16" s="508" t="s">
        <v>581</v>
      </c>
      <c r="LFI16" s="508" t="s">
        <v>581</v>
      </c>
      <c r="LFJ16" s="508" t="s">
        <v>581</v>
      </c>
      <c r="LFK16" s="508" t="s">
        <v>581</v>
      </c>
      <c r="LFL16" s="508" t="s">
        <v>581</v>
      </c>
      <c r="LFM16" s="508" t="s">
        <v>581</v>
      </c>
      <c r="LFN16" s="508" t="s">
        <v>581</v>
      </c>
      <c r="LFO16" s="508" t="s">
        <v>581</v>
      </c>
      <c r="LFP16" s="508" t="s">
        <v>581</v>
      </c>
      <c r="LFQ16" s="508" t="s">
        <v>581</v>
      </c>
      <c r="LFR16" s="508" t="s">
        <v>581</v>
      </c>
      <c r="LFS16" s="508" t="s">
        <v>581</v>
      </c>
      <c r="LFT16" s="508" t="s">
        <v>581</v>
      </c>
      <c r="LFU16" s="508" t="s">
        <v>581</v>
      </c>
      <c r="LFV16" s="508" t="s">
        <v>581</v>
      </c>
      <c r="LFW16" s="508" t="s">
        <v>581</v>
      </c>
      <c r="LFX16" s="508" t="s">
        <v>581</v>
      </c>
      <c r="LFY16" s="508" t="s">
        <v>581</v>
      </c>
      <c r="LFZ16" s="508" t="s">
        <v>581</v>
      </c>
      <c r="LGA16" s="508" t="s">
        <v>581</v>
      </c>
      <c r="LGB16" s="508" t="s">
        <v>581</v>
      </c>
      <c r="LGC16" s="508" t="s">
        <v>581</v>
      </c>
      <c r="LGD16" s="508" t="s">
        <v>581</v>
      </c>
      <c r="LGE16" s="508" t="s">
        <v>581</v>
      </c>
      <c r="LGF16" s="508" t="s">
        <v>581</v>
      </c>
      <c r="LGG16" s="508" t="s">
        <v>581</v>
      </c>
      <c r="LGH16" s="508" t="s">
        <v>581</v>
      </c>
      <c r="LGI16" s="508" t="s">
        <v>581</v>
      </c>
      <c r="LGJ16" s="508" t="s">
        <v>581</v>
      </c>
      <c r="LGK16" s="508" t="s">
        <v>581</v>
      </c>
      <c r="LGL16" s="508" t="s">
        <v>581</v>
      </c>
      <c r="LGM16" s="508" t="s">
        <v>581</v>
      </c>
      <c r="LGN16" s="508" t="s">
        <v>581</v>
      </c>
      <c r="LGO16" s="508" t="s">
        <v>581</v>
      </c>
      <c r="LGP16" s="508" t="s">
        <v>581</v>
      </c>
      <c r="LGQ16" s="508" t="s">
        <v>581</v>
      </c>
      <c r="LGR16" s="508" t="s">
        <v>581</v>
      </c>
      <c r="LGS16" s="508" t="s">
        <v>581</v>
      </c>
      <c r="LGT16" s="508" t="s">
        <v>581</v>
      </c>
      <c r="LGU16" s="508" t="s">
        <v>581</v>
      </c>
      <c r="LGV16" s="508" t="s">
        <v>581</v>
      </c>
      <c r="LGW16" s="508" t="s">
        <v>581</v>
      </c>
      <c r="LGX16" s="508" t="s">
        <v>581</v>
      </c>
      <c r="LGY16" s="508" t="s">
        <v>581</v>
      </c>
      <c r="LGZ16" s="508" t="s">
        <v>581</v>
      </c>
      <c r="LHA16" s="508" t="s">
        <v>581</v>
      </c>
      <c r="LHB16" s="508" t="s">
        <v>581</v>
      </c>
      <c r="LHC16" s="508" t="s">
        <v>581</v>
      </c>
      <c r="LHD16" s="508" t="s">
        <v>581</v>
      </c>
      <c r="LHE16" s="508" t="s">
        <v>581</v>
      </c>
      <c r="LHF16" s="508" t="s">
        <v>581</v>
      </c>
      <c r="LHG16" s="508" t="s">
        <v>581</v>
      </c>
      <c r="LHH16" s="508" t="s">
        <v>581</v>
      </c>
      <c r="LHI16" s="508" t="s">
        <v>581</v>
      </c>
      <c r="LHJ16" s="508" t="s">
        <v>581</v>
      </c>
      <c r="LHK16" s="508" t="s">
        <v>581</v>
      </c>
      <c r="LHL16" s="508" t="s">
        <v>581</v>
      </c>
      <c r="LHM16" s="508" t="s">
        <v>581</v>
      </c>
      <c r="LHN16" s="508" t="s">
        <v>581</v>
      </c>
      <c r="LHO16" s="508" t="s">
        <v>581</v>
      </c>
      <c r="LHP16" s="508" t="s">
        <v>581</v>
      </c>
      <c r="LHQ16" s="508" t="s">
        <v>581</v>
      </c>
      <c r="LHR16" s="508" t="s">
        <v>581</v>
      </c>
      <c r="LHS16" s="508" t="s">
        <v>581</v>
      </c>
      <c r="LHT16" s="508" t="s">
        <v>581</v>
      </c>
      <c r="LHU16" s="508" t="s">
        <v>581</v>
      </c>
      <c r="LHV16" s="508" t="s">
        <v>581</v>
      </c>
      <c r="LHW16" s="508" t="s">
        <v>581</v>
      </c>
      <c r="LHX16" s="508" t="s">
        <v>581</v>
      </c>
      <c r="LHY16" s="508" t="s">
        <v>581</v>
      </c>
      <c r="LHZ16" s="508" t="s">
        <v>581</v>
      </c>
      <c r="LIA16" s="508" t="s">
        <v>581</v>
      </c>
      <c r="LIB16" s="508" t="s">
        <v>581</v>
      </c>
      <c r="LIC16" s="508" t="s">
        <v>581</v>
      </c>
      <c r="LID16" s="508" t="s">
        <v>581</v>
      </c>
      <c r="LIE16" s="508" t="s">
        <v>581</v>
      </c>
      <c r="LIF16" s="508" t="s">
        <v>581</v>
      </c>
      <c r="LIG16" s="508" t="s">
        <v>581</v>
      </c>
      <c r="LIH16" s="508" t="s">
        <v>581</v>
      </c>
      <c r="LII16" s="508" t="s">
        <v>581</v>
      </c>
      <c r="LIJ16" s="508" t="s">
        <v>581</v>
      </c>
      <c r="LIK16" s="508" t="s">
        <v>581</v>
      </c>
      <c r="LIL16" s="508" t="s">
        <v>581</v>
      </c>
      <c r="LIM16" s="508" t="s">
        <v>581</v>
      </c>
      <c r="LIN16" s="508" t="s">
        <v>581</v>
      </c>
      <c r="LIO16" s="508" t="s">
        <v>581</v>
      </c>
      <c r="LIP16" s="508" t="s">
        <v>581</v>
      </c>
      <c r="LIQ16" s="508" t="s">
        <v>581</v>
      </c>
      <c r="LIR16" s="508" t="s">
        <v>581</v>
      </c>
      <c r="LIS16" s="508" t="s">
        <v>581</v>
      </c>
      <c r="LIT16" s="508" t="s">
        <v>581</v>
      </c>
      <c r="LIU16" s="508" t="s">
        <v>581</v>
      </c>
      <c r="LIV16" s="508" t="s">
        <v>581</v>
      </c>
      <c r="LIW16" s="508" t="s">
        <v>581</v>
      </c>
      <c r="LIX16" s="508" t="s">
        <v>581</v>
      </c>
      <c r="LIY16" s="508" t="s">
        <v>581</v>
      </c>
      <c r="LIZ16" s="508" t="s">
        <v>581</v>
      </c>
      <c r="LJA16" s="508" t="s">
        <v>581</v>
      </c>
      <c r="LJB16" s="508" t="s">
        <v>581</v>
      </c>
      <c r="LJC16" s="508" t="s">
        <v>581</v>
      </c>
      <c r="LJD16" s="508" t="s">
        <v>581</v>
      </c>
      <c r="LJE16" s="508" t="s">
        <v>581</v>
      </c>
      <c r="LJF16" s="508" t="s">
        <v>581</v>
      </c>
      <c r="LJG16" s="508" t="s">
        <v>581</v>
      </c>
      <c r="LJH16" s="508" t="s">
        <v>581</v>
      </c>
      <c r="LJI16" s="508" t="s">
        <v>581</v>
      </c>
      <c r="LJJ16" s="508" t="s">
        <v>581</v>
      </c>
      <c r="LJK16" s="508" t="s">
        <v>581</v>
      </c>
      <c r="LJL16" s="508" t="s">
        <v>581</v>
      </c>
      <c r="LJM16" s="508" t="s">
        <v>581</v>
      </c>
      <c r="LJN16" s="508" t="s">
        <v>581</v>
      </c>
      <c r="LJO16" s="508" t="s">
        <v>581</v>
      </c>
      <c r="LJP16" s="508" t="s">
        <v>581</v>
      </c>
      <c r="LJQ16" s="508" t="s">
        <v>581</v>
      </c>
      <c r="LJR16" s="508" t="s">
        <v>581</v>
      </c>
      <c r="LJS16" s="508" t="s">
        <v>581</v>
      </c>
      <c r="LJT16" s="508" t="s">
        <v>581</v>
      </c>
      <c r="LJU16" s="508" t="s">
        <v>581</v>
      </c>
      <c r="LJV16" s="508" t="s">
        <v>581</v>
      </c>
      <c r="LJW16" s="508" t="s">
        <v>581</v>
      </c>
      <c r="LJX16" s="508" t="s">
        <v>581</v>
      </c>
      <c r="LJY16" s="508" t="s">
        <v>581</v>
      </c>
      <c r="LJZ16" s="508" t="s">
        <v>581</v>
      </c>
      <c r="LKA16" s="508" t="s">
        <v>581</v>
      </c>
      <c r="LKB16" s="508" t="s">
        <v>581</v>
      </c>
      <c r="LKC16" s="508" t="s">
        <v>581</v>
      </c>
      <c r="LKD16" s="508" t="s">
        <v>581</v>
      </c>
      <c r="LKE16" s="508" t="s">
        <v>581</v>
      </c>
      <c r="LKF16" s="508" t="s">
        <v>581</v>
      </c>
      <c r="LKG16" s="508" t="s">
        <v>581</v>
      </c>
      <c r="LKH16" s="508" t="s">
        <v>581</v>
      </c>
      <c r="LKI16" s="508" t="s">
        <v>581</v>
      </c>
      <c r="LKJ16" s="508" t="s">
        <v>581</v>
      </c>
      <c r="LKK16" s="508" t="s">
        <v>581</v>
      </c>
      <c r="LKL16" s="508" t="s">
        <v>581</v>
      </c>
      <c r="LKM16" s="508" t="s">
        <v>581</v>
      </c>
      <c r="LKN16" s="508" t="s">
        <v>581</v>
      </c>
      <c r="LKO16" s="508" t="s">
        <v>581</v>
      </c>
      <c r="LKP16" s="508" t="s">
        <v>581</v>
      </c>
      <c r="LKQ16" s="508" t="s">
        <v>581</v>
      </c>
      <c r="LKR16" s="508" t="s">
        <v>581</v>
      </c>
      <c r="LKS16" s="508" t="s">
        <v>581</v>
      </c>
      <c r="LKT16" s="508" t="s">
        <v>581</v>
      </c>
      <c r="LKU16" s="508" t="s">
        <v>581</v>
      </c>
      <c r="LKV16" s="508" t="s">
        <v>581</v>
      </c>
      <c r="LKW16" s="508" t="s">
        <v>581</v>
      </c>
      <c r="LKX16" s="508" t="s">
        <v>581</v>
      </c>
      <c r="LKY16" s="508" t="s">
        <v>581</v>
      </c>
      <c r="LKZ16" s="508" t="s">
        <v>581</v>
      </c>
      <c r="LLA16" s="508" t="s">
        <v>581</v>
      </c>
      <c r="LLB16" s="508" t="s">
        <v>581</v>
      </c>
      <c r="LLC16" s="508" t="s">
        <v>581</v>
      </c>
      <c r="LLD16" s="508" t="s">
        <v>581</v>
      </c>
      <c r="LLE16" s="508" t="s">
        <v>581</v>
      </c>
      <c r="LLF16" s="508" t="s">
        <v>581</v>
      </c>
      <c r="LLG16" s="508" t="s">
        <v>581</v>
      </c>
      <c r="LLH16" s="508" t="s">
        <v>581</v>
      </c>
      <c r="LLI16" s="508" t="s">
        <v>581</v>
      </c>
      <c r="LLJ16" s="508" t="s">
        <v>581</v>
      </c>
      <c r="LLK16" s="508" t="s">
        <v>581</v>
      </c>
      <c r="LLL16" s="508" t="s">
        <v>581</v>
      </c>
      <c r="LLM16" s="508" t="s">
        <v>581</v>
      </c>
      <c r="LLN16" s="508" t="s">
        <v>581</v>
      </c>
      <c r="LLO16" s="508" t="s">
        <v>581</v>
      </c>
      <c r="LLP16" s="508" t="s">
        <v>581</v>
      </c>
      <c r="LLQ16" s="508" t="s">
        <v>581</v>
      </c>
      <c r="LLR16" s="508" t="s">
        <v>581</v>
      </c>
      <c r="LLS16" s="508" t="s">
        <v>581</v>
      </c>
      <c r="LLT16" s="508" t="s">
        <v>581</v>
      </c>
      <c r="LLU16" s="508" t="s">
        <v>581</v>
      </c>
      <c r="LLV16" s="508" t="s">
        <v>581</v>
      </c>
      <c r="LLW16" s="508" t="s">
        <v>581</v>
      </c>
      <c r="LLX16" s="508" t="s">
        <v>581</v>
      </c>
      <c r="LLY16" s="508" t="s">
        <v>581</v>
      </c>
      <c r="LLZ16" s="508" t="s">
        <v>581</v>
      </c>
      <c r="LMA16" s="508" t="s">
        <v>581</v>
      </c>
      <c r="LMB16" s="508" t="s">
        <v>581</v>
      </c>
      <c r="LMC16" s="508" t="s">
        <v>581</v>
      </c>
      <c r="LMD16" s="508" t="s">
        <v>581</v>
      </c>
      <c r="LME16" s="508" t="s">
        <v>581</v>
      </c>
      <c r="LMF16" s="508" t="s">
        <v>581</v>
      </c>
      <c r="LMG16" s="508" t="s">
        <v>581</v>
      </c>
      <c r="LMH16" s="508" t="s">
        <v>581</v>
      </c>
      <c r="LMI16" s="508" t="s">
        <v>581</v>
      </c>
      <c r="LMJ16" s="508" t="s">
        <v>581</v>
      </c>
      <c r="LMK16" s="508" t="s">
        <v>581</v>
      </c>
      <c r="LML16" s="508" t="s">
        <v>581</v>
      </c>
      <c r="LMM16" s="508" t="s">
        <v>581</v>
      </c>
      <c r="LMN16" s="508" t="s">
        <v>581</v>
      </c>
      <c r="LMO16" s="508" t="s">
        <v>581</v>
      </c>
      <c r="LMP16" s="508" t="s">
        <v>581</v>
      </c>
      <c r="LMQ16" s="508" t="s">
        <v>581</v>
      </c>
      <c r="LMR16" s="508" t="s">
        <v>581</v>
      </c>
      <c r="LMS16" s="508" t="s">
        <v>581</v>
      </c>
      <c r="LMT16" s="508" t="s">
        <v>581</v>
      </c>
      <c r="LMU16" s="508" t="s">
        <v>581</v>
      </c>
      <c r="LMV16" s="508" t="s">
        <v>581</v>
      </c>
      <c r="LMW16" s="508" t="s">
        <v>581</v>
      </c>
      <c r="LMX16" s="508" t="s">
        <v>581</v>
      </c>
      <c r="LMY16" s="508" t="s">
        <v>581</v>
      </c>
      <c r="LMZ16" s="508" t="s">
        <v>581</v>
      </c>
      <c r="LNA16" s="508" t="s">
        <v>581</v>
      </c>
      <c r="LNB16" s="508" t="s">
        <v>581</v>
      </c>
      <c r="LNC16" s="508" t="s">
        <v>581</v>
      </c>
      <c r="LND16" s="508" t="s">
        <v>581</v>
      </c>
      <c r="LNE16" s="508" t="s">
        <v>581</v>
      </c>
      <c r="LNF16" s="508" t="s">
        <v>581</v>
      </c>
      <c r="LNG16" s="508" t="s">
        <v>581</v>
      </c>
      <c r="LNH16" s="508" t="s">
        <v>581</v>
      </c>
      <c r="LNI16" s="508" t="s">
        <v>581</v>
      </c>
      <c r="LNJ16" s="508" t="s">
        <v>581</v>
      </c>
      <c r="LNK16" s="508" t="s">
        <v>581</v>
      </c>
      <c r="LNL16" s="508" t="s">
        <v>581</v>
      </c>
      <c r="LNM16" s="508" t="s">
        <v>581</v>
      </c>
      <c r="LNN16" s="508" t="s">
        <v>581</v>
      </c>
      <c r="LNO16" s="508" t="s">
        <v>581</v>
      </c>
      <c r="LNP16" s="508" t="s">
        <v>581</v>
      </c>
      <c r="LNQ16" s="508" t="s">
        <v>581</v>
      </c>
      <c r="LNR16" s="508" t="s">
        <v>581</v>
      </c>
      <c r="LNS16" s="508" t="s">
        <v>581</v>
      </c>
      <c r="LNT16" s="508" t="s">
        <v>581</v>
      </c>
      <c r="LNU16" s="508" t="s">
        <v>581</v>
      </c>
      <c r="LNV16" s="508" t="s">
        <v>581</v>
      </c>
      <c r="LNW16" s="508" t="s">
        <v>581</v>
      </c>
      <c r="LNX16" s="508" t="s">
        <v>581</v>
      </c>
      <c r="LNY16" s="508" t="s">
        <v>581</v>
      </c>
      <c r="LNZ16" s="508" t="s">
        <v>581</v>
      </c>
      <c r="LOA16" s="508" t="s">
        <v>581</v>
      </c>
      <c r="LOB16" s="508" t="s">
        <v>581</v>
      </c>
      <c r="LOC16" s="508" t="s">
        <v>581</v>
      </c>
      <c r="LOD16" s="508" t="s">
        <v>581</v>
      </c>
      <c r="LOE16" s="508" t="s">
        <v>581</v>
      </c>
      <c r="LOF16" s="508" t="s">
        <v>581</v>
      </c>
      <c r="LOG16" s="508" t="s">
        <v>581</v>
      </c>
      <c r="LOH16" s="508" t="s">
        <v>581</v>
      </c>
      <c r="LOI16" s="508" t="s">
        <v>581</v>
      </c>
      <c r="LOJ16" s="508" t="s">
        <v>581</v>
      </c>
      <c r="LOK16" s="508" t="s">
        <v>581</v>
      </c>
      <c r="LOL16" s="508" t="s">
        <v>581</v>
      </c>
      <c r="LOM16" s="508" t="s">
        <v>581</v>
      </c>
      <c r="LON16" s="508" t="s">
        <v>581</v>
      </c>
      <c r="LOO16" s="508" t="s">
        <v>581</v>
      </c>
      <c r="LOP16" s="508" t="s">
        <v>581</v>
      </c>
      <c r="LOQ16" s="508" t="s">
        <v>581</v>
      </c>
      <c r="LOR16" s="508" t="s">
        <v>581</v>
      </c>
      <c r="LOS16" s="508" t="s">
        <v>581</v>
      </c>
      <c r="LOT16" s="508" t="s">
        <v>581</v>
      </c>
      <c r="LOU16" s="508" t="s">
        <v>581</v>
      </c>
      <c r="LOV16" s="508" t="s">
        <v>581</v>
      </c>
      <c r="LOW16" s="508" t="s">
        <v>581</v>
      </c>
      <c r="LOX16" s="508" t="s">
        <v>581</v>
      </c>
      <c r="LOY16" s="508" t="s">
        <v>581</v>
      </c>
      <c r="LOZ16" s="508" t="s">
        <v>581</v>
      </c>
      <c r="LPA16" s="508" t="s">
        <v>581</v>
      </c>
      <c r="LPB16" s="508" t="s">
        <v>581</v>
      </c>
      <c r="LPC16" s="508" t="s">
        <v>581</v>
      </c>
      <c r="LPD16" s="508" t="s">
        <v>581</v>
      </c>
      <c r="LPE16" s="508" t="s">
        <v>581</v>
      </c>
      <c r="LPF16" s="508" t="s">
        <v>581</v>
      </c>
      <c r="LPG16" s="508" t="s">
        <v>581</v>
      </c>
      <c r="LPH16" s="508" t="s">
        <v>581</v>
      </c>
      <c r="LPI16" s="508" t="s">
        <v>581</v>
      </c>
      <c r="LPJ16" s="508" t="s">
        <v>581</v>
      </c>
      <c r="LPK16" s="508" t="s">
        <v>581</v>
      </c>
      <c r="LPL16" s="508" t="s">
        <v>581</v>
      </c>
      <c r="LPM16" s="508" t="s">
        <v>581</v>
      </c>
      <c r="LPN16" s="508" t="s">
        <v>581</v>
      </c>
      <c r="LPO16" s="508" t="s">
        <v>581</v>
      </c>
      <c r="LPP16" s="508" t="s">
        <v>581</v>
      </c>
      <c r="LPQ16" s="508" t="s">
        <v>581</v>
      </c>
      <c r="LPR16" s="508" t="s">
        <v>581</v>
      </c>
      <c r="LPS16" s="508" t="s">
        <v>581</v>
      </c>
      <c r="LPT16" s="508" t="s">
        <v>581</v>
      </c>
      <c r="LPU16" s="508" t="s">
        <v>581</v>
      </c>
      <c r="LPV16" s="508" t="s">
        <v>581</v>
      </c>
      <c r="LPW16" s="508" t="s">
        <v>581</v>
      </c>
      <c r="LPX16" s="508" t="s">
        <v>581</v>
      </c>
      <c r="LPY16" s="508" t="s">
        <v>581</v>
      </c>
      <c r="LPZ16" s="508" t="s">
        <v>581</v>
      </c>
      <c r="LQA16" s="508" t="s">
        <v>581</v>
      </c>
      <c r="LQB16" s="508" t="s">
        <v>581</v>
      </c>
      <c r="LQC16" s="508" t="s">
        <v>581</v>
      </c>
      <c r="LQD16" s="508" t="s">
        <v>581</v>
      </c>
      <c r="LQE16" s="508" t="s">
        <v>581</v>
      </c>
      <c r="LQF16" s="508" t="s">
        <v>581</v>
      </c>
      <c r="LQG16" s="508" t="s">
        <v>581</v>
      </c>
      <c r="LQH16" s="508" t="s">
        <v>581</v>
      </c>
      <c r="LQI16" s="508" t="s">
        <v>581</v>
      </c>
      <c r="LQJ16" s="508" t="s">
        <v>581</v>
      </c>
      <c r="LQK16" s="508" t="s">
        <v>581</v>
      </c>
      <c r="LQL16" s="508" t="s">
        <v>581</v>
      </c>
      <c r="LQM16" s="508" t="s">
        <v>581</v>
      </c>
      <c r="LQN16" s="508" t="s">
        <v>581</v>
      </c>
      <c r="LQO16" s="508" t="s">
        <v>581</v>
      </c>
      <c r="LQP16" s="508" t="s">
        <v>581</v>
      </c>
      <c r="LQQ16" s="508" t="s">
        <v>581</v>
      </c>
      <c r="LQR16" s="508" t="s">
        <v>581</v>
      </c>
      <c r="LQS16" s="508" t="s">
        <v>581</v>
      </c>
      <c r="LQT16" s="508" t="s">
        <v>581</v>
      </c>
      <c r="LQU16" s="508" t="s">
        <v>581</v>
      </c>
      <c r="LQV16" s="508" t="s">
        <v>581</v>
      </c>
      <c r="LQW16" s="508" t="s">
        <v>581</v>
      </c>
      <c r="LQX16" s="508" t="s">
        <v>581</v>
      </c>
      <c r="LQY16" s="508" t="s">
        <v>581</v>
      </c>
      <c r="LQZ16" s="508" t="s">
        <v>581</v>
      </c>
      <c r="LRA16" s="508" t="s">
        <v>581</v>
      </c>
      <c r="LRB16" s="508" t="s">
        <v>581</v>
      </c>
      <c r="LRC16" s="508" t="s">
        <v>581</v>
      </c>
      <c r="LRD16" s="508" t="s">
        <v>581</v>
      </c>
      <c r="LRE16" s="508" t="s">
        <v>581</v>
      </c>
      <c r="LRF16" s="508" t="s">
        <v>581</v>
      </c>
      <c r="LRG16" s="508" t="s">
        <v>581</v>
      </c>
      <c r="LRH16" s="508" t="s">
        <v>581</v>
      </c>
      <c r="LRI16" s="508" t="s">
        <v>581</v>
      </c>
      <c r="LRJ16" s="508" t="s">
        <v>581</v>
      </c>
      <c r="LRK16" s="508" t="s">
        <v>581</v>
      </c>
      <c r="LRL16" s="508" t="s">
        <v>581</v>
      </c>
      <c r="LRM16" s="508" t="s">
        <v>581</v>
      </c>
      <c r="LRN16" s="508" t="s">
        <v>581</v>
      </c>
      <c r="LRO16" s="508" t="s">
        <v>581</v>
      </c>
      <c r="LRP16" s="508" t="s">
        <v>581</v>
      </c>
      <c r="LRQ16" s="508" t="s">
        <v>581</v>
      </c>
      <c r="LRR16" s="508" t="s">
        <v>581</v>
      </c>
      <c r="LRS16" s="508" t="s">
        <v>581</v>
      </c>
      <c r="LRT16" s="508" t="s">
        <v>581</v>
      </c>
      <c r="LRU16" s="508" t="s">
        <v>581</v>
      </c>
      <c r="LRV16" s="508" t="s">
        <v>581</v>
      </c>
      <c r="LRW16" s="508" t="s">
        <v>581</v>
      </c>
      <c r="LRX16" s="508" t="s">
        <v>581</v>
      </c>
      <c r="LRY16" s="508" t="s">
        <v>581</v>
      </c>
      <c r="LRZ16" s="508" t="s">
        <v>581</v>
      </c>
      <c r="LSA16" s="508" t="s">
        <v>581</v>
      </c>
      <c r="LSB16" s="508" t="s">
        <v>581</v>
      </c>
      <c r="LSC16" s="508" t="s">
        <v>581</v>
      </c>
      <c r="LSD16" s="508" t="s">
        <v>581</v>
      </c>
      <c r="LSE16" s="508" t="s">
        <v>581</v>
      </c>
      <c r="LSF16" s="508" t="s">
        <v>581</v>
      </c>
      <c r="LSG16" s="508" t="s">
        <v>581</v>
      </c>
      <c r="LSH16" s="508" t="s">
        <v>581</v>
      </c>
      <c r="LSI16" s="508" t="s">
        <v>581</v>
      </c>
      <c r="LSJ16" s="508" t="s">
        <v>581</v>
      </c>
      <c r="LSK16" s="508" t="s">
        <v>581</v>
      </c>
      <c r="LSL16" s="508" t="s">
        <v>581</v>
      </c>
      <c r="LSM16" s="508" t="s">
        <v>581</v>
      </c>
      <c r="LSN16" s="508" t="s">
        <v>581</v>
      </c>
      <c r="LSO16" s="508" t="s">
        <v>581</v>
      </c>
      <c r="LSP16" s="508" t="s">
        <v>581</v>
      </c>
      <c r="LSQ16" s="508" t="s">
        <v>581</v>
      </c>
      <c r="LSR16" s="508" t="s">
        <v>581</v>
      </c>
      <c r="LSS16" s="508" t="s">
        <v>581</v>
      </c>
      <c r="LST16" s="508" t="s">
        <v>581</v>
      </c>
      <c r="LSU16" s="508" t="s">
        <v>581</v>
      </c>
      <c r="LSV16" s="508" t="s">
        <v>581</v>
      </c>
      <c r="LSW16" s="508" t="s">
        <v>581</v>
      </c>
      <c r="LSX16" s="508" t="s">
        <v>581</v>
      </c>
      <c r="LSY16" s="508" t="s">
        <v>581</v>
      </c>
      <c r="LSZ16" s="508" t="s">
        <v>581</v>
      </c>
      <c r="LTA16" s="508" t="s">
        <v>581</v>
      </c>
      <c r="LTB16" s="508" t="s">
        <v>581</v>
      </c>
      <c r="LTC16" s="508" t="s">
        <v>581</v>
      </c>
      <c r="LTD16" s="508" t="s">
        <v>581</v>
      </c>
      <c r="LTE16" s="508" t="s">
        <v>581</v>
      </c>
      <c r="LTF16" s="508" t="s">
        <v>581</v>
      </c>
      <c r="LTG16" s="508" t="s">
        <v>581</v>
      </c>
      <c r="LTH16" s="508" t="s">
        <v>581</v>
      </c>
      <c r="LTI16" s="508" t="s">
        <v>581</v>
      </c>
      <c r="LTJ16" s="508" t="s">
        <v>581</v>
      </c>
      <c r="LTK16" s="508" t="s">
        <v>581</v>
      </c>
      <c r="LTL16" s="508" t="s">
        <v>581</v>
      </c>
      <c r="LTM16" s="508" t="s">
        <v>581</v>
      </c>
      <c r="LTN16" s="508" t="s">
        <v>581</v>
      </c>
      <c r="LTO16" s="508" t="s">
        <v>581</v>
      </c>
      <c r="LTP16" s="508" t="s">
        <v>581</v>
      </c>
      <c r="LTQ16" s="508" t="s">
        <v>581</v>
      </c>
      <c r="LTR16" s="508" t="s">
        <v>581</v>
      </c>
      <c r="LTS16" s="508" t="s">
        <v>581</v>
      </c>
      <c r="LTT16" s="508" t="s">
        <v>581</v>
      </c>
      <c r="LTU16" s="508" t="s">
        <v>581</v>
      </c>
      <c r="LTV16" s="508" t="s">
        <v>581</v>
      </c>
      <c r="LTW16" s="508" t="s">
        <v>581</v>
      </c>
      <c r="LTX16" s="508" t="s">
        <v>581</v>
      </c>
      <c r="LTY16" s="508" t="s">
        <v>581</v>
      </c>
      <c r="LTZ16" s="508" t="s">
        <v>581</v>
      </c>
      <c r="LUA16" s="508" t="s">
        <v>581</v>
      </c>
      <c r="LUB16" s="508" t="s">
        <v>581</v>
      </c>
      <c r="LUC16" s="508" t="s">
        <v>581</v>
      </c>
      <c r="LUD16" s="508" t="s">
        <v>581</v>
      </c>
      <c r="LUE16" s="508" t="s">
        <v>581</v>
      </c>
      <c r="LUF16" s="508" t="s">
        <v>581</v>
      </c>
      <c r="LUG16" s="508" t="s">
        <v>581</v>
      </c>
      <c r="LUH16" s="508" t="s">
        <v>581</v>
      </c>
      <c r="LUI16" s="508" t="s">
        <v>581</v>
      </c>
      <c r="LUJ16" s="508" t="s">
        <v>581</v>
      </c>
      <c r="LUK16" s="508" t="s">
        <v>581</v>
      </c>
      <c r="LUL16" s="508" t="s">
        <v>581</v>
      </c>
      <c r="LUM16" s="508" t="s">
        <v>581</v>
      </c>
      <c r="LUN16" s="508" t="s">
        <v>581</v>
      </c>
      <c r="LUO16" s="508" t="s">
        <v>581</v>
      </c>
      <c r="LUP16" s="508" t="s">
        <v>581</v>
      </c>
      <c r="LUQ16" s="508" t="s">
        <v>581</v>
      </c>
      <c r="LUR16" s="508" t="s">
        <v>581</v>
      </c>
      <c r="LUS16" s="508" t="s">
        <v>581</v>
      </c>
      <c r="LUT16" s="508" t="s">
        <v>581</v>
      </c>
      <c r="LUU16" s="508" t="s">
        <v>581</v>
      </c>
      <c r="LUV16" s="508" t="s">
        <v>581</v>
      </c>
      <c r="LUW16" s="508" t="s">
        <v>581</v>
      </c>
      <c r="LUX16" s="508" t="s">
        <v>581</v>
      </c>
      <c r="LUY16" s="508" t="s">
        <v>581</v>
      </c>
      <c r="LUZ16" s="508" t="s">
        <v>581</v>
      </c>
      <c r="LVA16" s="508" t="s">
        <v>581</v>
      </c>
      <c r="LVB16" s="508" t="s">
        <v>581</v>
      </c>
      <c r="LVC16" s="508" t="s">
        <v>581</v>
      </c>
      <c r="LVD16" s="508" t="s">
        <v>581</v>
      </c>
      <c r="LVE16" s="508" t="s">
        <v>581</v>
      </c>
      <c r="LVF16" s="508" t="s">
        <v>581</v>
      </c>
      <c r="LVG16" s="508" t="s">
        <v>581</v>
      </c>
      <c r="LVH16" s="508" t="s">
        <v>581</v>
      </c>
      <c r="LVI16" s="508" t="s">
        <v>581</v>
      </c>
      <c r="LVJ16" s="508" t="s">
        <v>581</v>
      </c>
      <c r="LVK16" s="508" t="s">
        <v>581</v>
      </c>
      <c r="LVL16" s="508" t="s">
        <v>581</v>
      </c>
      <c r="LVM16" s="508" t="s">
        <v>581</v>
      </c>
      <c r="LVN16" s="508" t="s">
        <v>581</v>
      </c>
      <c r="LVO16" s="508" t="s">
        <v>581</v>
      </c>
      <c r="LVP16" s="508" t="s">
        <v>581</v>
      </c>
      <c r="LVQ16" s="508" t="s">
        <v>581</v>
      </c>
      <c r="LVR16" s="508" t="s">
        <v>581</v>
      </c>
      <c r="LVS16" s="508" t="s">
        <v>581</v>
      </c>
      <c r="LVT16" s="508" t="s">
        <v>581</v>
      </c>
      <c r="LVU16" s="508" t="s">
        <v>581</v>
      </c>
      <c r="LVV16" s="508" t="s">
        <v>581</v>
      </c>
      <c r="LVW16" s="508" t="s">
        <v>581</v>
      </c>
      <c r="LVX16" s="508" t="s">
        <v>581</v>
      </c>
      <c r="LVY16" s="508" t="s">
        <v>581</v>
      </c>
      <c r="LVZ16" s="508" t="s">
        <v>581</v>
      </c>
      <c r="LWA16" s="508" t="s">
        <v>581</v>
      </c>
      <c r="LWB16" s="508" t="s">
        <v>581</v>
      </c>
      <c r="LWC16" s="508" t="s">
        <v>581</v>
      </c>
      <c r="LWD16" s="508" t="s">
        <v>581</v>
      </c>
      <c r="LWE16" s="508" t="s">
        <v>581</v>
      </c>
      <c r="LWF16" s="508" t="s">
        <v>581</v>
      </c>
      <c r="LWG16" s="508" t="s">
        <v>581</v>
      </c>
      <c r="LWH16" s="508" t="s">
        <v>581</v>
      </c>
      <c r="LWI16" s="508" t="s">
        <v>581</v>
      </c>
      <c r="LWJ16" s="508" t="s">
        <v>581</v>
      </c>
      <c r="LWK16" s="508" t="s">
        <v>581</v>
      </c>
      <c r="LWL16" s="508" t="s">
        <v>581</v>
      </c>
      <c r="LWM16" s="508" t="s">
        <v>581</v>
      </c>
      <c r="LWN16" s="508" t="s">
        <v>581</v>
      </c>
      <c r="LWO16" s="508" t="s">
        <v>581</v>
      </c>
      <c r="LWP16" s="508" t="s">
        <v>581</v>
      </c>
      <c r="LWQ16" s="508" t="s">
        <v>581</v>
      </c>
      <c r="LWR16" s="508" t="s">
        <v>581</v>
      </c>
      <c r="LWS16" s="508" t="s">
        <v>581</v>
      </c>
      <c r="LWT16" s="508" t="s">
        <v>581</v>
      </c>
      <c r="LWU16" s="508" t="s">
        <v>581</v>
      </c>
      <c r="LWV16" s="508" t="s">
        <v>581</v>
      </c>
      <c r="LWW16" s="508" t="s">
        <v>581</v>
      </c>
      <c r="LWX16" s="508" t="s">
        <v>581</v>
      </c>
      <c r="LWY16" s="508" t="s">
        <v>581</v>
      </c>
      <c r="LWZ16" s="508" t="s">
        <v>581</v>
      </c>
      <c r="LXA16" s="508" t="s">
        <v>581</v>
      </c>
      <c r="LXB16" s="508" t="s">
        <v>581</v>
      </c>
      <c r="LXC16" s="508" t="s">
        <v>581</v>
      </c>
      <c r="LXD16" s="508" t="s">
        <v>581</v>
      </c>
      <c r="LXE16" s="508" t="s">
        <v>581</v>
      </c>
      <c r="LXF16" s="508" t="s">
        <v>581</v>
      </c>
      <c r="LXG16" s="508" t="s">
        <v>581</v>
      </c>
      <c r="LXH16" s="508" t="s">
        <v>581</v>
      </c>
      <c r="LXI16" s="508" t="s">
        <v>581</v>
      </c>
      <c r="LXJ16" s="508" t="s">
        <v>581</v>
      </c>
      <c r="LXK16" s="508" t="s">
        <v>581</v>
      </c>
      <c r="LXL16" s="508" t="s">
        <v>581</v>
      </c>
      <c r="LXM16" s="508" t="s">
        <v>581</v>
      </c>
      <c r="LXN16" s="508" t="s">
        <v>581</v>
      </c>
      <c r="LXO16" s="508" t="s">
        <v>581</v>
      </c>
      <c r="LXP16" s="508" t="s">
        <v>581</v>
      </c>
      <c r="LXQ16" s="508" t="s">
        <v>581</v>
      </c>
      <c r="LXR16" s="508" t="s">
        <v>581</v>
      </c>
      <c r="LXS16" s="508" t="s">
        <v>581</v>
      </c>
      <c r="LXT16" s="508" t="s">
        <v>581</v>
      </c>
      <c r="LXU16" s="508" t="s">
        <v>581</v>
      </c>
      <c r="LXV16" s="508" t="s">
        <v>581</v>
      </c>
      <c r="LXW16" s="508" t="s">
        <v>581</v>
      </c>
      <c r="LXX16" s="508" t="s">
        <v>581</v>
      </c>
      <c r="LXY16" s="508" t="s">
        <v>581</v>
      </c>
      <c r="LXZ16" s="508" t="s">
        <v>581</v>
      </c>
      <c r="LYA16" s="508" t="s">
        <v>581</v>
      </c>
      <c r="LYB16" s="508" t="s">
        <v>581</v>
      </c>
      <c r="LYC16" s="508" t="s">
        <v>581</v>
      </c>
      <c r="LYD16" s="508" t="s">
        <v>581</v>
      </c>
      <c r="LYE16" s="508" t="s">
        <v>581</v>
      </c>
      <c r="LYF16" s="508" t="s">
        <v>581</v>
      </c>
      <c r="LYG16" s="508" t="s">
        <v>581</v>
      </c>
      <c r="LYH16" s="508" t="s">
        <v>581</v>
      </c>
      <c r="LYI16" s="508" t="s">
        <v>581</v>
      </c>
      <c r="LYJ16" s="508" t="s">
        <v>581</v>
      </c>
      <c r="LYK16" s="508" t="s">
        <v>581</v>
      </c>
      <c r="LYL16" s="508" t="s">
        <v>581</v>
      </c>
      <c r="LYM16" s="508" t="s">
        <v>581</v>
      </c>
      <c r="LYN16" s="508" t="s">
        <v>581</v>
      </c>
      <c r="LYO16" s="508" t="s">
        <v>581</v>
      </c>
      <c r="LYP16" s="508" t="s">
        <v>581</v>
      </c>
      <c r="LYQ16" s="508" t="s">
        <v>581</v>
      </c>
      <c r="LYR16" s="508" t="s">
        <v>581</v>
      </c>
      <c r="LYS16" s="508" t="s">
        <v>581</v>
      </c>
      <c r="LYT16" s="508" t="s">
        <v>581</v>
      </c>
      <c r="LYU16" s="508" t="s">
        <v>581</v>
      </c>
      <c r="LYV16" s="508" t="s">
        <v>581</v>
      </c>
      <c r="LYW16" s="508" t="s">
        <v>581</v>
      </c>
      <c r="LYX16" s="508" t="s">
        <v>581</v>
      </c>
      <c r="LYY16" s="508" t="s">
        <v>581</v>
      </c>
      <c r="LYZ16" s="508" t="s">
        <v>581</v>
      </c>
      <c r="LZA16" s="508" t="s">
        <v>581</v>
      </c>
      <c r="LZB16" s="508" t="s">
        <v>581</v>
      </c>
      <c r="LZC16" s="508" t="s">
        <v>581</v>
      </c>
      <c r="LZD16" s="508" t="s">
        <v>581</v>
      </c>
      <c r="LZE16" s="508" t="s">
        <v>581</v>
      </c>
      <c r="LZF16" s="508" t="s">
        <v>581</v>
      </c>
      <c r="LZG16" s="508" t="s">
        <v>581</v>
      </c>
      <c r="LZH16" s="508" t="s">
        <v>581</v>
      </c>
      <c r="LZI16" s="508" t="s">
        <v>581</v>
      </c>
      <c r="LZJ16" s="508" t="s">
        <v>581</v>
      </c>
      <c r="LZK16" s="508" t="s">
        <v>581</v>
      </c>
      <c r="LZL16" s="508" t="s">
        <v>581</v>
      </c>
      <c r="LZM16" s="508" t="s">
        <v>581</v>
      </c>
      <c r="LZN16" s="508" t="s">
        <v>581</v>
      </c>
      <c r="LZO16" s="508" t="s">
        <v>581</v>
      </c>
      <c r="LZP16" s="508" t="s">
        <v>581</v>
      </c>
      <c r="LZQ16" s="508" t="s">
        <v>581</v>
      </c>
      <c r="LZR16" s="508" t="s">
        <v>581</v>
      </c>
      <c r="LZS16" s="508" t="s">
        <v>581</v>
      </c>
      <c r="LZT16" s="508" t="s">
        <v>581</v>
      </c>
      <c r="LZU16" s="508" t="s">
        <v>581</v>
      </c>
      <c r="LZV16" s="508" t="s">
        <v>581</v>
      </c>
      <c r="LZW16" s="508" t="s">
        <v>581</v>
      </c>
      <c r="LZX16" s="508" t="s">
        <v>581</v>
      </c>
      <c r="LZY16" s="508" t="s">
        <v>581</v>
      </c>
      <c r="LZZ16" s="508" t="s">
        <v>581</v>
      </c>
      <c r="MAA16" s="508" t="s">
        <v>581</v>
      </c>
      <c r="MAB16" s="508" t="s">
        <v>581</v>
      </c>
      <c r="MAC16" s="508" t="s">
        <v>581</v>
      </c>
      <c r="MAD16" s="508" t="s">
        <v>581</v>
      </c>
      <c r="MAE16" s="508" t="s">
        <v>581</v>
      </c>
      <c r="MAF16" s="508" t="s">
        <v>581</v>
      </c>
      <c r="MAG16" s="508" t="s">
        <v>581</v>
      </c>
      <c r="MAH16" s="508" t="s">
        <v>581</v>
      </c>
      <c r="MAI16" s="508" t="s">
        <v>581</v>
      </c>
      <c r="MAJ16" s="508" t="s">
        <v>581</v>
      </c>
      <c r="MAK16" s="508" t="s">
        <v>581</v>
      </c>
      <c r="MAL16" s="508" t="s">
        <v>581</v>
      </c>
      <c r="MAM16" s="508" t="s">
        <v>581</v>
      </c>
      <c r="MAN16" s="508" t="s">
        <v>581</v>
      </c>
      <c r="MAO16" s="508" t="s">
        <v>581</v>
      </c>
      <c r="MAP16" s="508" t="s">
        <v>581</v>
      </c>
      <c r="MAQ16" s="508" t="s">
        <v>581</v>
      </c>
      <c r="MAR16" s="508" t="s">
        <v>581</v>
      </c>
      <c r="MAS16" s="508" t="s">
        <v>581</v>
      </c>
      <c r="MAT16" s="508" t="s">
        <v>581</v>
      </c>
      <c r="MAU16" s="508" t="s">
        <v>581</v>
      </c>
      <c r="MAV16" s="508" t="s">
        <v>581</v>
      </c>
      <c r="MAW16" s="508" t="s">
        <v>581</v>
      </c>
      <c r="MAX16" s="508" t="s">
        <v>581</v>
      </c>
      <c r="MAY16" s="508" t="s">
        <v>581</v>
      </c>
      <c r="MAZ16" s="508" t="s">
        <v>581</v>
      </c>
      <c r="MBA16" s="508" t="s">
        <v>581</v>
      </c>
      <c r="MBB16" s="508" t="s">
        <v>581</v>
      </c>
      <c r="MBC16" s="508" t="s">
        <v>581</v>
      </c>
      <c r="MBD16" s="508" t="s">
        <v>581</v>
      </c>
      <c r="MBE16" s="508" t="s">
        <v>581</v>
      </c>
      <c r="MBF16" s="508" t="s">
        <v>581</v>
      </c>
      <c r="MBG16" s="508" t="s">
        <v>581</v>
      </c>
      <c r="MBH16" s="508" t="s">
        <v>581</v>
      </c>
      <c r="MBI16" s="508" t="s">
        <v>581</v>
      </c>
      <c r="MBJ16" s="508" t="s">
        <v>581</v>
      </c>
      <c r="MBK16" s="508" t="s">
        <v>581</v>
      </c>
      <c r="MBL16" s="508" t="s">
        <v>581</v>
      </c>
      <c r="MBM16" s="508" t="s">
        <v>581</v>
      </c>
      <c r="MBN16" s="508" t="s">
        <v>581</v>
      </c>
      <c r="MBO16" s="508" t="s">
        <v>581</v>
      </c>
      <c r="MBP16" s="508" t="s">
        <v>581</v>
      </c>
      <c r="MBQ16" s="508" t="s">
        <v>581</v>
      </c>
      <c r="MBR16" s="508" t="s">
        <v>581</v>
      </c>
      <c r="MBS16" s="508" t="s">
        <v>581</v>
      </c>
      <c r="MBT16" s="508" t="s">
        <v>581</v>
      </c>
      <c r="MBU16" s="508" t="s">
        <v>581</v>
      </c>
      <c r="MBV16" s="508" t="s">
        <v>581</v>
      </c>
      <c r="MBW16" s="508" t="s">
        <v>581</v>
      </c>
      <c r="MBX16" s="508" t="s">
        <v>581</v>
      </c>
      <c r="MBY16" s="508" t="s">
        <v>581</v>
      </c>
      <c r="MBZ16" s="508" t="s">
        <v>581</v>
      </c>
      <c r="MCA16" s="508" t="s">
        <v>581</v>
      </c>
      <c r="MCB16" s="508" t="s">
        <v>581</v>
      </c>
      <c r="MCC16" s="508" t="s">
        <v>581</v>
      </c>
      <c r="MCD16" s="508" t="s">
        <v>581</v>
      </c>
      <c r="MCE16" s="508" t="s">
        <v>581</v>
      </c>
      <c r="MCF16" s="508" t="s">
        <v>581</v>
      </c>
      <c r="MCG16" s="508" t="s">
        <v>581</v>
      </c>
      <c r="MCH16" s="508" t="s">
        <v>581</v>
      </c>
      <c r="MCI16" s="508" t="s">
        <v>581</v>
      </c>
      <c r="MCJ16" s="508" t="s">
        <v>581</v>
      </c>
      <c r="MCK16" s="508" t="s">
        <v>581</v>
      </c>
      <c r="MCL16" s="508" t="s">
        <v>581</v>
      </c>
      <c r="MCM16" s="508" t="s">
        <v>581</v>
      </c>
      <c r="MCN16" s="508" t="s">
        <v>581</v>
      </c>
      <c r="MCO16" s="508" t="s">
        <v>581</v>
      </c>
      <c r="MCP16" s="508" t="s">
        <v>581</v>
      </c>
      <c r="MCQ16" s="508" t="s">
        <v>581</v>
      </c>
      <c r="MCR16" s="508" t="s">
        <v>581</v>
      </c>
      <c r="MCS16" s="508" t="s">
        <v>581</v>
      </c>
      <c r="MCT16" s="508" t="s">
        <v>581</v>
      </c>
      <c r="MCU16" s="508" t="s">
        <v>581</v>
      </c>
      <c r="MCV16" s="508" t="s">
        <v>581</v>
      </c>
      <c r="MCW16" s="508" t="s">
        <v>581</v>
      </c>
      <c r="MCX16" s="508" t="s">
        <v>581</v>
      </c>
      <c r="MCY16" s="508" t="s">
        <v>581</v>
      </c>
      <c r="MCZ16" s="508" t="s">
        <v>581</v>
      </c>
      <c r="MDA16" s="508" t="s">
        <v>581</v>
      </c>
      <c r="MDB16" s="508" t="s">
        <v>581</v>
      </c>
      <c r="MDC16" s="508" t="s">
        <v>581</v>
      </c>
      <c r="MDD16" s="508" t="s">
        <v>581</v>
      </c>
      <c r="MDE16" s="508" t="s">
        <v>581</v>
      </c>
      <c r="MDF16" s="508" t="s">
        <v>581</v>
      </c>
      <c r="MDG16" s="508" t="s">
        <v>581</v>
      </c>
      <c r="MDH16" s="508" t="s">
        <v>581</v>
      </c>
      <c r="MDI16" s="508" t="s">
        <v>581</v>
      </c>
      <c r="MDJ16" s="508" t="s">
        <v>581</v>
      </c>
      <c r="MDK16" s="508" t="s">
        <v>581</v>
      </c>
      <c r="MDL16" s="508" t="s">
        <v>581</v>
      </c>
      <c r="MDM16" s="508" t="s">
        <v>581</v>
      </c>
      <c r="MDN16" s="508" t="s">
        <v>581</v>
      </c>
      <c r="MDO16" s="508" t="s">
        <v>581</v>
      </c>
      <c r="MDP16" s="508" t="s">
        <v>581</v>
      </c>
      <c r="MDQ16" s="508" t="s">
        <v>581</v>
      </c>
      <c r="MDR16" s="508" t="s">
        <v>581</v>
      </c>
      <c r="MDS16" s="508" t="s">
        <v>581</v>
      </c>
      <c r="MDT16" s="508" t="s">
        <v>581</v>
      </c>
      <c r="MDU16" s="508" t="s">
        <v>581</v>
      </c>
      <c r="MDV16" s="508" t="s">
        <v>581</v>
      </c>
      <c r="MDW16" s="508" t="s">
        <v>581</v>
      </c>
      <c r="MDX16" s="508" t="s">
        <v>581</v>
      </c>
      <c r="MDY16" s="508" t="s">
        <v>581</v>
      </c>
      <c r="MDZ16" s="508" t="s">
        <v>581</v>
      </c>
      <c r="MEA16" s="508" t="s">
        <v>581</v>
      </c>
      <c r="MEB16" s="508" t="s">
        <v>581</v>
      </c>
      <c r="MEC16" s="508" t="s">
        <v>581</v>
      </c>
      <c r="MED16" s="508" t="s">
        <v>581</v>
      </c>
      <c r="MEE16" s="508" t="s">
        <v>581</v>
      </c>
      <c r="MEF16" s="508" t="s">
        <v>581</v>
      </c>
      <c r="MEG16" s="508" t="s">
        <v>581</v>
      </c>
      <c r="MEH16" s="508" t="s">
        <v>581</v>
      </c>
      <c r="MEI16" s="508" t="s">
        <v>581</v>
      </c>
      <c r="MEJ16" s="508" t="s">
        <v>581</v>
      </c>
      <c r="MEK16" s="508" t="s">
        <v>581</v>
      </c>
      <c r="MEL16" s="508" t="s">
        <v>581</v>
      </c>
      <c r="MEM16" s="508" t="s">
        <v>581</v>
      </c>
      <c r="MEN16" s="508" t="s">
        <v>581</v>
      </c>
      <c r="MEO16" s="508" t="s">
        <v>581</v>
      </c>
      <c r="MEP16" s="508" t="s">
        <v>581</v>
      </c>
      <c r="MEQ16" s="508" t="s">
        <v>581</v>
      </c>
      <c r="MER16" s="508" t="s">
        <v>581</v>
      </c>
      <c r="MES16" s="508" t="s">
        <v>581</v>
      </c>
      <c r="MET16" s="508" t="s">
        <v>581</v>
      </c>
      <c r="MEU16" s="508" t="s">
        <v>581</v>
      </c>
      <c r="MEV16" s="508" t="s">
        <v>581</v>
      </c>
      <c r="MEW16" s="508" t="s">
        <v>581</v>
      </c>
      <c r="MEX16" s="508" t="s">
        <v>581</v>
      </c>
      <c r="MEY16" s="508" t="s">
        <v>581</v>
      </c>
      <c r="MEZ16" s="508" t="s">
        <v>581</v>
      </c>
      <c r="MFA16" s="508" t="s">
        <v>581</v>
      </c>
      <c r="MFB16" s="508" t="s">
        <v>581</v>
      </c>
      <c r="MFC16" s="508" t="s">
        <v>581</v>
      </c>
      <c r="MFD16" s="508" t="s">
        <v>581</v>
      </c>
      <c r="MFE16" s="508" t="s">
        <v>581</v>
      </c>
      <c r="MFF16" s="508" t="s">
        <v>581</v>
      </c>
      <c r="MFG16" s="508" t="s">
        <v>581</v>
      </c>
      <c r="MFH16" s="508" t="s">
        <v>581</v>
      </c>
      <c r="MFI16" s="508" t="s">
        <v>581</v>
      </c>
      <c r="MFJ16" s="508" t="s">
        <v>581</v>
      </c>
      <c r="MFK16" s="508" t="s">
        <v>581</v>
      </c>
      <c r="MFL16" s="508" t="s">
        <v>581</v>
      </c>
      <c r="MFM16" s="508" t="s">
        <v>581</v>
      </c>
      <c r="MFN16" s="508" t="s">
        <v>581</v>
      </c>
      <c r="MFO16" s="508" t="s">
        <v>581</v>
      </c>
      <c r="MFP16" s="508" t="s">
        <v>581</v>
      </c>
      <c r="MFQ16" s="508" t="s">
        <v>581</v>
      </c>
      <c r="MFR16" s="508" t="s">
        <v>581</v>
      </c>
      <c r="MFS16" s="508" t="s">
        <v>581</v>
      </c>
      <c r="MFT16" s="508" t="s">
        <v>581</v>
      </c>
      <c r="MFU16" s="508" t="s">
        <v>581</v>
      </c>
      <c r="MFV16" s="508" t="s">
        <v>581</v>
      </c>
      <c r="MFW16" s="508" t="s">
        <v>581</v>
      </c>
      <c r="MFX16" s="508" t="s">
        <v>581</v>
      </c>
      <c r="MFY16" s="508" t="s">
        <v>581</v>
      </c>
      <c r="MFZ16" s="508" t="s">
        <v>581</v>
      </c>
      <c r="MGA16" s="508" t="s">
        <v>581</v>
      </c>
      <c r="MGB16" s="508" t="s">
        <v>581</v>
      </c>
      <c r="MGC16" s="508" t="s">
        <v>581</v>
      </c>
      <c r="MGD16" s="508" t="s">
        <v>581</v>
      </c>
      <c r="MGE16" s="508" t="s">
        <v>581</v>
      </c>
      <c r="MGF16" s="508" t="s">
        <v>581</v>
      </c>
      <c r="MGG16" s="508" t="s">
        <v>581</v>
      </c>
      <c r="MGH16" s="508" t="s">
        <v>581</v>
      </c>
      <c r="MGI16" s="508" t="s">
        <v>581</v>
      </c>
      <c r="MGJ16" s="508" t="s">
        <v>581</v>
      </c>
      <c r="MGK16" s="508" t="s">
        <v>581</v>
      </c>
      <c r="MGL16" s="508" t="s">
        <v>581</v>
      </c>
      <c r="MGM16" s="508" t="s">
        <v>581</v>
      </c>
      <c r="MGN16" s="508" t="s">
        <v>581</v>
      </c>
      <c r="MGO16" s="508" t="s">
        <v>581</v>
      </c>
      <c r="MGP16" s="508" t="s">
        <v>581</v>
      </c>
      <c r="MGQ16" s="508" t="s">
        <v>581</v>
      </c>
      <c r="MGR16" s="508" t="s">
        <v>581</v>
      </c>
      <c r="MGS16" s="508" t="s">
        <v>581</v>
      </c>
      <c r="MGT16" s="508" t="s">
        <v>581</v>
      </c>
      <c r="MGU16" s="508" t="s">
        <v>581</v>
      </c>
      <c r="MGV16" s="508" t="s">
        <v>581</v>
      </c>
      <c r="MGW16" s="508" t="s">
        <v>581</v>
      </c>
      <c r="MGX16" s="508" t="s">
        <v>581</v>
      </c>
      <c r="MGY16" s="508" t="s">
        <v>581</v>
      </c>
      <c r="MGZ16" s="508" t="s">
        <v>581</v>
      </c>
      <c r="MHA16" s="508" t="s">
        <v>581</v>
      </c>
      <c r="MHB16" s="508" t="s">
        <v>581</v>
      </c>
      <c r="MHC16" s="508" t="s">
        <v>581</v>
      </c>
      <c r="MHD16" s="508" t="s">
        <v>581</v>
      </c>
      <c r="MHE16" s="508" t="s">
        <v>581</v>
      </c>
      <c r="MHF16" s="508" t="s">
        <v>581</v>
      </c>
      <c r="MHG16" s="508" t="s">
        <v>581</v>
      </c>
      <c r="MHH16" s="508" t="s">
        <v>581</v>
      </c>
      <c r="MHI16" s="508" t="s">
        <v>581</v>
      </c>
      <c r="MHJ16" s="508" t="s">
        <v>581</v>
      </c>
      <c r="MHK16" s="508" t="s">
        <v>581</v>
      </c>
      <c r="MHL16" s="508" t="s">
        <v>581</v>
      </c>
      <c r="MHM16" s="508" t="s">
        <v>581</v>
      </c>
      <c r="MHN16" s="508" t="s">
        <v>581</v>
      </c>
      <c r="MHO16" s="508" t="s">
        <v>581</v>
      </c>
      <c r="MHP16" s="508" t="s">
        <v>581</v>
      </c>
      <c r="MHQ16" s="508" t="s">
        <v>581</v>
      </c>
      <c r="MHR16" s="508" t="s">
        <v>581</v>
      </c>
      <c r="MHS16" s="508" t="s">
        <v>581</v>
      </c>
      <c r="MHT16" s="508" t="s">
        <v>581</v>
      </c>
      <c r="MHU16" s="508" t="s">
        <v>581</v>
      </c>
      <c r="MHV16" s="508" t="s">
        <v>581</v>
      </c>
      <c r="MHW16" s="508" t="s">
        <v>581</v>
      </c>
      <c r="MHX16" s="508" t="s">
        <v>581</v>
      </c>
      <c r="MHY16" s="508" t="s">
        <v>581</v>
      </c>
      <c r="MHZ16" s="508" t="s">
        <v>581</v>
      </c>
      <c r="MIA16" s="508" t="s">
        <v>581</v>
      </c>
      <c r="MIB16" s="508" t="s">
        <v>581</v>
      </c>
      <c r="MIC16" s="508" t="s">
        <v>581</v>
      </c>
      <c r="MID16" s="508" t="s">
        <v>581</v>
      </c>
      <c r="MIE16" s="508" t="s">
        <v>581</v>
      </c>
      <c r="MIF16" s="508" t="s">
        <v>581</v>
      </c>
      <c r="MIG16" s="508" t="s">
        <v>581</v>
      </c>
      <c r="MIH16" s="508" t="s">
        <v>581</v>
      </c>
      <c r="MII16" s="508" t="s">
        <v>581</v>
      </c>
      <c r="MIJ16" s="508" t="s">
        <v>581</v>
      </c>
      <c r="MIK16" s="508" t="s">
        <v>581</v>
      </c>
      <c r="MIL16" s="508" t="s">
        <v>581</v>
      </c>
      <c r="MIM16" s="508" t="s">
        <v>581</v>
      </c>
      <c r="MIN16" s="508" t="s">
        <v>581</v>
      </c>
      <c r="MIO16" s="508" t="s">
        <v>581</v>
      </c>
      <c r="MIP16" s="508" t="s">
        <v>581</v>
      </c>
      <c r="MIQ16" s="508" t="s">
        <v>581</v>
      </c>
      <c r="MIR16" s="508" t="s">
        <v>581</v>
      </c>
      <c r="MIS16" s="508" t="s">
        <v>581</v>
      </c>
      <c r="MIT16" s="508" t="s">
        <v>581</v>
      </c>
      <c r="MIU16" s="508" t="s">
        <v>581</v>
      </c>
      <c r="MIV16" s="508" t="s">
        <v>581</v>
      </c>
      <c r="MIW16" s="508" t="s">
        <v>581</v>
      </c>
      <c r="MIX16" s="508" t="s">
        <v>581</v>
      </c>
      <c r="MIY16" s="508" t="s">
        <v>581</v>
      </c>
      <c r="MIZ16" s="508" t="s">
        <v>581</v>
      </c>
      <c r="MJA16" s="508" t="s">
        <v>581</v>
      </c>
      <c r="MJB16" s="508" t="s">
        <v>581</v>
      </c>
      <c r="MJC16" s="508" t="s">
        <v>581</v>
      </c>
      <c r="MJD16" s="508" t="s">
        <v>581</v>
      </c>
      <c r="MJE16" s="508" t="s">
        <v>581</v>
      </c>
      <c r="MJF16" s="508" t="s">
        <v>581</v>
      </c>
      <c r="MJG16" s="508" t="s">
        <v>581</v>
      </c>
      <c r="MJH16" s="508" t="s">
        <v>581</v>
      </c>
      <c r="MJI16" s="508" t="s">
        <v>581</v>
      </c>
      <c r="MJJ16" s="508" t="s">
        <v>581</v>
      </c>
      <c r="MJK16" s="508" t="s">
        <v>581</v>
      </c>
      <c r="MJL16" s="508" t="s">
        <v>581</v>
      </c>
      <c r="MJM16" s="508" t="s">
        <v>581</v>
      </c>
      <c r="MJN16" s="508" t="s">
        <v>581</v>
      </c>
      <c r="MJO16" s="508" t="s">
        <v>581</v>
      </c>
      <c r="MJP16" s="508" t="s">
        <v>581</v>
      </c>
      <c r="MJQ16" s="508" t="s">
        <v>581</v>
      </c>
      <c r="MJR16" s="508" t="s">
        <v>581</v>
      </c>
      <c r="MJS16" s="508" t="s">
        <v>581</v>
      </c>
      <c r="MJT16" s="508" t="s">
        <v>581</v>
      </c>
      <c r="MJU16" s="508" t="s">
        <v>581</v>
      </c>
      <c r="MJV16" s="508" t="s">
        <v>581</v>
      </c>
      <c r="MJW16" s="508" t="s">
        <v>581</v>
      </c>
      <c r="MJX16" s="508" t="s">
        <v>581</v>
      </c>
      <c r="MJY16" s="508" t="s">
        <v>581</v>
      </c>
      <c r="MJZ16" s="508" t="s">
        <v>581</v>
      </c>
      <c r="MKA16" s="508" t="s">
        <v>581</v>
      </c>
      <c r="MKB16" s="508" t="s">
        <v>581</v>
      </c>
      <c r="MKC16" s="508" t="s">
        <v>581</v>
      </c>
      <c r="MKD16" s="508" t="s">
        <v>581</v>
      </c>
      <c r="MKE16" s="508" t="s">
        <v>581</v>
      </c>
      <c r="MKF16" s="508" t="s">
        <v>581</v>
      </c>
      <c r="MKG16" s="508" t="s">
        <v>581</v>
      </c>
      <c r="MKH16" s="508" t="s">
        <v>581</v>
      </c>
      <c r="MKI16" s="508" t="s">
        <v>581</v>
      </c>
      <c r="MKJ16" s="508" t="s">
        <v>581</v>
      </c>
      <c r="MKK16" s="508" t="s">
        <v>581</v>
      </c>
      <c r="MKL16" s="508" t="s">
        <v>581</v>
      </c>
      <c r="MKM16" s="508" t="s">
        <v>581</v>
      </c>
      <c r="MKN16" s="508" t="s">
        <v>581</v>
      </c>
      <c r="MKO16" s="508" t="s">
        <v>581</v>
      </c>
      <c r="MKP16" s="508" t="s">
        <v>581</v>
      </c>
      <c r="MKQ16" s="508" t="s">
        <v>581</v>
      </c>
      <c r="MKR16" s="508" t="s">
        <v>581</v>
      </c>
      <c r="MKS16" s="508" t="s">
        <v>581</v>
      </c>
      <c r="MKT16" s="508" t="s">
        <v>581</v>
      </c>
      <c r="MKU16" s="508" t="s">
        <v>581</v>
      </c>
      <c r="MKV16" s="508" t="s">
        <v>581</v>
      </c>
      <c r="MKW16" s="508" t="s">
        <v>581</v>
      </c>
      <c r="MKX16" s="508" t="s">
        <v>581</v>
      </c>
      <c r="MKY16" s="508" t="s">
        <v>581</v>
      </c>
      <c r="MKZ16" s="508" t="s">
        <v>581</v>
      </c>
      <c r="MLA16" s="508" t="s">
        <v>581</v>
      </c>
      <c r="MLB16" s="508" t="s">
        <v>581</v>
      </c>
      <c r="MLC16" s="508" t="s">
        <v>581</v>
      </c>
      <c r="MLD16" s="508" t="s">
        <v>581</v>
      </c>
      <c r="MLE16" s="508" t="s">
        <v>581</v>
      </c>
      <c r="MLF16" s="508" t="s">
        <v>581</v>
      </c>
      <c r="MLG16" s="508" t="s">
        <v>581</v>
      </c>
      <c r="MLH16" s="508" t="s">
        <v>581</v>
      </c>
      <c r="MLI16" s="508" t="s">
        <v>581</v>
      </c>
      <c r="MLJ16" s="508" t="s">
        <v>581</v>
      </c>
      <c r="MLK16" s="508" t="s">
        <v>581</v>
      </c>
      <c r="MLL16" s="508" t="s">
        <v>581</v>
      </c>
      <c r="MLM16" s="508" t="s">
        <v>581</v>
      </c>
      <c r="MLN16" s="508" t="s">
        <v>581</v>
      </c>
      <c r="MLO16" s="508" t="s">
        <v>581</v>
      </c>
      <c r="MLP16" s="508" t="s">
        <v>581</v>
      </c>
      <c r="MLQ16" s="508" t="s">
        <v>581</v>
      </c>
      <c r="MLR16" s="508" t="s">
        <v>581</v>
      </c>
      <c r="MLS16" s="508" t="s">
        <v>581</v>
      </c>
      <c r="MLT16" s="508" t="s">
        <v>581</v>
      </c>
      <c r="MLU16" s="508" t="s">
        <v>581</v>
      </c>
      <c r="MLV16" s="508" t="s">
        <v>581</v>
      </c>
      <c r="MLW16" s="508" t="s">
        <v>581</v>
      </c>
      <c r="MLX16" s="508" t="s">
        <v>581</v>
      </c>
      <c r="MLY16" s="508" t="s">
        <v>581</v>
      </c>
      <c r="MLZ16" s="508" t="s">
        <v>581</v>
      </c>
      <c r="MMA16" s="508" t="s">
        <v>581</v>
      </c>
      <c r="MMB16" s="508" t="s">
        <v>581</v>
      </c>
      <c r="MMC16" s="508" t="s">
        <v>581</v>
      </c>
      <c r="MMD16" s="508" t="s">
        <v>581</v>
      </c>
      <c r="MME16" s="508" t="s">
        <v>581</v>
      </c>
      <c r="MMF16" s="508" t="s">
        <v>581</v>
      </c>
      <c r="MMG16" s="508" t="s">
        <v>581</v>
      </c>
      <c r="MMH16" s="508" t="s">
        <v>581</v>
      </c>
      <c r="MMI16" s="508" t="s">
        <v>581</v>
      </c>
      <c r="MMJ16" s="508" t="s">
        <v>581</v>
      </c>
      <c r="MMK16" s="508" t="s">
        <v>581</v>
      </c>
      <c r="MML16" s="508" t="s">
        <v>581</v>
      </c>
      <c r="MMM16" s="508" t="s">
        <v>581</v>
      </c>
      <c r="MMN16" s="508" t="s">
        <v>581</v>
      </c>
      <c r="MMO16" s="508" t="s">
        <v>581</v>
      </c>
      <c r="MMP16" s="508" t="s">
        <v>581</v>
      </c>
      <c r="MMQ16" s="508" t="s">
        <v>581</v>
      </c>
      <c r="MMR16" s="508" t="s">
        <v>581</v>
      </c>
      <c r="MMS16" s="508" t="s">
        <v>581</v>
      </c>
      <c r="MMT16" s="508" t="s">
        <v>581</v>
      </c>
      <c r="MMU16" s="508" t="s">
        <v>581</v>
      </c>
      <c r="MMV16" s="508" t="s">
        <v>581</v>
      </c>
      <c r="MMW16" s="508" t="s">
        <v>581</v>
      </c>
      <c r="MMX16" s="508" t="s">
        <v>581</v>
      </c>
      <c r="MMY16" s="508" t="s">
        <v>581</v>
      </c>
      <c r="MMZ16" s="508" t="s">
        <v>581</v>
      </c>
      <c r="MNA16" s="508" t="s">
        <v>581</v>
      </c>
      <c r="MNB16" s="508" t="s">
        <v>581</v>
      </c>
      <c r="MNC16" s="508" t="s">
        <v>581</v>
      </c>
      <c r="MND16" s="508" t="s">
        <v>581</v>
      </c>
      <c r="MNE16" s="508" t="s">
        <v>581</v>
      </c>
      <c r="MNF16" s="508" t="s">
        <v>581</v>
      </c>
      <c r="MNG16" s="508" t="s">
        <v>581</v>
      </c>
      <c r="MNH16" s="508" t="s">
        <v>581</v>
      </c>
      <c r="MNI16" s="508" t="s">
        <v>581</v>
      </c>
      <c r="MNJ16" s="508" t="s">
        <v>581</v>
      </c>
      <c r="MNK16" s="508" t="s">
        <v>581</v>
      </c>
      <c r="MNL16" s="508" t="s">
        <v>581</v>
      </c>
      <c r="MNM16" s="508" t="s">
        <v>581</v>
      </c>
      <c r="MNN16" s="508" t="s">
        <v>581</v>
      </c>
      <c r="MNO16" s="508" t="s">
        <v>581</v>
      </c>
      <c r="MNP16" s="508" t="s">
        <v>581</v>
      </c>
      <c r="MNQ16" s="508" t="s">
        <v>581</v>
      </c>
      <c r="MNR16" s="508" t="s">
        <v>581</v>
      </c>
      <c r="MNS16" s="508" t="s">
        <v>581</v>
      </c>
      <c r="MNT16" s="508" t="s">
        <v>581</v>
      </c>
      <c r="MNU16" s="508" t="s">
        <v>581</v>
      </c>
      <c r="MNV16" s="508" t="s">
        <v>581</v>
      </c>
      <c r="MNW16" s="508" t="s">
        <v>581</v>
      </c>
      <c r="MNX16" s="508" t="s">
        <v>581</v>
      </c>
      <c r="MNY16" s="508" t="s">
        <v>581</v>
      </c>
      <c r="MNZ16" s="508" t="s">
        <v>581</v>
      </c>
      <c r="MOA16" s="508" t="s">
        <v>581</v>
      </c>
      <c r="MOB16" s="508" t="s">
        <v>581</v>
      </c>
      <c r="MOC16" s="508" t="s">
        <v>581</v>
      </c>
      <c r="MOD16" s="508" t="s">
        <v>581</v>
      </c>
      <c r="MOE16" s="508" t="s">
        <v>581</v>
      </c>
      <c r="MOF16" s="508" t="s">
        <v>581</v>
      </c>
      <c r="MOG16" s="508" t="s">
        <v>581</v>
      </c>
      <c r="MOH16" s="508" t="s">
        <v>581</v>
      </c>
      <c r="MOI16" s="508" t="s">
        <v>581</v>
      </c>
      <c r="MOJ16" s="508" t="s">
        <v>581</v>
      </c>
      <c r="MOK16" s="508" t="s">
        <v>581</v>
      </c>
      <c r="MOL16" s="508" t="s">
        <v>581</v>
      </c>
      <c r="MOM16" s="508" t="s">
        <v>581</v>
      </c>
      <c r="MON16" s="508" t="s">
        <v>581</v>
      </c>
      <c r="MOO16" s="508" t="s">
        <v>581</v>
      </c>
      <c r="MOP16" s="508" t="s">
        <v>581</v>
      </c>
      <c r="MOQ16" s="508" t="s">
        <v>581</v>
      </c>
      <c r="MOR16" s="508" t="s">
        <v>581</v>
      </c>
      <c r="MOS16" s="508" t="s">
        <v>581</v>
      </c>
      <c r="MOT16" s="508" t="s">
        <v>581</v>
      </c>
      <c r="MOU16" s="508" t="s">
        <v>581</v>
      </c>
      <c r="MOV16" s="508" t="s">
        <v>581</v>
      </c>
      <c r="MOW16" s="508" t="s">
        <v>581</v>
      </c>
      <c r="MOX16" s="508" t="s">
        <v>581</v>
      </c>
      <c r="MOY16" s="508" t="s">
        <v>581</v>
      </c>
      <c r="MOZ16" s="508" t="s">
        <v>581</v>
      </c>
      <c r="MPA16" s="508" t="s">
        <v>581</v>
      </c>
      <c r="MPB16" s="508" t="s">
        <v>581</v>
      </c>
      <c r="MPC16" s="508" t="s">
        <v>581</v>
      </c>
      <c r="MPD16" s="508" t="s">
        <v>581</v>
      </c>
      <c r="MPE16" s="508" t="s">
        <v>581</v>
      </c>
      <c r="MPF16" s="508" t="s">
        <v>581</v>
      </c>
      <c r="MPG16" s="508" t="s">
        <v>581</v>
      </c>
      <c r="MPH16" s="508" t="s">
        <v>581</v>
      </c>
      <c r="MPI16" s="508" t="s">
        <v>581</v>
      </c>
      <c r="MPJ16" s="508" t="s">
        <v>581</v>
      </c>
      <c r="MPK16" s="508" t="s">
        <v>581</v>
      </c>
      <c r="MPL16" s="508" t="s">
        <v>581</v>
      </c>
      <c r="MPM16" s="508" t="s">
        <v>581</v>
      </c>
      <c r="MPN16" s="508" t="s">
        <v>581</v>
      </c>
      <c r="MPO16" s="508" t="s">
        <v>581</v>
      </c>
      <c r="MPP16" s="508" t="s">
        <v>581</v>
      </c>
      <c r="MPQ16" s="508" t="s">
        <v>581</v>
      </c>
      <c r="MPR16" s="508" t="s">
        <v>581</v>
      </c>
      <c r="MPS16" s="508" t="s">
        <v>581</v>
      </c>
      <c r="MPT16" s="508" t="s">
        <v>581</v>
      </c>
      <c r="MPU16" s="508" t="s">
        <v>581</v>
      </c>
      <c r="MPV16" s="508" t="s">
        <v>581</v>
      </c>
      <c r="MPW16" s="508" t="s">
        <v>581</v>
      </c>
      <c r="MPX16" s="508" t="s">
        <v>581</v>
      </c>
      <c r="MPY16" s="508" t="s">
        <v>581</v>
      </c>
      <c r="MPZ16" s="508" t="s">
        <v>581</v>
      </c>
      <c r="MQA16" s="508" t="s">
        <v>581</v>
      </c>
      <c r="MQB16" s="508" t="s">
        <v>581</v>
      </c>
      <c r="MQC16" s="508" t="s">
        <v>581</v>
      </c>
      <c r="MQD16" s="508" t="s">
        <v>581</v>
      </c>
      <c r="MQE16" s="508" t="s">
        <v>581</v>
      </c>
      <c r="MQF16" s="508" t="s">
        <v>581</v>
      </c>
      <c r="MQG16" s="508" t="s">
        <v>581</v>
      </c>
      <c r="MQH16" s="508" t="s">
        <v>581</v>
      </c>
      <c r="MQI16" s="508" t="s">
        <v>581</v>
      </c>
      <c r="MQJ16" s="508" t="s">
        <v>581</v>
      </c>
      <c r="MQK16" s="508" t="s">
        <v>581</v>
      </c>
      <c r="MQL16" s="508" t="s">
        <v>581</v>
      </c>
      <c r="MQM16" s="508" t="s">
        <v>581</v>
      </c>
      <c r="MQN16" s="508" t="s">
        <v>581</v>
      </c>
      <c r="MQO16" s="508" t="s">
        <v>581</v>
      </c>
      <c r="MQP16" s="508" t="s">
        <v>581</v>
      </c>
      <c r="MQQ16" s="508" t="s">
        <v>581</v>
      </c>
      <c r="MQR16" s="508" t="s">
        <v>581</v>
      </c>
      <c r="MQS16" s="508" t="s">
        <v>581</v>
      </c>
      <c r="MQT16" s="508" t="s">
        <v>581</v>
      </c>
      <c r="MQU16" s="508" t="s">
        <v>581</v>
      </c>
      <c r="MQV16" s="508" t="s">
        <v>581</v>
      </c>
      <c r="MQW16" s="508" t="s">
        <v>581</v>
      </c>
      <c r="MQX16" s="508" t="s">
        <v>581</v>
      </c>
      <c r="MQY16" s="508" t="s">
        <v>581</v>
      </c>
      <c r="MQZ16" s="508" t="s">
        <v>581</v>
      </c>
      <c r="MRA16" s="508" t="s">
        <v>581</v>
      </c>
      <c r="MRB16" s="508" t="s">
        <v>581</v>
      </c>
      <c r="MRC16" s="508" t="s">
        <v>581</v>
      </c>
      <c r="MRD16" s="508" t="s">
        <v>581</v>
      </c>
      <c r="MRE16" s="508" t="s">
        <v>581</v>
      </c>
      <c r="MRF16" s="508" t="s">
        <v>581</v>
      </c>
      <c r="MRG16" s="508" t="s">
        <v>581</v>
      </c>
      <c r="MRH16" s="508" t="s">
        <v>581</v>
      </c>
      <c r="MRI16" s="508" t="s">
        <v>581</v>
      </c>
      <c r="MRJ16" s="508" t="s">
        <v>581</v>
      </c>
      <c r="MRK16" s="508" t="s">
        <v>581</v>
      </c>
      <c r="MRL16" s="508" t="s">
        <v>581</v>
      </c>
      <c r="MRM16" s="508" t="s">
        <v>581</v>
      </c>
      <c r="MRN16" s="508" t="s">
        <v>581</v>
      </c>
      <c r="MRO16" s="508" t="s">
        <v>581</v>
      </c>
      <c r="MRP16" s="508" t="s">
        <v>581</v>
      </c>
      <c r="MRQ16" s="508" t="s">
        <v>581</v>
      </c>
      <c r="MRR16" s="508" t="s">
        <v>581</v>
      </c>
      <c r="MRS16" s="508" t="s">
        <v>581</v>
      </c>
      <c r="MRT16" s="508" t="s">
        <v>581</v>
      </c>
      <c r="MRU16" s="508" t="s">
        <v>581</v>
      </c>
      <c r="MRV16" s="508" t="s">
        <v>581</v>
      </c>
      <c r="MRW16" s="508" t="s">
        <v>581</v>
      </c>
      <c r="MRX16" s="508" t="s">
        <v>581</v>
      </c>
      <c r="MRY16" s="508" t="s">
        <v>581</v>
      </c>
      <c r="MRZ16" s="508" t="s">
        <v>581</v>
      </c>
      <c r="MSA16" s="508" t="s">
        <v>581</v>
      </c>
      <c r="MSB16" s="508" t="s">
        <v>581</v>
      </c>
      <c r="MSC16" s="508" t="s">
        <v>581</v>
      </c>
      <c r="MSD16" s="508" t="s">
        <v>581</v>
      </c>
      <c r="MSE16" s="508" t="s">
        <v>581</v>
      </c>
      <c r="MSF16" s="508" t="s">
        <v>581</v>
      </c>
      <c r="MSG16" s="508" t="s">
        <v>581</v>
      </c>
      <c r="MSH16" s="508" t="s">
        <v>581</v>
      </c>
      <c r="MSI16" s="508" t="s">
        <v>581</v>
      </c>
      <c r="MSJ16" s="508" t="s">
        <v>581</v>
      </c>
      <c r="MSK16" s="508" t="s">
        <v>581</v>
      </c>
      <c r="MSL16" s="508" t="s">
        <v>581</v>
      </c>
      <c r="MSM16" s="508" t="s">
        <v>581</v>
      </c>
      <c r="MSN16" s="508" t="s">
        <v>581</v>
      </c>
      <c r="MSO16" s="508" t="s">
        <v>581</v>
      </c>
      <c r="MSP16" s="508" t="s">
        <v>581</v>
      </c>
      <c r="MSQ16" s="508" t="s">
        <v>581</v>
      </c>
      <c r="MSR16" s="508" t="s">
        <v>581</v>
      </c>
      <c r="MSS16" s="508" t="s">
        <v>581</v>
      </c>
      <c r="MST16" s="508" t="s">
        <v>581</v>
      </c>
      <c r="MSU16" s="508" t="s">
        <v>581</v>
      </c>
      <c r="MSV16" s="508" t="s">
        <v>581</v>
      </c>
      <c r="MSW16" s="508" t="s">
        <v>581</v>
      </c>
      <c r="MSX16" s="508" t="s">
        <v>581</v>
      </c>
      <c r="MSY16" s="508" t="s">
        <v>581</v>
      </c>
      <c r="MSZ16" s="508" t="s">
        <v>581</v>
      </c>
      <c r="MTA16" s="508" t="s">
        <v>581</v>
      </c>
      <c r="MTB16" s="508" t="s">
        <v>581</v>
      </c>
      <c r="MTC16" s="508" t="s">
        <v>581</v>
      </c>
      <c r="MTD16" s="508" t="s">
        <v>581</v>
      </c>
      <c r="MTE16" s="508" t="s">
        <v>581</v>
      </c>
      <c r="MTF16" s="508" t="s">
        <v>581</v>
      </c>
      <c r="MTG16" s="508" t="s">
        <v>581</v>
      </c>
      <c r="MTH16" s="508" t="s">
        <v>581</v>
      </c>
      <c r="MTI16" s="508" t="s">
        <v>581</v>
      </c>
      <c r="MTJ16" s="508" t="s">
        <v>581</v>
      </c>
      <c r="MTK16" s="508" t="s">
        <v>581</v>
      </c>
      <c r="MTL16" s="508" t="s">
        <v>581</v>
      </c>
      <c r="MTM16" s="508" t="s">
        <v>581</v>
      </c>
      <c r="MTN16" s="508" t="s">
        <v>581</v>
      </c>
      <c r="MTO16" s="508" t="s">
        <v>581</v>
      </c>
      <c r="MTP16" s="508" t="s">
        <v>581</v>
      </c>
      <c r="MTQ16" s="508" t="s">
        <v>581</v>
      </c>
      <c r="MTR16" s="508" t="s">
        <v>581</v>
      </c>
      <c r="MTS16" s="508" t="s">
        <v>581</v>
      </c>
      <c r="MTT16" s="508" t="s">
        <v>581</v>
      </c>
      <c r="MTU16" s="508" t="s">
        <v>581</v>
      </c>
      <c r="MTV16" s="508" t="s">
        <v>581</v>
      </c>
      <c r="MTW16" s="508" t="s">
        <v>581</v>
      </c>
      <c r="MTX16" s="508" t="s">
        <v>581</v>
      </c>
      <c r="MTY16" s="508" t="s">
        <v>581</v>
      </c>
      <c r="MTZ16" s="508" t="s">
        <v>581</v>
      </c>
      <c r="MUA16" s="508" t="s">
        <v>581</v>
      </c>
      <c r="MUB16" s="508" t="s">
        <v>581</v>
      </c>
      <c r="MUC16" s="508" t="s">
        <v>581</v>
      </c>
      <c r="MUD16" s="508" t="s">
        <v>581</v>
      </c>
      <c r="MUE16" s="508" t="s">
        <v>581</v>
      </c>
      <c r="MUF16" s="508" t="s">
        <v>581</v>
      </c>
      <c r="MUG16" s="508" t="s">
        <v>581</v>
      </c>
      <c r="MUH16" s="508" t="s">
        <v>581</v>
      </c>
      <c r="MUI16" s="508" t="s">
        <v>581</v>
      </c>
      <c r="MUJ16" s="508" t="s">
        <v>581</v>
      </c>
      <c r="MUK16" s="508" t="s">
        <v>581</v>
      </c>
      <c r="MUL16" s="508" t="s">
        <v>581</v>
      </c>
      <c r="MUM16" s="508" t="s">
        <v>581</v>
      </c>
      <c r="MUN16" s="508" t="s">
        <v>581</v>
      </c>
      <c r="MUO16" s="508" t="s">
        <v>581</v>
      </c>
      <c r="MUP16" s="508" t="s">
        <v>581</v>
      </c>
      <c r="MUQ16" s="508" t="s">
        <v>581</v>
      </c>
      <c r="MUR16" s="508" t="s">
        <v>581</v>
      </c>
      <c r="MUS16" s="508" t="s">
        <v>581</v>
      </c>
      <c r="MUT16" s="508" t="s">
        <v>581</v>
      </c>
      <c r="MUU16" s="508" t="s">
        <v>581</v>
      </c>
      <c r="MUV16" s="508" t="s">
        <v>581</v>
      </c>
      <c r="MUW16" s="508" t="s">
        <v>581</v>
      </c>
      <c r="MUX16" s="508" t="s">
        <v>581</v>
      </c>
      <c r="MUY16" s="508" t="s">
        <v>581</v>
      </c>
      <c r="MUZ16" s="508" t="s">
        <v>581</v>
      </c>
      <c r="MVA16" s="508" t="s">
        <v>581</v>
      </c>
      <c r="MVB16" s="508" t="s">
        <v>581</v>
      </c>
      <c r="MVC16" s="508" t="s">
        <v>581</v>
      </c>
      <c r="MVD16" s="508" t="s">
        <v>581</v>
      </c>
      <c r="MVE16" s="508" t="s">
        <v>581</v>
      </c>
      <c r="MVF16" s="508" t="s">
        <v>581</v>
      </c>
      <c r="MVG16" s="508" t="s">
        <v>581</v>
      </c>
      <c r="MVH16" s="508" t="s">
        <v>581</v>
      </c>
      <c r="MVI16" s="508" t="s">
        <v>581</v>
      </c>
      <c r="MVJ16" s="508" t="s">
        <v>581</v>
      </c>
      <c r="MVK16" s="508" t="s">
        <v>581</v>
      </c>
      <c r="MVL16" s="508" t="s">
        <v>581</v>
      </c>
      <c r="MVM16" s="508" t="s">
        <v>581</v>
      </c>
      <c r="MVN16" s="508" t="s">
        <v>581</v>
      </c>
      <c r="MVO16" s="508" t="s">
        <v>581</v>
      </c>
      <c r="MVP16" s="508" t="s">
        <v>581</v>
      </c>
      <c r="MVQ16" s="508" t="s">
        <v>581</v>
      </c>
      <c r="MVR16" s="508" t="s">
        <v>581</v>
      </c>
      <c r="MVS16" s="508" t="s">
        <v>581</v>
      </c>
      <c r="MVT16" s="508" t="s">
        <v>581</v>
      </c>
      <c r="MVU16" s="508" t="s">
        <v>581</v>
      </c>
      <c r="MVV16" s="508" t="s">
        <v>581</v>
      </c>
      <c r="MVW16" s="508" t="s">
        <v>581</v>
      </c>
      <c r="MVX16" s="508" t="s">
        <v>581</v>
      </c>
      <c r="MVY16" s="508" t="s">
        <v>581</v>
      </c>
      <c r="MVZ16" s="508" t="s">
        <v>581</v>
      </c>
      <c r="MWA16" s="508" t="s">
        <v>581</v>
      </c>
      <c r="MWB16" s="508" t="s">
        <v>581</v>
      </c>
      <c r="MWC16" s="508" t="s">
        <v>581</v>
      </c>
      <c r="MWD16" s="508" t="s">
        <v>581</v>
      </c>
      <c r="MWE16" s="508" t="s">
        <v>581</v>
      </c>
      <c r="MWF16" s="508" t="s">
        <v>581</v>
      </c>
      <c r="MWG16" s="508" t="s">
        <v>581</v>
      </c>
      <c r="MWH16" s="508" t="s">
        <v>581</v>
      </c>
      <c r="MWI16" s="508" t="s">
        <v>581</v>
      </c>
      <c r="MWJ16" s="508" t="s">
        <v>581</v>
      </c>
      <c r="MWK16" s="508" t="s">
        <v>581</v>
      </c>
      <c r="MWL16" s="508" t="s">
        <v>581</v>
      </c>
      <c r="MWM16" s="508" t="s">
        <v>581</v>
      </c>
      <c r="MWN16" s="508" t="s">
        <v>581</v>
      </c>
      <c r="MWO16" s="508" t="s">
        <v>581</v>
      </c>
      <c r="MWP16" s="508" t="s">
        <v>581</v>
      </c>
      <c r="MWQ16" s="508" t="s">
        <v>581</v>
      </c>
      <c r="MWR16" s="508" t="s">
        <v>581</v>
      </c>
      <c r="MWS16" s="508" t="s">
        <v>581</v>
      </c>
      <c r="MWT16" s="508" t="s">
        <v>581</v>
      </c>
      <c r="MWU16" s="508" t="s">
        <v>581</v>
      </c>
      <c r="MWV16" s="508" t="s">
        <v>581</v>
      </c>
      <c r="MWW16" s="508" t="s">
        <v>581</v>
      </c>
      <c r="MWX16" s="508" t="s">
        <v>581</v>
      </c>
      <c r="MWY16" s="508" t="s">
        <v>581</v>
      </c>
      <c r="MWZ16" s="508" t="s">
        <v>581</v>
      </c>
      <c r="MXA16" s="508" t="s">
        <v>581</v>
      </c>
      <c r="MXB16" s="508" t="s">
        <v>581</v>
      </c>
      <c r="MXC16" s="508" t="s">
        <v>581</v>
      </c>
      <c r="MXD16" s="508" t="s">
        <v>581</v>
      </c>
      <c r="MXE16" s="508" t="s">
        <v>581</v>
      </c>
      <c r="MXF16" s="508" t="s">
        <v>581</v>
      </c>
      <c r="MXG16" s="508" t="s">
        <v>581</v>
      </c>
      <c r="MXH16" s="508" t="s">
        <v>581</v>
      </c>
      <c r="MXI16" s="508" t="s">
        <v>581</v>
      </c>
      <c r="MXJ16" s="508" t="s">
        <v>581</v>
      </c>
      <c r="MXK16" s="508" t="s">
        <v>581</v>
      </c>
      <c r="MXL16" s="508" t="s">
        <v>581</v>
      </c>
      <c r="MXM16" s="508" t="s">
        <v>581</v>
      </c>
      <c r="MXN16" s="508" t="s">
        <v>581</v>
      </c>
      <c r="MXO16" s="508" t="s">
        <v>581</v>
      </c>
      <c r="MXP16" s="508" t="s">
        <v>581</v>
      </c>
      <c r="MXQ16" s="508" t="s">
        <v>581</v>
      </c>
      <c r="MXR16" s="508" t="s">
        <v>581</v>
      </c>
      <c r="MXS16" s="508" t="s">
        <v>581</v>
      </c>
      <c r="MXT16" s="508" t="s">
        <v>581</v>
      </c>
      <c r="MXU16" s="508" t="s">
        <v>581</v>
      </c>
      <c r="MXV16" s="508" t="s">
        <v>581</v>
      </c>
      <c r="MXW16" s="508" t="s">
        <v>581</v>
      </c>
      <c r="MXX16" s="508" t="s">
        <v>581</v>
      </c>
      <c r="MXY16" s="508" t="s">
        <v>581</v>
      </c>
      <c r="MXZ16" s="508" t="s">
        <v>581</v>
      </c>
      <c r="MYA16" s="508" t="s">
        <v>581</v>
      </c>
      <c r="MYB16" s="508" t="s">
        <v>581</v>
      </c>
      <c r="MYC16" s="508" t="s">
        <v>581</v>
      </c>
      <c r="MYD16" s="508" t="s">
        <v>581</v>
      </c>
      <c r="MYE16" s="508" t="s">
        <v>581</v>
      </c>
      <c r="MYF16" s="508" t="s">
        <v>581</v>
      </c>
      <c r="MYG16" s="508" t="s">
        <v>581</v>
      </c>
      <c r="MYH16" s="508" t="s">
        <v>581</v>
      </c>
      <c r="MYI16" s="508" t="s">
        <v>581</v>
      </c>
      <c r="MYJ16" s="508" t="s">
        <v>581</v>
      </c>
      <c r="MYK16" s="508" t="s">
        <v>581</v>
      </c>
      <c r="MYL16" s="508" t="s">
        <v>581</v>
      </c>
      <c r="MYM16" s="508" t="s">
        <v>581</v>
      </c>
      <c r="MYN16" s="508" t="s">
        <v>581</v>
      </c>
      <c r="MYO16" s="508" t="s">
        <v>581</v>
      </c>
      <c r="MYP16" s="508" t="s">
        <v>581</v>
      </c>
      <c r="MYQ16" s="508" t="s">
        <v>581</v>
      </c>
      <c r="MYR16" s="508" t="s">
        <v>581</v>
      </c>
      <c r="MYS16" s="508" t="s">
        <v>581</v>
      </c>
      <c r="MYT16" s="508" t="s">
        <v>581</v>
      </c>
      <c r="MYU16" s="508" t="s">
        <v>581</v>
      </c>
      <c r="MYV16" s="508" t="s">
        <v>581</v>
      </c>
      <c r="MYW16" s="508" t="s">
        <v>581</v>
      </c>
      <c r="MYX16" s="508" t="s">
        <v>581</v>
      </c>
      <c r="MYY16" s="508" t="s">
        <v>581</v>
      </c>
      <c r="MYZ16" s="508" t="s">
        <v>581</v>
      </c>
      <c r="MZA16" s="508" t="s">
        <v>581</v>
      </c>
      <c r="MZB16" s="508" t="s">
        <v>581</v>
      </c>
      <c r="MZC16" s="508" t="s">
        <v>581</v>
      </c>
      <c r="MZD16" s="508" t="s">
        <v>581</v>
      </c>
      <c r="MZE16" s="508" t="s">
        <v>581</v>
      </c>
      <c r="MZF16" s="508" t="s">
        <v>581</v>
      </c>
      <c r="MZG16" s="508" t="s">
        <v>581</v>
      </c>
      <c r="MZH16" s="508" t="s">
        <v>581</v>
      </c>
      <c r="MZI16" s="508" t="s">
        <v>581</v>
      </c>
      <c r="MZJ16" s="508" t="s">
        <v>581</v>
      </c>
      <c r="MZK16" s="508" t="s">
        <v>581</v>
      </c>
      <c r="MZL16" s="508" t="s">
        <v>581</v>
      </c>
      <c r="MZM16" s="508" t="s">
        <v>581</v>
      </c>
      <c r="MZN16" s="508" t="s">
        <v>581</v>
      </c>
      <c r="MZO16" s="508" t="s">
        <v>581</v>
      </c>
      <c r="MZP16" s="508" t="s">
        <v>581</v>
      </c>
      <c r="MZQ16" s="508" t="s">
        <v>581</v>
      </c>
      <c r="MZR16" s="508" t="s">
        <v>581</v>
      </c>
      <c r="MZS16" s="508" t="s">
        <v>581</v>
      </c>
      <c r="MZT16" s="508" t="s">
        <v>581</v>
      </c>
      <c r="MZU16" s="508" t="s">
        <v>581</v>
      </c>
      <c r="MZV16" s="508" t="s">
        <v>581</v>
      </c>
      <c r="MZW16" s="508" t="s">
        <v>581</v>
      </c>
      <c r="MZX16" s="508" t="s">
        <v>581</v>
      </c>
      <c r="MZY16" s="508" t="s">
        <v>581</v>
      </c>
      <c r="MZZ16" s="508" t="s">
        <v>581</v>
      </c>
      <c r="NAA16" s="508" t="s">
        <v>581</v>
      </c>
      <c r="NAB16" s="508" t="s">
        <v>581</v>
      </c>
      <c r="NAC16" s="508" t="s">
        <v>581</v>
      </c>
      <c r="NAD16" s="508" t="s">
        <v>581</v>
      </c>
      <c r="NAE16" s="508" t="s">
        <v>581</v>
      </c>
      <c r="NAF16" s="508" t="s">
        <v>581</v>
      </c>
      <c r="NAG16" s="508" t="s">
        <v>581</v>
      </c>
      <c r="NAH16" s="508" t="s">
        <v>581</v>
      </c>
      <c r="NAI16" s="508" t="s">
        <v>581</v>
      </c>
      <c r="NAJ16" s="508" t="s">
        <v>581</v>
      </c>
      <c r="NAK16" s="508" t="s">
        <v>581</v>
      </c>
      <c r="NAL16" s="508" t="s">
        <v>581</v>
      </c>
      <c r="NAM16" s="508" t="s">
        <v>581</v>
      </c>
      <c r="NAN16" s="508" t="s">
        <v>581</v>
      </c>
      <c r="NAO16" s="508" t="s">
        <v>581</v>
      </c>
      <c r="NAP16" s="508" t="s">
        <v>581</v>
      </c>
      <c r="NAQ16" s="508" t="s">
        <v>581</v>
      </c>
      <c r="NAR16" s="508" t="s">
        <v>581</v>
      </c>
      <c r="NAS16" s="508" t="s">
        <v>581</v>
      </c>
      <c r="NAT16" s="508" t="s">
        <v>581</v>
      </c>
      <c r="NAU16" s="508" t="s">
        <v>581</v>
      </c>
      <c r="NAV16" s="508" t="s">
        <v>581</v>
      </c>
      <c r="NAW16" s="508" t="s">
        <v>581</v>
      </c>
      <c r="NAX16" s="508" t="s">
        <v>581</v>
      </c>
      <c r="NAY16" s="508" t="s">
        <v>581</v>
      </c>
      <c r="NAZ16" s="508" t="s">
        <v>581</v>
      </c>
      <c r="NBA16" s="508" t="s">
        <v>581</v>
      </c>
      <c r="NBB16" s="508" t="s">
        <v>581</v>
      </c>
      <c r="NBC16" s="508" t="s">
        <v>581</v>
      </c>
      <c r="NBD16" s="508" t="s">
        <v>581</v>
      </c>
      <c r="NBE16" s="508" t="s">
        <v>581</v>
      </c>
      <c r="NBF16" s="508" t="s">
        <v>581</v>
      </c>
      <c r="NBG16" s="508" t="s">
        <v>581</v>
      </c>
      <c r="NBH16" s="508" t="s">
        <v>581</v>
      </c>
      <c r="NBI16" s="508" t="s">
        <v>581</v>
      </c>
      <c r="NBJ16" s="508" t="s">
        <v>581</v>
      </c>
      <c r="NBK16" s="508" t="s">
        <v>581</v>
      </c>
      <c r="NBL16" s="508" t="s">
        <v>581</v>
      </c>
      <c r="NBM16" s="508" t="s">
        <v>581</v>
      </c>
      <c r="NBN16" s="508" t="s">
        <v>581</v>
      </c>
      <c r="NBO16" s="508" t="s">
        <v>581</v>
      </c>
      <c r="NBP16" s="508" t="s">
        <v>581</v>
      </c>
      <c r="NBQ16" s="508" t="s">
        <v>581</v>
      </c>
      <c r="NBR16" s="508" t="s">
        <v>581</v>
      </c>
      <c r="NBS16" s="508" t="s">
        <v>581</v>
      </c>
      <c r="NBT16" s="508" t="s">
        <v>581</v>
      </c>
      <c r="NBU16" s="508" t="s">
        <v>581</v>
      </c>
      <c r="NBV16" s="508" t="s">
        <v>581</v>
      </c>
      <c r="NBW16" s="508" t="s">
        <v>581</v>
      </c>
      <c r="NBX16" s="508" t="s">
        <v>581</v>
      </c>
      <c r="NBY16" s="508" t="s">
        <v>581</v>
      </c>
      <c r="NBZ16" s="508" t="s">
        <v>581</v>
      </c>
      <c r="NCA16" s="508" t="s">
        <v>581</v>
      </c>
      <c r="NCB16" s="508" t="s">
        <v>581</v>
      </c>
      <c r="NCC16" s="508" t="s">
        <v>581</v>
      </c>
      <c r="NCD16" s="508" t="s">
        <v>581</v>
      </c>
      <c r="NCE16" s="508" t="s">
        <v>581</v>
      </c>
      <c r="NCF16" s="508" t="s">
        <v>581</v>
      </c>
      <c r="NCG16" s="508" t="s">
        <v>581</v>
      </c>
      <c r="NCH16" s="508" t="s">
        <v>581</v>
      </c>
      <c r="NCI16" s="508" t="s">
        <v>581</v>
      </c>
      <c r="NCJ16" s="508" t="s">
        <v>581</v>
      </c>
      <c r="NCK16" s="508" t="s">
        <v>581</v>
      </c>
      <c r="NCL16" s="508" t="s">
        <v>581</v>
      </c>
      <c r="NCM16" s="508" t="s">
        <v>581</v>
      </c>
      <c r="NCN16" s="508" t="s">
        <v>581</v>
      </c>
      <c r="NCO16" s="508" t="s">
        <v>581</v>
      </c>
      <c r="NCP16" s="508" t="s">
        <v>581</v>
      </c>
      <c r="NCQ16" s="508" t="s">
        <v>581</v>
      </c>
      <c r="NCR16" s="508" t="s">
        <v>581</v>
      </c>
      <c r="NCS16" s="508" t="s">
        <v>581</v>
      </c>
      <c r="NCT16" s="508" t="s">
        <v>581</v>
      </c>
      <c r="NCU16" s="508" t="s">
        <v>581</v>
      </c>
      <c r="NCV16" s="508" t="s">
        <v>581</v>
      </c>
      <c r="NCW16" s="508" t="s">
        <v>581</v>
      </c>
      <c r="NCX16" s="508" t="s">
        <v>581</v>
      </c>
      <c r="NCY16" s="508" t="s">
        <v>581</v>
      </c>
      <c r="NCZ16" s="508" t="s">
        <v>581</v>
      </c>
      <c r="NDA16" s="508" t="s">
        <v>581</v>
      </c>
      <c r="NDB16" s="508" t="s">
        <v>581</v>
      </c>
      <c r="NDC16" s="508" t="s">
        <v>581</v>
      </c>
      <c r="NDD16" s="508" t="s">
        <v>581</v>
      </c>
      <c r="NDE16" s="508" t="s">
        <v>581</v>
      </c>
      <c r="NDF16" s="508" t="s">
        <v>581</v>
      </c>
      <c r="NDG16" s="508" t="s">
        <v>581</v>
      </c>
      <c r="NDH16" s="508" t="s">
        <v>581</v>
      </c>
      <c r="NDI16" s="508" t="s">
        <v>581</v>
      </c>
      <c r="NDJ16" s="508" t="s">
        <v>581</v>
      </c>
      <c r="NDK16" s="508" t="s">
        <v>581</v>
      </c>
      <c r="NDL16" s="508" t="s">
        <v>581</v>
      </c>
      <c r="NDM16" s="508" t="s">
        <v>581</v>
      </c>
      <c r="NDN16" s="508" t="s">
        <v>581</v>
      </c>
      <c r="NDO16" s="508" t="s">
        <v>581</v>
      </c>
      <c r="NDP16" s="508" t="s">
        <v>581</v>
      </c>
      <c r="NDQ16" s="508" t="s">
        <v>581</v>
      </c>
      <c r="NDR16" s="508" t="s">
        <v>581</v>
      </c>
      <c r="NDS16" s="508" t="s">
        <v>581</v>
      </c>
      <c r="NDT16" s="508" t="s">
        <v>581</v>
      </c>
      <c r="NDU16" s="508" t="s">
        <v>581</v>
      </c>
      <c r="NDV16" s="508" t="s">
        <v>581</v>
      </c>
      <c r="NDW16" s="508" t="s">
        <v>581</v>
      </c>
      <c r="NDX16" s="508" t="s">
        <v>581</v>
      </c>
      <c r="NDY16" s="508" t="s">
        <v>581</v>
      </c>
      <c r="NDZ16" s="508" t="s">
        <v>581</v>
      </c>
      <c r="NEA16" s="508" t="s">
        <v>581</v>
      </c>
      <c r="NEB16" s="508" t="s">
        <v>581</v>
      </c>
      <c r="NEC16" s="508" t="s">
        <v>581</v>
      </c>
      <c r="NED16" s="508" t="s">
        <v>581</v>
      </c>
      <c r="NEE16" s="508" t="s">
        <v>581</v>
      </c>
      <c r="NEF16" s="508" t="s">
        <v>581</v>
      </c>
      <c r="NEG16" s="508" t="s">
        <v>581</v>
      </c>
      <c r="NEH16" s="508" t="s">
        <v>581</v>
      </c>
      <c r="NEI16" s="508" t="s">
        <v>581</v>
      </c>
      <c r="NEJ16" s="508" t="s">
        <v>581</v>
      </c>
      <c r="NEK16" s="508" t="s">
        <v>581</v>
      </c>
      <c r="NEL16" s="508" t="s">
        <v>581</v>
      </c>
      <c r="NEM16" s="508" t="s">
        <v>581</v>
      </c>
      <c r="NEN16" s="508" t="s">
        <v>581</v>
      </c>
      <c r="NEO16" s="508" t="s">
        <v>581</v>
      </c>
      <c r="NEP16" s="508" t="s">
        <v>581</v>
      </c>
      <c r="NEQ16" s="508" t="s">
        <v>581</v>
      </c>
      <c r="NER16" s="508" t="s">
        <v>581</v>
      </c>
      <c r="NES16" s="508" t="s">
        <v>581</v>
      </c>
      <c r="NET16" s="508" t="s">
        <v>581</v>
      </c>
      <c r="NEU16" s="508" t="s">
        <v>581</v>
      </c>
      <c r="NEV16" s="508" t="s">
        <v>581</v>
      </c>
      <c r="NEW16" s="508" t="s">
        <v>581</v>
      </c>
      <c r="NEX16" s="508" t="s">
        <v>581</v>
      </c>
      <c r="NEY16" s="508" t="s">
        <v>581</v>
      </c>
      <c r="NEZ16" s="508" t="s">
        <v>581</v>
      </c>
      <c r="NFA16" s="508" t="s">
        <v>581</v>
      </c>
      <c r="NFB16" s="508" t="s">
        <v>581</v>
      </c>
      <c r="NFC16" s="508" t="s">
        <v>581</v>
      </c>
      <c r="NFD16" s="508" t="s">
        <v>581</v>
      </c>
      <c r="NFE16" s="508" t="s">
        <v>581</v>
      </c>
      <c r="NFF16" s="508" t="s">
        <v>581</v>
      </c>
      <c r="NFG16" s="508" t="s">
        <v>581</v>
      </c>
      <c r="NFH16" s="508" t="s">
        <v>581</v>
      </c>
      <c r="NFI16" s="508" t="s">
        <v>581</v>
      </c>
      <c r="NFJ16" s="508" t="s">
        <v>581</v>
      </c>
      <c r="NFK16" s="508" t="s">
        <v>581</v>
      </c>
      <c r="NFL16" s="508" t="s">
        <v>581</v>
      </c>
      <c r="NFM16" s="508" t="s">
        <v>581</v>
      </c>
      <c r="NFN16" s="508" t="s">
        <v>581</v>
      </c>
      <c r="NFO16" s="508" t="s">
        <v>581</v>
      </c>
      <c r="NFP16" s="508" t="s">
        <v>581</v>
      </c>
      <c r="NFQ16" s="508" t="s">
        <v>581</v>
      </c>
      <c r="NFR16" s="508" t="s">
        <v>581</v>
      </c>
      <c r="NFS16" s="508" t="s">
        <v>581</v>
      </c>
      <c r="NFT16" s="508" t="s">
        <v>581</v>
      </c>
      <c r="NFU16" s="508" t="s">
        <v>581</v>
      </c>
      <c r="NFV16" s="508" t="s">
        <v>581</v>
      </c>
      <c r="NFW16" s="508" t="s">
        <v>581</v>
      </c>
      <c r="NFX16" s="508" t="s">
        <v>581</v>
      </c>
      <c r="NFY16" s="508" t="s">
        <v>581</v>
      </c>
      <c r="NFZ16" s="508" t="s">
        <v>581</v>
      </c>
      <c r="NGA16" s="508" t="s">
        <v>581</v>
      </c>
      <c r="NGB16" s="508" t="s">
        <v>581</v>
      </c>
      <c r="NGC16" s="508" t="s">
        <v>581</v>
      </c>
      <c r="NGD16" s="508" t="s">
        <v>581</v>
      </c>
      <c r="NGE16" s="508" t="s">
        <v>581</v>
      </c>
      <c r="NGF16" s="508" t="s">
        <v>581</v>
      </c>
      <c r="NGG16" s="508" t="s">
        <v>581</v>
      </c>
      <c r="NGH16" s="508" t="s">
        <v>581</v>
      </c>
      <c r="NGI16" s="508" t="s">
        <v>581</v>
      </c>
      <c r="NGJ16" s="508" t="s">
        <v>581</v>
      </c>
      <c r="NGK16" s="508" t="s">
        <v>581</v>
      </c>
      <c r="NGL16" s="508" t="s">
        <v>581</v>
      </c>
      <c r="NGM16" s="508" t="s">
        <v>581</v>
      </c>
      <c r="NGN16" s="508" t="s">
        <v>581</v>
      </c>
      <c r="NGO16" s="508" t="s">
        <v>581</v>
      </c>
      <c r="NGP16" s="508" t="s">
        <v>581</v>
      </c>
      <c r="NGQ16" s="508" t="s">
        <v>581</v>
      </c>
      <c r="NGR16" s="508" t="s">
        <v>581</v>
      </c>
      <c r="NGS16" s="508" t="s">
        <v>581</v>
      </c>
      <c r="NGT16" s="508" t="s">
        <v>581</v>
      </c>
      <c r="NGU16" s="508" t="s">
        <v>581</v>
      </c>
      <c r="NGV16" s="508" t="s">
        <v>581</v>
      </c>
      <c r="NGW16" s="508" t="s">
        <v>581</v>
      </c>
      <c r="NGX16" s="508" t="s">
        <v>581</v>
      </c>
      <c r="NGY16" s="508" t="s">
        <v>581</v>
      </c>
      <c r="NGZ16" s="508" t="s">
        <v>581</v>
      </c>
      <c r="NHA16" s="508" t="s">
        <v>581</v>
      </c>
      <c r="NHB16" s="508" t="s">
        <v>581</v>
      </c>
      <c r="NHC16" s="508" t="s">
        <v>581</v>
      </c>
      <c r="NHD16" s="508" t="s">
        <v>581</v>
      </c>
      <c r="NHE16" s="508" t="s">
        <v>581</v>
      </c>
      <c r="NHF16" s="508" t="s">
        <v>581</v>
      </c>
      <c r="NHG16" s="508" t="s">
        <v>581</v>
      </c>
      <c r="NHH16" s="508" t="s">
        <v>581</v>
      </c>
      <c r="NHI16" s="508" t="s">
        <v>581</v>
      </c>
      <c r="NHJ16" s="508" t="s">
        <v>581</v>
      </c>
      <c r="NHK16" s="508" t="s">
        <v>581</v>
      </c>
      <c r="NHL16" s="508" t="s">
        <v>581</v>
      </c>
      <c r="NHM16" s="508" t="s">
        <v>581</v>
      </c>
      <c r="NHN16" s="508" t="s">
        <v>581</v>
      </c>
      <c r="NHO16" s="508" t="s">
        <v>581</v>
      </c>
      <c r="NHP16" s="508" t="s">
        <v>581</v>
      </c>
      <c r="NHQ16" s="508" t="s">
        <v>581</v>
      </c>
      <c r="NHR16" s="508" t="s">
        <v>581</v>
      </c>
      <c r="NHS16" s="508" t="s">
        <v>581</v>
      </c>
      <c r="NHT16" s="508" t="s">
        <v>581</v>
      </c>
      <c r="NHU16" s="508" t="s">
        <v>581</v>
      </c>
      <c r="NHV16" s="508" t="s">
        <v>581</v>
      </c>
      <c r="NHW16" s="508" t="s">
        <v>581</v>
      </c>
      <c r="NHX16" s="508" t="s">
        <v>581</v>
      </c>
      <c r="NHY16" s="508" t="s">
        <v>581</v>
      </c>
      <c r="NHZ16" s="508" t="s">
        <v>581</v>
      </c>
      <c r="NIA16" s="508" t="s">
        <v>581</v>
      </c>
      <c r="NIB16" s="508" t="s">
        <v>581</v>
      </c>
      <c r="NIC16" s="508" t="s">
        <v>581</v>
      </c>
      <c r="NID16" s="508" t="s">
        <v>581</v>
      </c>
      <c r="NIE16" s="508" t="s">
        <v>581</v>
      </c>
      <c r="NIF16" s="508" t="s">
        <v>581</v>
      </c>
      <c r="NIG16" s="508" t="s">
        <v>581</v>
      </c>
      <c r="NIH16" s="508" t="s">
        <v>581</v>
      </c>
      <c r="NII16" s="508" t="s">
        <v>581</v>
      </c>
      <c r="NIJ16" s="508" t="s">
        <v>581</v>
      </c>
      <c r="NIK16" s="508" t="s">
        <v>581</v>
      </c>
      <c r="NIL16" s="508" t="s">
        <v>581</v>
      </c>
      <c r="NIM16" s="508" t="s">
        <v>581</v>
      </c>
      <c r="NIN16" s="508" t="s">
        <v>581</v>
      </c>
      <c r="NIO16" s="508" t="s">
        <v>581</v>
      </c>
      <c r="NIP16" s="508" t="s">
        <v>581</v>
      </c>
      <c r="NIQ16" s="508" t="s">
        <v>581</v>
      </c>
      <c r="NIR16" s="508" t="s">
        <v>581</v>
      </c>
      <c r="NIS16" s="508" t="s">
        <v>581</v>
      </c>
      <c r="NIT16" s="508" t="s">
        <v>581</v>
      </c>
      <c r="NIU16" s="508" t="s">
        <v>581</v>
      </c>
      <c r="NIV16" s="508" t="s">
        <v>581</v>
      </c>
      <c r="NIW16" s="508" t="s">
        <v>581</v>
      </c>
      <c r="NIX16" s="508" t="s">
        <v>581</v>
      </c>
      <c r="NIY16" s="508" t="s">
        <v>581</v>
      </c>
      <c r="NIZ16" s="508" t="s">
        <v>581</v>
      </c>
      <c r="NJA16" s="508" t="s">
        <v>581</v>
      </c>
      <c r="NJB16" s="508" t="s">
        <v>581</v>
      </c>
      <c r="NJC16" s="508" t="s">
        <v>581</v>
      </c>
      <c r="NJD16" s="508" t="s">
        <v>581</v>
      </c>
      <c r="NJE16" s="508" t="s">
        <v>581</v>
      </c>
      <c r="NJF16" s="508" t="s">
        <v>581</v>
      </c>
      <c r="NJG16" s="508" t="s">
        <v>581</v>
      </c>
      <c r="NJH16" s="508" t="s">
        <v>581</v>
      </c>
      <c r="NJI16" s="508" t="s">
        <v>581</v>
      </c>
      <c r="NJJ16" s="508" t="s">
        <v>581</v>
      </c>
      <c r="NJK16" s="508" t="s">
        <v>581</v>
      </c>
      <c r="NJL16" s="508" t="s">
        <v>581</v>
      </c>
      <c r="NJM16" s="508" t="s">
        <v>581</v>
      </c>
      <c r="NJN16" s="508" t="s">
        <v>581</v>
      </c>
      <c r="NJO16" s="508" t="s">
        <v>581</v>
      </c>
      <c r="NJP16" s="508" t="s">
        <v>581</v>
      </c>
      <c r="NJQ16" s="508" t="s">
        <v>581</v>
      </c>
      <c r="NJR16" s="508" t="s">
        <v>581</v>
      </c>
      <c r="NJS16" s="508" t="s">
        <v>581</v>
      </c>
      <c r="NJT16" s="508" t="s">
        <v>581</v>
      </c>
      <c r="NJU16" s="508" t="s">
        <v>581</v>
      </c>
      <c r="NJV16" s="508" t="s">
        <v>581</v>
      </c>
      <c r="NJW16" s="508" t="s">
        <v>581</v>
      </c>
      <c r="NJX16" s="508" t="s">
        <v>581</v>
      </c>
      <c r="NJY16" s="508" t="s">
        <v>581</v>
      </c>
      <c r="NJZ16" s="508" t="s">
        <v>581</v>
      </c>
      <c r="NKA16" s="508" t="s">
        <v>581</v>
      </c>
      <c r="NKB16" s="508" t="s">
        <v>581</v>
      </c>
      <c r="NKC16" s="508" t="s">
        <v>581</v>
      </c>
      <c r="NKD16" s="508" t="s">
        <v>581</v>
      </c>
      <c r="NKE16" s="508" t="s">
        <v>581</v>
      </c>
      <c r="NKF16" s="508" t="s">
        <v>581</v>
      </c>
      <c r="NKG16" s="508" t="s">
        <v>581</v>
      </c>
      <c r="NKH16" s="508" t="s">
        <v>581</v>
      </c>
      <c r="NKI16" s="508" t="s">
        <v>581</v>
      </c>
      <c r="NKJ16" s="508" t="s">
        <v>581</v>
      </c>
      <c r="NKK16" s="508" t="s">
        <v>581</v>
      </c>
      <c r="NKL16" s="508" t="s">
        <v>581</v>
      </c>
      <c r="NKM16" s="508" t="s">
        <v>581</v>
      </c>
      <c r="NKN16" s="508" t="s">
        <v>581</v>
      </c>
      <c r="NKO16" s="508" t="s">
        <v>581</v>
      </c>
      <c r="NKP16" s="508" t="s">
        <v>581</v>
      </c>
      <c r="NKQ16" s="508" t="s">
        <v>581</v>
      </c>
      <c r="NKR16" s="508" t="s">
        <v>581</v>
      </c>
      <c r="NKS16" s="508" t="s">
        <v>581</v>
      </c>
      <c r="NKT16" s="508" t="s">
        <v>581</v>
      </c>
      <c r="NKU16" s="508" t="s">
        <v>581</v>
      </c>
      <c r="NKV16" s="508" t="s">
        <v>581</v>
      </c>
      <c r="NKW16" s="508" t="s">
        <v>581</v>
      </c>
      <c r="NKX16" s="508" t="s">
        <v>581</v>
      </c>
      <c r="NKY16" s="508" t="s">
        <v>581</v>
      </c>
      <c r="NKZ16" s="508" t="s">
        <v>581</v>
      </c>
      <c r="NLA16" s="508" t="s">
        <v>581</v>
      </c>
      <c r="NLB16" s="508" t="s">
        <v>581</v>
      </c>
      <c r="NLC16" s="508" t="s">
        <v>581</v>
      </c>
      <c r="NLD16" s="508" t="s">
        <v>581</v>
      </c>
      <c r="NLE16" s="508" t="s">
        <v>581</v>
      </c>
      <c r="NLF16" s="508" t="s">
        <v>581</v>
      </c>
      <c r="NLG16" s="508" t="s">
        <v>581</v>
      </c>
      <c r="NLH16" s="508" t="s">
        <v>581</v>
      </c>
      <c r="NLI16" s="508" t="s">
        <v>581</v>
      </c>
      <c r="NLJ16" s="508" t="s">
        <v>581</v>
      </c>
      <c r="NLK16" s="508" t="s">
        <v>581</v>
      </c>
      <c r="NLL16" s="508" t="s">
        <v>581</v>
      </c>
      <c r="NLM16" s="508" t="s">
        <v>581</v>
      </c>
      <c r="NLN16" s="508" t="s">
        <v>581</v>
      </c>
      <c r="NLO16" s="508" t="s">
        <v>581</v>
      </c>
      <c r="NLP16" s="508" t="s">
        <v>581</v>
      </c>
      <c r="NLQ16" s="508" t="s">
        <v>581</v>
      </c>
      <c r="NLR16" s="508" t="s">
        <v>581</v>
      </c>
      <c r="NLS16" s="508" t="s">
        <v>581</v>
      </c>
      <c r="NLT16" s="508" t="s">
        <v>581</v>
      </c>
      <c r="NLU16" s="508" t="s">
        <v>581</v>
      </c>
      <c r="NLV16" s="508" t="s">
        <v>581</v>
      </c>
      <c r="NLW16" s="508" t="s">
        <v>581</v>
      </c>
      <c r="NLX16" s="508" t="s">
        <v>581</v>
      </c>
      <c r="NLY16" s="508" t="s">
        <v>581</v>
      </c>
      <c r="NLZ16" s="508" t="s">
        <v>581</v>
      </c>
      <c r="NMA16" s="508" t="s">
        <v>581</v>
      </c>
      <c r="NMB16" s="508" t="s">
        <v>581</v>
      </c>
      <c r="NMC16" s="508" t="s">
        <v>581</v>
      </c>
      <c r="NMD16" s="508" t="s">
        <v>581</v>
      </c>
      <c r="NME16" s="508" t="s">
        <v>581</v>
      </c>
      <c r="NMF16" s="508" t="s">
        <v>581</v>
      </c>
      <c r="NMG16" s="508" t="s">
        <v>581</v>
      </c>
      <c r="NMH16" s="508" t="s">
        <v>581</v>
      </c>
      <c r="NMI16" s="508" t="s">
        <v>581</v>
      </c>
      <c r="NMJ16" s="508" t="s">
        <v>581</v>
      </c>
      <c r="NMK16" s="508" t="s">
        <v>581</v>
      </c>
      <c r="NML16" s="508" t="s">
        <v>581</v>
      </c>
      <c r="NMM16" s="508" t="s">
        <v>581</v>
      </c>
      <c r="NMN16" s="508" t="s">
        <v>581</v>
      </c>
      <c r="NMO16" s="508" t="s">
        <v>581</v>
      </c>
      <c r="NMP16" s="508" t="s">
        <v>581</v>
      </c>
      <c r="NMQ16" s="508" t="s">
        <v>581</v>
      </c>
      <c r="NMR16" s="508" t="s">
        <v>581</v>
      </c>
      <c r="NMS16" s="508" t="s">
        <v>581</v>
      </c>
      <c r="NMT16" s="508" t="s">
        <v>581</v>
      </c>
      <c r="NMU16" s="508" t="s">
        <v>581</v>
      </c>
      <c r="NMV16" s="508" t="s">
        <v>581</v>
      </c>
      <c r="NMW16" s="508" t="s">
        <v>581</v>
      </c>
      <c r="NMX16" s="508" t="s">
        <v>581</v>
      </c>
      <c r="NMY16" s="508" t="s">
        <v>581</v>
      </c>
      <c r="NMZ16" s="508" t="s">
        <v>581</v>
      </c>
      <c r="NNA16" s="508" t="s">
        <v>581</v>
      </c>
      <c r="NNB16" s="508" t="s">
        <v>581</v>
      </c>
      <c r="NNC16" s="508" t="s">
        <v>581</v>
      </c>
      <c r="NND16" s="508" t="s">
        <v>581</v>
      </c>
      <c r="NNE16" s="508" t="s">
        <v>581</v>
      </c>
      <c r="NNF16" s="508" t="s">
        <v>581</v>
      </c>
      <c r="NNG16" s="508" t="s">
        <v>581</v>
      </c>
      <c r="NNH16" s="508" t="s">
        <v>581</v>
      </c>
      <c r="NNI16" s="508" t="s">
        <v>581</v>
      </c>
      <c r="NNJ16" s="508" t="s">
        <v>581</v>
      </c>
      <c r="NNK16" s="508" t="s">
        <v>581</v>
      </c>
      <c r="NNL16" s="508" t="s">
        <v>581</v>
      </c>
      <c r="NNM16" s="508" t="s">
        <v>581</v>
      </c>
      <c r="NNN16" s="508" t="s">
        <v>581</v>
      </c>
      <c r="NNO16" s="508" t="s">
        <v>581</v>
      </c>
      <c r="NNP16" s="508" t="s">
        <v>581</v>
      </c>
      <c r="NNQ16" s="508" t="s">
        <v>581</v>
      </c>
      <c r="NNR16" s="508" t="s">
        <v>581</v>
      </c>
      <c r="NNS16" s="508" t="s">
        <v>581</v>
      </c>
      <c r="NNT16" s="508" t="s">
        <v>581</v>
      </c>
      <c r="NNU16" s="508" t="s">
        <v>581</v>
      </c>
      <c r="NNV16" s="508" t="s">
        <v>581</v>
      </c>
      <c r="NNW16" s="508" t="s">
        <v>581</v>
      </c>
      <c r="NNX16" s="508" t="s">
        <v>581</v>
      </c>
      <c r="NNY16" s="508" t="s">
        <v>581</v>
      </c>
      <c r="NNZ16" s="508" t="s">
        <v>581</v>
      </c>
      <c r="NOA16" s="508" t="s">
        <v>581</v>
      </c>
      <c r="NOB16" s="508" t="s">
        <v>581</v>
      </c>
      <c r="NOC16" s="508" t="s">
        <v>581</v>
      </c>
      <c r="NOD16" s="508" t="s">
        <v>581</v>
      </c>
      <c r="NOE16" s="508" t="s">
        <v>581</v>
      </c>
      <c r="NOF16" s="508" t="s">
        <v>581</v>
      </c>
      <c r="NOG16" s="508" t="s">
        <v>581</v>
      </c>
      <c r="NOH16" s="508" t="s">
        <v>581</v>
      </c>
      <c r="NOI16" s="508" t="s">
        <v>581</v>
      </c>
      <c r="NOJ16" s="508" t="s">
        <v>581</v>
      </c>
      <c r="NOK16" s="508" t="s">
        <v>581</v>
      </c>
      <c r="NOL16" s="508" t="s">
        <v>581</v>
      </c>
      <c r="NOM16" s="508" t="s">
        <v>581</v>
      </c>
      <c r="NON16" s="508" t="s">
        <v>581</v>
      </c>
      <c r="NOO16" s="508" t="s">
        <v>581</v>
      </c>
      <c r="NOP16" s="508" t="s">
        <v>581</v>
      </c>
      <c r="NOQ16" s="508" t="s">
        <v>581</v>
      </c>
      <c r="NOR16" s="508" t="s">
        <v>581</v>
      </c>
      <c r="NOS16" s="508" t="s">
        <v>581</v>
      </c>
      <c r="NOT16" s="508" t="s">
        <v>581</v>
      </c>
      <c r="NOU16" s="508" t="s">
        <v>581</v>
      </c>
      <c r="NOV16" s="508" t="s">
        <v>581</v>
      </c>
      <c r="NOW16" s="508" t="s">
        <v>581</v>
      </c>
      <c r="NOX16" s="508" t="s">
        <v>581</v>
      </c>
      <c r="NOY16" s="508" t="s">
        <v>581</v>
      </c>
      <c r="NOZ16" s="508" t="s">
        <v>581</v>
      </c>
      <c r="NPA16" s="508" t="s">
        <v>581</v>
      </c>
      <c r="NPB16" s="508" t="s">
        <v>581</v>
      </c>
      <c r="NPC16" s="508" t="s">
        <v>581</v>
      </c>
      <c r="NPD16" s="508" t="s">
        <v>581</v>
      </c>
      <c r="NPE16" s="508" t="s">
        <v>581</v>
      </c>
      <c r="NPF16" s="508" t="s">
        <v>581</v>
      </c>
      <c r="NPG16" s="508" t="s">
        <v>581</v>
      </c>
      <c r="NPH16" s="508" t="s">
        <v>581</v>
      </c>
      <c r="NPI16" s="508" t="s">
        <v>581</v>
      </c>
      <c r="NPJ16" s="508" t="s">
        <v>581</v>
      </c>
      <c r="NPK16" s="508" t="s">
        <v>581</v>
      </c>
      <c r="NPL16" s="508" t="s">
        <v>581</v>
      </c>
      <c r="NPM16" s="508" t="s">
        <v>581</v>
      </c>
      <c r="NPN16" s="508" t="s">
        <v>581</v>
      </c>
      <c r="NPO16" s="508" t="s">
        <v>581</v>
      </c>
      <c r="NPP16" s="508" t="s">
        <v>581</v>
      </c>
      <c r="NPQ16" s="508" t="s">
        <v>581</v>
      </c>
      <c r="NPR16" s="508" t="s">
        <v>581</v>
      </c>
      <c r="NPS16" s="508" t="s">
        <v>581</v>
      </c>
      <c r="NPT16" s="508" t="s">
        <v>581</v>
      </c>
      <c r="NPU16" s="508" t="s">
        <v>581</v>
      </c>
      <c r="NPV16" s="508" t="s">
        <v>581</v>
      </c>
      <c r="NPW16" s="508" t="s">
        <v>581</v>
      </c>
      <c r="NPX16" s="508" t="s">
        <v>581</v>
      </c>
      <c r="NPY16" s="508" t="s">
        <v>581</v>
      </c>
      <c r="NPZ16" s="508" t="s">
        <v>581</v>
      </c>
      <c r="NQA16" s="508" t="s">
        <v>581</v>
      </c>
      <c r="NQB16" s="508" t="s">
        <v>581</v>
      </c>
      <c r="NQC16" s="508" t="s">
        <v>581</v>
      </c>
      <c r="NQD16" s="508" t="s">
        <v>581</v>
      </c>
      <c r="NQE16" s="508" t="s">
        <v>581</v>
      </c>
      <c r="NQF16" s="508" t="s">
        <v>581</v>
      </c>
      <c r="NQG16" s="508" t="s">
        <v>581</v>
      </c>
      <c r="NQH16" s="508" t="s">
        <v>581</v>
      </c>
      <c r="NQI16" s="508" t="s">
        <v>581</v>
      </c>
      <c r="NQJ16" s="508" t="s">
        <v>581</v>
      </c>
      <c r="NQK16" s="508" t="s">
        <v>581</v>
      </c>
      <c r="NQL16" s="508" t="s">
        <v>581</v>
      </c>
      <c r="NQM16" s="508" t="s">
        <v>581</v>
      </c>
      <c r="NQN16" s="508" t="s">
        <v>581</v>
      </c>
      <c r="NQO16" s="508" t="s">
        <v>581</v>
      </c>
      <c r="NQP16" s="508" t="s">
        <v>581</v>
      </c>
      <c r="NQQ16" s="508" t="s">
        <v>581</v>
      </c>
      <c r="NQR16" s="508" t="s">
        <v>581</v>
      </c>
      <c r="NQS16" s="508" t="s">
        <v>581</v>
      </c>
      <c r="NQT16" s="508" t="s">
        <v>581</v>
      </c>
      <c r="NQU16" s="508" t="s">
        <v>581</v>
      </c>
      <c r="NQV16" s="508" t="s">
        <v>581</v>
      </c>
      <c r="NQW16" s="508" t="s">
        <v>581</v>
      </c>
      <c r="NQX16" s="508" t="s">
        <v>581</v>
      </c>
      <c r="NQY16" s="508" t="s">
        <v>581</v>
      </c>
      <c r="NQZ16" s="508" t="s">
        <v>581</v>
      </c>
      <c r="NRA16" s="508" t="s">
        <v>581</v>
      </c>
      <c r="NRB16" s="508" t="s">
        <v>581</v>
      </c>
      <c r="NRC16" s="508" t="s">
        <v>581</v>
      </c>
      <c r="NRD16" s="508" t="s">
        <v>581</v>
      </c>
      <c r="NRE16" s="508" t="s">
        <v>581</v>
      </c>
      <c r="NRF16" s="508" t="s">
        <v>581</v>
      </c>
      <c r="NRG16" s="508" t="s">
        <v>581</v>
      </c>
      <c r="NRH16" s="508" t="s">
        <v>581</v>
      </c>
      <c r="NRI16" s="508" t="s">
        <v>581</v>
      </c>
      <c r="NRJ16" s="508" t="s">
        <v>581</v>
      </c>
      <c r="NRK16" s="508" t="s">
        <v>581</v>
      </c>
      <c r="NRL16" s="508" t="s">
        <v>581</v>
      </c>
      <c r="NRM16" s="508" t="s">
        <v>581</v>
      </c>
      <c r="NRN16" s="508" t="s">
        <v>581</v>
      </c>
      <c r="NRO16" s="508" t="s">
        <v>581</v>
      </c>
      <c r="NRP16" s="508" t="s">
        <v>581</v>
      </c>
      <c r="NRQ16" s="508" t="s">
        <v>581</v>
      </c>
      <c r="NRR16" s="508" t="s">
        <v>581</v>
      </c>
      <c r="NRS16" s="508" t="s">
        <v>581</v>
      </c>
      <c r="NRT16" s="508" t="s">
        <v>581</v>
      </c>
      <c r="NRU16" s="508" t="s">
        <v>581</v>
      </c>
      <c r="NRV16" s="508" t="s">
        <v>581</v>
      </c>
      <c r="NRW16" s="508" t="s">
        <v>581</v>
      </c>
      <c r="NRX16" s="508" t="s">
        <v>581</v>
      </c>
      <c r="NRY16" s="508" t="s">
        <v>581</v>
      </c>
      <c r="NRZ16" s="508" t="s">
        <v>581</v>
      </c>
      <c r="NSA16" s="508" t="s">
        <v>581</v>
      </c>
      <c r="NSB16" s="508" t="s">
        <v>581</v>
      </c>
      <c r="NSC16" s="508" t="s">
        <v>581</v>
      </c>
      <c r="NSD16" s="508" t="s">
        <v>581</v>
      </c>
      <c r="NSE16" s="508" t="s">
        <v>581</v>
      </c>
      <c r="NSF16" s="508" t="s">
        <v>581</v>
      </c>
      <c r="NSG16" s="508" t="s">
        <v>581</v>
      </c>
      <c r="NSH16" s="508" t="s">
        <v>581</v>
      </c>
      <c r="NSI16" s="508" t="s">
        <v>581</v>
      </c>
      <c r="NSJ16" s="508" t="s">
        <v>581</v>
      </c>
      <c r="NSK16" s="508" t="s">
        <v>581</v>
      </c>
      <c r="NSL16" s="508" t="s">
        <v>581</v>
      </c>
      <c r="NSM16" s="508" t="s">
        <v>581</v>
      </c>
      <c r="NSN16" s="508" t="s">
        <v>581</v>
      </c>
      <c r="NSO16" s="508" t="s">
        <v>581</v>
      </c>
      <c r="NSP16" s="508" t="s">
        <v>581</v>
      </c>
      <c r="NSQ16" s="508" t="s">
        <v>581</v>
      </c>
      <c r="NSR16" s="508" t="s">
        <v>581</v>
      </c>
      <c r="NSS16" s="508" t="s">
        <v>581</v>
      </c>
      <c r="NST16" s="508" t="s">
        <v>581</v>
      </c>
      <c r="NSU16" s="508" t="s">
        <v>581</v>
      </c>
      <c r="NSV16" s="508" t="s">
        <v>581</v>
      </c>
      <c r="NSW16" s="508" t="s">
        <v>581</v>
      </c>
      <c r="NSX16" s="508" t="s">
        <v>581</v>
      </c>
      <c r="NSY16" s="508" t="s">
        <v>581</v>
      </c>
      <c r="NSZ16" s="508" t="s">
        <v>581</v>
      </c>
      <c r="NTA16" s="508" t="s">
        <v>581</v>
      </c>
      <c r="NTB16" s="508" t="s">
        <v>581</v>
      </c>
      <c r="NTC16" s="508" t="s">
        <v>581</v>
      </c>
      <c r="NTD16" s="508" t="s">
        <v>581</v>
      </c>
      <c r="NTE16" s="508" t="s">
        <v>581</v>
      </c>
      <c r="NTF16" s="508" t="s">
        <v>581</v>
      </c>
      <c r="NTG16" s="508" t="s">
        <v>581</v>
      </c>
      <c r="NTH16" s="508" t="s">
        <v>581</v>
      </c>
      <c r="NTI16" s="508" t="s">
        <v>581</v>
      </c>
      <c r="NTJ16" s="508" t="s">
        <v>581</v>
      </c>
      <c r="NTK16" s="508" t="s">
        <v>581</v>
      </c>
      <c r="NTL16" s="508" t="s">
        <v>581</v>
      </c>
      <c r="NTM16" s="508" t="s">
        <v>581</v>
      </c>
      <c r="NTN16" s="508" t="s">
        <v>581</v>
      </c>
      <c r="NTO16" s="508" t="s">
        <v>581</v>
      </c>
      <c r="NTP16" s="508" t="s">
        <v>581</v>
      </c>
      <c r="NTQ16" s="508" t="s">
        <v>581</v>
      </c>
      <c r="NTR16" s="508" t="s">
        <v>581</v>
      </c>
      <c r="NTS16" s="508" t="s">
        <v>581</v>
      </c>
      <c r="NTT16" s="508" t="s">
        <v>581</v>
      </c>
      <c r="NTU16" s="508" t="s">
        <v>581</v>
      </c>
      <c r="NTV16" s="508" t="s">
        <v>581</v>
      </c>
      <c r="NTW16" s="508" t="s">
        <v>581</v>
      </c>
      <c r="NTX16" s="508" t="s">
        <v>581</v>
      </c>
      <c r="NTY16" s="508" t="s">
        <v>581</v>
      </c>
      <c r="NTZ16" s="508" t="s">
        <v>581</v>
      </c>
      <c r="NUA16" s="508" t="s">
        <v>581</v>
      </c>
      <c r="NUB16" s="508" t="s">
        <v>581</v>
      </c>
      <c r="NUC16" s="508" t="s">
        <v>581</v>
      </c>
      <c r="NUD16" s="508" t="s">
        <v>581</v>
      </c>
      <c r="NUE16" s="508" t="s">
        <v>581</v>
      </c>
      <c r="NUF16" s="508" t="s">
        <v>581</v>
      </c>
      <c r="NUG16" s="508" t="s">
        <v>581</v>
      </c>
      <c r="NUH16" s="508" t="s">
        <v>581</v>
      </c>
      <c r="NUI16" s="508" t="s">
        <v>581</v>
      </c>
      <c r="NUJ16" s="508" t="s">
        <v>581</v>
      </c>
      <c r="NUK16" s="508" t="s">
        <v>581</v>
      </c>
      <c r="NUL16" s="508" t="s">
        <v>581</v>
      </c>
      <c r="NUM16" s="508" t="s">
        <v>581</v>
      </c>
      <c r="NUN16" s="508" t="s">
        <v>581</v>
      </c>
      <c r="NUO16" s="508" t="s">
        <v>581</v>
      </c>
      <c r="NUP16" s="508" t="s">
        <v>581</v>
      </c>
      <c r="NUQ16" s="508" t="s">
        <v>581</v>
      </c>
      <c r="NUR16" s="508" t="s">
        <v>581</v>
      </c>
      <c r="NUS16" s="508" t="s">
        <v>581</v>
      </c>
      <c r="NUT16" s="508" t="s">
        <v>581</v>
      </c>
      <c r="NUU16" s="508" t="s">
        <v>581</v>
      </c>
      <c r="NUV16" s="508" t="s">
        <v>581</v>
      </c>
      <c r="NUW16" s="508" t="s">
        <v>581</v>
      </c>
      <c r="NUX16" s="508" t="s">
        <v>581</v>
      </c>
      <c r="NUY16" s="508" t="s">
        <v>581</v>
      </c>
      <c r="NUZ16" s="508" t="s">
        <v>581</v>
      </c>
      <c r="NVA16" s="508" t="s">
        <v>581</v>
      </c>
      <c r="NVB16" s="508" t="s">
        <v>581</v>
      </c>
      <c r="NVC16" s="508" t="s">
        <v>581</v>
      </c>
      <c r="NVD16" s="508" t="s">
        <v>581</v>
      </c>
      <c r="NVE16" s="508" t="s">
        <v>581</v>
      </c>
      <c r="NVF16" s="508" t="s">
        <v>581</v>
      </c>
      <c r="NVG16" s="508" t="s">
        <v>581</v>
      </c>
      <c r="NVH16" s="508" t="s">
        <v>581</v>
      </c>
      <c r="NVI16" s="508" t="s">
        <v>581</v>
      </c>
      <c r="NVJ16" s="508" t="s">
        <v>581</v>
      </c>
      <c r="NVK16" s="508" t="s">
        <v>581</v>
      </c>
      <c r="NVL16" s="508" t="s">
        <v>581</v>
      </c>
      <c r="NVM16" s="508" t="s">
        <v>581</v>
      </c>
      <c r="NVN16" s="508" t="s">
        <v>581</v>
      </c>
      <c r="NVO16" s="508" t="s">
        <v>581</v>
      </c>
      <c r="NVP16" s="508" t="s">
        <v>581</v>
      </c>
      <c r="NVQ16" s="508" t="s">
        <v>581</v>
      </c>
      <c r="NVR16" s="508" t="s">
        <v>581</v>
      </c>
      <c r="NVS16" s="508" t="s">
        <v>581</v>
      </c>
      <c r="NVT16" s="508" t="s">
        <v>581</v>
      </c>
      <c r="NVU16" s="508" t="s">
        <v>581</v>
      </c>
      <c r="NVV16" s="508" t="s">
        <v>581</v>
      </c>
      <c r="NVW16" s="508" t="s">
        <v>581</v>
      </c>
      <c r="NVX16" s="508" t="s">
        <v>581</v>
      </c>
      <c r="NVY16" s="508" t="s">
        <v>581</v>
      </c>
      <c r="NVZ16" s="508" t="s">
        <v>581</v>
      </c>
      <c r="NWA16" s="508" t="s">
        <v>581</v>
      </c>
      <c r="NWB16" s="508" t="s">
        <v>581</v>
      </c>
      <c r="NWC16" s="508" t="s">
        <v>581</v>
      </c>
      <c r="NWD16" s="508" t="s">
        <v>581</v>
      </c>
      <c r="NWE16" s="508" t="s">
        <v>581</v>
      </c>
      <c r="NWF16" s="508" t="s">
        <v>581</v>
      </c>
      <c r="NWG16" s="508" t="s">
        <v>581</v>
      </c>
      <c r="NWH16" s="508" t="s">
        <v>581</v>
      </c>
      <c r="NWI16" s="508" t="s">
        <v>581</v>
      </c>
      <c r="NWJ16" s="508" t="s">
        <v>581</v>
      </c>
      <c r="NWK16" s="508" t="s">
        <v>581</v>
      </c>
      <c r="NWL16" s="508" t="s">
        <v>581</v>
      </c>
      <c r="NWM16" s="508" t="s">
        <v>581</v>
      </c>
      <c r="NWN16" s="508" t="s">
        <v>581</v>
      </c>
      <c r="NWO16" s="508" t="s">
        <v>581</v>
      </c>
      <c r="NWP16" s="508" t="s">
        <v>581</v>
      </c>
      <c r="NWQ16" s="508" t="s">
        <v>581</v>
      </c>
      <c r="NWR16" s="508" t="s">
        <v>581</v>
      </c>
      <c r="NWS16" s="508" t="s">
        <v>581</v>
      </c>
      <c r="NWT16" s="508" t="s">
        <v>581</v>
      </c>
      <c r="NWU16" s="508" t="s">
        <v>581</v>
      </c>
      <c r="NWV16" s="508" t="s">
        <v>581</v>
      </c>
      <c r="NWW16" s="508" t="s">
        <v>581</v>
      </c>
      <c r="NWX16" s="508" t="s">
        <v>581</v>
      </c>
      <c r="NWY16" s="508" t="s">
        <v>581</v>
      </c>
      <c r="NWZ16" s="508" t="s">
        <v>581</v>
      </c>
      <c r="NXA16" s="508" t="s">
        <v>581</v>
      </c>
      <c r="NXB16" s="508" t="s">
        <v>581</v>
      </c>
      <c r="NXC16" s="508" t="s">
        <v>581</v>
      </c>
      <c r="NXD16" s="508" t="s">
        <v>581</v>
      </c>
      <c r="NXE16" s="508" t="s">
        <v>581</v>
      </c>
      <c r="NXF16" s="508" t="s">
        <v>581</v>
      </c>
      <c r="NXG16" s="508" t="s">
        <v>581</v>
      </c>
      <c r="NXH16" s="508" t="s">
        <v>581</v>
      </c>
      <c r="NXI16" s="508" t="s">
        <v>581</v>
      </c>
      <c r="NXJ16" s="508" t="s">
        <v>581</v>
      </c>
      <c r="NXK16" s="508" t="s">
        <v>581</v>
      </c>
      <c r="NXL16" s="508" t="s">
        <v>581</v>
      </c>
      <c r="NXM16" s="508" t="s">
        <v>581</v>
      </c>
      <c r="NXN16" s="508" t="s">
        <v>581</v>
      </c>
      <c r="NXO16" s="508" t="s">
        <v>581</v>
      </c>
      <c r="NXP16" s="508" t="s">
        <v>581</v>
      </c>
      <c r="NXQ16" s="508" t="s">
        <v>581</v>
      </c>
      <c r="NXR16" s="508" t="s">
        <v>581</v>
      </c>
      <c r="NXS16" s="508" t="s">
        <v>581</v>
      </c>
      <c r="NXT16" s="508" t="s">
        <v>581</v>
      </c>
      <c r="NXU16" s="508" t="s">
        <v>581</v>
      </c>
      <c r="NXV16" s="508" t="s">
        <v>581</v>
      </c>
      <c r="NXW16" s="508" t="s">
        <v>581</v>
      </c>
      <c r="NXX16" s="508" t="s">
        <v>581</v>
      </c>
      <c r="NXY16" s="508" t="s">
        <v>581</v>
      </c>
      <c r="NXZ16" s="508" t="s">
        <v>581</v>
      </c>
      <c r="NYA16" s="508" t="s">
        <v>581</v>
      </c>
      <c r="NYB16" s="508" t="s">
        <v>581</v>
      </c>
      <c r="NYC16" s="508" t="s">
        <v>581</v>
      </c>
      <c r="NYD16" s="508" t="s">
        <v>581</v>
      </c>
      <c r="NYE16" s="508" t="s">
        <v>581</v>
      </c>
      <c r="NYF16" s="508" t="s">
        <v>581</v>
      </c>
      <c r="NYG16" s="508" t="s">
        <v>581</v>
      </c>
      <c r="NYH16" s="508" t="s">
        <v>581</v>
      </c>
      <c r="NYI16" s="508" t="s">
        <v>581</v>
      </c>
      <c r="NYJ16" s="508" t="s">
        <v>581</v>
      </c>
      <c r="NYK16" s="508" t="s">
        <v>581</v>
      </c>
      <c r="NYL16" s="508" t="s">
        <v>581</v>
      </c>
      <c r="NYM16" s="508" t="s">
        <v>581</v>
      </c>
      <c r="NYN16" s="508" t="s">
        <v>581</v>
      </c>
      <c r="NYO16" s="508" t="s">
        <v>581</v>
      </c>
      <c r="NYP16" s="508" t="s">
        <v>581</v>
      </c>
      <c r="NYQ16" s="508" t="s">
        <v>581</v>
      </c>
      <c r="NYR16" s="508" t="s">
        <v>581</v>
      </c>
      <c r="NYS16" s="508" t="s">
        <v>581</v>
      </c>
      <c r="NYT16" s="508" t="s">
        <v>581</v>
      </c>
      <c r="NYU16" s="508" t="s">
        <v>581</v>
      </c>
      <c r="NYV16" s="508" t="s">
        <v>581</v>
      </c>
      <c r="NYW16" s="508" t="s">
        <v>581</v>
      </c>
      <c r="NYX16" s="508" t="s">
        <v>581</v>
      </c>
      <c r="NYY16" s="508" t="s">
        <v>581</v>
      </c>
      <c r="NYZ16" s="508" t="s">
        <v>581</v>
      </c>
      <c r="NZA16" s="508" t="s">
        <v>581</v>
      </c>
      <c r="NZB16" s="508" t="s">
        <v>581</v>
      </c>
      <c r="NZC16" s="508" t="s">
        <v>581</v>
      </c>
      <c r="NZD16" s="508" t="s">
        <v>581</v>
      </c>
      <c r="NZE16" s="508" t="s">
        <v>581</v>
      </c>
      <c r="NZF16" s="508" t="s">
        <v>581</v>
      </c>
      <c r="NZG16" s="508" t="s">
        <v>581</v>
      </c>
      <c r="NZH16" s="508" t="s">
        <v>581</v>
      </c>
      <c r="NZI16" s="508" t="s">
        <v>581</v>
      </c>
      <c r="NZJ16" s="508" t="s">
        <v>581</v>
      </c>
      <c r="NZK16" s="508" t="s">
        <v>581</v>
      </c>
      <c r="NZL16" s="508" t="s">
        <v>581</v>
      </c>
      <c r="NZM16" s="508" t="s">
        <v>581</v>
      </c>
      <c r="NZN16" s="508" t="s">
        <v>581</v>
      </c>
      <c r="NZO16" s="508" t="s">
        <v>581</v>
      </c>
      <c r="NZP16" s="508" t="s">
        <v>581</v>
      </c>
      <c r="NZQ16" s="508" t="s">
        <v>581</v>
      </c>
      <c r="NZR16" s="508" t="s">
        <v>581</v>
      </c>
      <c r="NZS16" s="508" t="s">
        <v>581</v>
      </c>
      <c r="NZT16" s="508" t="s">
        <v>581</v>
      </c>
      <c r="NZU16" s="508" t="s">
        <v>581</v>
      </c>
      <c r="NZV16" s="508" t="s">
        <v>581</v>
      </c>
      <c r="NZW16" s="508" t="s">
        <v>581</v>
      </c>
      <c r="NZX16" s="508" t="s">
        <v>581</v>
      </c>
      <c r="NZY16" s="508" t="s">
        <v>581</v>
      </c>
      <c r="NZZ16" s="508" t="s">
        <v>581</v>
      </c>
      <c r="OAA16" s="508" t="s">
        <v>581</v>
      </c>
      <c r="OAB16" s="508" t="s">
        <v>581</v>
      </c>
      <c r="OAC16" s="508" t="s">
        <v>581</v>
      </c>
      <c r="OAD16" s="508" t="s">
        <v>581</v>
      </c>
      <c r="OAE16" s="508" t="s">
        <v>581</v>
      </c>
      <c r="OAF16" s="508" t="s">
        <v>581</v>
      </c>
      <c r="OAG16" s="508" t="s">
        <v>581</v>
      </c>
      <c r="OAH16" s="508" t="s">
        <v>581</v>
      </c>
      <c r="OAI16" s="508" t="s">
        <v>581</v>
      </c>
      <c r="OAJ16" s="508" t="s">
        <v>581</v>
      </c>
      <c r="OAK16" s="508" t="s">
        <v>581</v>
      </c>
      <c r="OAL16" s="508" t="s">
        <v>581</v>
      </c>
      <c r="OAM16" s="508" t="s">
        <v>581</v>
      </c>
      <c r="OAN16" s="508" t="s">
        <v>581</v>
      </c>
      <c r="OAO16" s="508" t="s">
        <v>581</v>
      </c>
      <c r="OAP16" s="508" t="s">
        <v>581</v>
      </c>
      <c r="OAQ16" s="508" t="s">
        <v>581</v>
      </c>
      <c r="OAR16" s="508" t="s">
        <v>581</v>
      </c>
      <c r="OAS16" s="508" t="s">
        <v>581</v>
      </c>
      <c r="OAT16" s="508" t="s">
        <v>581</v>
      </c>
      <c r="OAU16" s="508" t="s">
        <v>581</v>
      </c>
      <c r="OAV16" s="508" t="s">
        <v>581</v>
      </c>
      <c r="OAW16" s="508" t="s">
        <v>581</v>
      </c>
      <c r="OAX16" s="508" t="s">
        <v>581</v>
      </c>
      <c r="OAY16" s="508" t="s">
        <v>581</v>
      </c>
      <c r="OAZ16" s="508" t="s">
        <v>581</v>
      </c>
      <c r="OBA16" s="508" t="s">
        <v>581</v>
      </c>
      <c r="OBB16" s="508" t="s">
        <v>581</v>
      </c>
      <c r="OBC16" s="508" t="s">
        <v>581</v>
      </c>
      <c r="OBD16" s="508" t="s">
        <v>581</v>
      </c>
      <c r="OBE16" s="508" t="s">
        <v>581</v>
      </c>
      <c r="OBF16" s="508" t="s">
        <v>581</v>
      </c>
      <c r="OBG16" s="508" t="s">
        <v>581</v>
      </c>
      <c r="OBH16" s="508" t="s">
        <v>581</v>
      </c>
      <c r="OBI16" s="508" t="s">
        <v>581</v>
      </c>
      <c r="OBJ16" s="508" t="s">
        <v>581</v>
      </c>
      <c r="OBK16" s="508" t="s">
        <v>581</v>
      </c>
      <c r="OBL16" s="508" t="s">
        <v>581</v>
      </c>
      <c r="OBM16" s="508" t="s">
        <v>581</v>
      </c>
      <c r="OBN16" s="508" t="s">
        <v>581</v>
      </c>
      <c r="OBO16" s="508" t="s">
        <v>581</v>
      </c>
      <c r="OBP16" s="508" t="s">
        <v>581</v>
      </c>
      <c r="OBQ16" s="508" t="s">
        <v>581</v>
      </c>
      <c r="OBR16" s="508" t="s">
        <v>581</v>
      </c>
      <c r="OBS16" s="508" t="s">
        <v>581</v>
      </c>
      <c r="OBT16" s="508" t="s">
        <v>581</v>
      </c>
      <c r="OBU16" s="508" t="s">
        <v>581</v>
      </c>
      <c r="OBV16" s="508" t="s">
        <v>581</v>
      </c>
      <c r="OBW16" s="508" t="s">
        <v>581</v>
      </c>
      <c r="OBX16" s="508" t="s">
        <v>581</v>
      </c>
      <c r="OBY16" s="508" t="s">
        <v>581</v>
      </c>
      <c r="OBZ16" s="508" t="s">
        <v>581</v>
      </c>
      <c r="OCA16" s="508" t="s">
        <v>581</v>
      </c>
      <c r="OCB16" s="508" t="s">
        <v>581</v>
      </c>
      <c r="OCC16" s="508" t="s">
        <v>581</v>
      </c>
      <c r="OCD16" s="508" t="s">
        <v>581</v>
      </c>
      <c r="OCE16" s="508" t="s">
        <v>581</v>
      </c>
      <c r="OCF16" s="508" t="s">
        <v>581</v>
      </c>
      <c r="OCG16" s="508" t="s">
        <v>581</v>
      </c>
      <c r="OCH16" s="508" t="s">
        <v>581</v>
      </c>
      <c r="OCI16" s="508" t="s">
        <v>581</v>
      </c>
      <c r="OCJ16" s="508" t="s">
        <v>581</v>
      </c>
      <c r="OCK16" s="508" t="s">
        <v>581</v>
      </c>
      <c r="OCL16" s="508" t="s">
        <v>581</v>
      </c>
      <c r="OCM16" s="508" t="s">
        <v>581</v>
      </c>
      <c r="OCN16" s="508" t="s">
        <v>581</v>
      </c>
      <c r="OCO16" s="508" t="s">
        <v>581</v>
      </c>
      <c r="OCP16" s="508" t="s">
        <v>581</v>
      </c>
      <c r="OCQ16" s="508" t="s">
        <v>581</v>
      </c>
      <c r="OCR16" s="508" t="s">
        <v>581</v>
      </c>
      <c r="OCS16" s="508" t="s">
        <v>581</v>
      </c>
      <c r="OCT16" s="508" t="s">
        <v>581</v>
      </c>
      <c r="OCU16" s="508" t="s">
        <v>581</v>
      </c>
      <c r="OCV16" s="508" t="s">
        <v>581</v>
      </c>
      <c r="OCW16" s="508" t="s">
        <v>581</v>
      </c>
      <c r="OCX16" s="508" t="s">
        <v>581</v>
      </c>
      <c r="OCY16" s="508" t="s">
        <v>581</v>
      </c>
      <c r="OCZ16" s="508" t="s">
        <v>581</v>
      </c>
      <c r="ODA16" s="508" t="s">
        <v>581</v>
      </c>
      <c r="ODB16" s="508" t="s">
        <v>581</v>
      </c>
      <c r="ODC16" s="508" t="s">
        <v>581</v>
      </c>
      <c r="ODD16" s="508" t="s">
        <v>581</v>
      </c>
      <c r="ODE16" s="508" t="s">
        <v>581</v>
      </c>
      <c r="ODF16" s="508" t="s">
        <v>581</v>
      </c>
      <c r="ODG16" s="508" t="s">
        <v>581</v>
      </c>
      <c r="ODH16" s="508" t="s">
        <v>581</v>
      </c>
      <c r="ODI16" s="508" t="s">
        <v>581</v>
      </c>
      <c r="ODJ16" s="508" t="s">
        <v>581</v>
      </c>
      <c r="ODK16" s="508" t="s">
        <v>581</v>
      </c>
      <c r="ODL16" s="508" t="s">
        <v>581</v>
      </c>
      <c r="ODM16" s="508" t="s">
        <v>581</v>
      </c>
      <c r="ODN16" s="508" t="s">
        <v>581</v>
      </c>
      <c r="ODO16" s="508" t="s">
        <v>581</v>
      </c>
      <c r="ODP16" s="508" t="s">
        <v>581</v>
      </c>
      <c r="ODQ16" s="508" t="s">
        <v>581</v>
      </c>
      <c r="ODR16" s="508" t="s">
        <v>581</v>
      </c>
      <c r="ODS16" s="508" t="s">
        <v>581</v>
      </c>
      <c r="ODT16" s="508" t="s">
        <v>581</v>
      </c>
      <c r="ODU16" s="508" t="s">
        <v>581</v>
      </c>
      <c r="ODV16" s="508" t="s">
        <v>581</v>
      </c>
      <c r="ODW16" s="508" t="s">
        <v>581</v>
      </c>
      <c r="ODX16" s="508" t="s">
        <v>581</v>
      </c>
      <c r="ODY16" s="508" t="s">
        <v>581</v>
      </c>
      <c r="ODZ16" s="508" t="s">
        <v>581</v>
      </c>
      <c r="OEA16" s="508" t="s">
        <v>581</v>
      </c>
      <c r="OEB16" s="508" t="s">
        <v>581</v>
      </c>
      <c r="OEC16" s="508" t="s">
        <v>581</v>
      </c>
      <c r="OED16" s="508" t="s">
        <v>581</v>
      </c>
      <c r="OEE16" s="508" t="s">
        <v>581</v>
      </c>
      <c r="OEF16" s="508" t="s">
        <v>581</v>
      </c>
      <c r="OEG16" s="508" t="s">
        <v>581</v>
      </c>
      <c r="OEH16" s="508" t="s">
        <v>581</v>
      </c>
      <c r="OEI16" s="508" t="s">
        <v>581</v>
      </c>
      <c r="OEJ16" s="508" t="s">
        <v>581</v>
      </c>
      <c r="OEK16" s="508" t="s">
        <v>581</v>
      </c>
      <c r="OEL16" s="508" t="s">
        <v>581</v>
      </c>
      <c r="OEM16" s="508" t="s">
        <v>581</v>
      </c>
      <c r="OEN16" s="508" t="s">
        <v>581</v>
      </c>
      <c r="OEO16" s="508" t="s">
        <v>581</v>
      </c>
      <c r="OEP16" s="508" t="s">
        <v>581</v>
      </c>
      <c r="OEQ16" s="508" t="s">
        <v>581</v>
      </c>
      <c r="OER16" s="508" t="s">
        <v>581</v>
      </c>
      <c r="OES16" s="508" t="s">
        <v>581</v>
      </c>
      <c r="OET16" s="508" t="s">
        <v>581</v>
      </c>
      <c r="OEU16" s="508" t="s">
        <v>581</v>
      </c>
      <c r="OEV16" s="508" t="s">
        <v>581</v>
      </c>
      <c r="OEW16" s="508" t="s">
        <v>581</v>
      </c>
      <c r="OEX16" s="508" t="s">
        <v>581</v>
      </c>
      <c r="OEY16" s="508" t="s">
        <v>581</v>
      </c>
      <c r="OEZ16" s="508" t="s">
        <v>581</v>
      </c>
      <c r="OFA16" s="508" t="s">
        <v>581</v>
      </c>
      <c r="OFB16" s="508" t="s">
        <v>581</v>
      </c>
      <c r="OFC16" s="508" t="s">
        <v>581</v>
      </c>
      <c r="OFD16" s="508" t="s">
        <v>581</v>
      </c>
      <c r="OFE16" s="508" t="s">
        <v>581</v>
      </c>
      <c r="OFF16" s="508" t="s">
        <v>581</v>
      </c>
      <c r="OFG16" s="508" t="s">
        <v>581</v>
      </c>
      <c r="OFH16" s="508" t="s">
        <v>581</v>
      </c>
      <c r="OFI16" s="508" t="s">
        <v>581</v>
      </c>
      <c r="OFJ16" s="508" t="s">
        <v>581</v>
      </c>
      <c r="OFK16" s="508" t="s">
        <v>581</v>
      </c>
      <c r="OFL16" s="508" t="s">
        <v>581</v>
      </c>
      <c r="OFM16" s="508" t="s">
        <v>581</v>
      </c>
      <c r="OFN16" s="508" t="s">
        <v>581</v>
      </c>
      <c r="OFO16" s="508" t="s">
        <v>581</v>
      </c>
      <c r="OFP16" s="508" t="s">
        <v>581</v>
      </c>
      <c r="OFQ16" s="508" t="s">
        <v>581</v>
      </c>
      <c r="OFR16" s="508" t="s">
        <v>581</v>
      </c>
      <c r="OFS16" s="508" t="s">
        <v>581</v>
      </c>
      <c r="OFT16" s="508" t="s">
        <v>581</v>
      </c>
      <c r="OFU16" s="508" t="s">
        <v>581</v>
      </c>
      <c r="OFV16" s="508" t="s">
        <v>581</v>
      </c>
      <c r="OFW16" s="508" t="s">
        <v>581</v>
      </c>
      <c r="OFX16" s="508" t="s">
        <v>581</v>
      </c>
      <c r="OFY16" s="508" t="s">
        <v>581</v>
      </c>
      <c r="OFZ16" s="508" t="s">
        <v>581</v>
      </c>
      <c r="OGA16" s="508" t="s">
        <v>581</v>
      </c>
      <c r="OGB16" s="508" t="s">
        <v>581</v>
      </c>
      <c r="OGC16" s="508" t="s">
        <v>581</v>
      </c>
      <c r="OGD16" s="508" t="s">
        <v>581</v>
      </c>
      <c r="OGE16" s="508" t="s">
        <v>581</v>
      </c>
      <c r="OGF16" s="508" t="s">
        <v>581</v>
      </c>
      <c r="OGG16" s="508" t="s">
        <v>581</v>
      </c>
      <c r="OGH16" s="508" t="s">
        <v>581</v>
      </c>
      <c r="OGI16" s="508" t="s">
        <v>581</v>
      </c>
      <c r="OGJ16" s="508" t="s">
        <v>581</v>
      </c>
      <c r="OGK16" s="508" t="s">
        <v>581</v>
      </c>
      <c r="OGL16" s="508" t="s">
        <v>581</v>
      </c>
      <c r="OGM16" s="508" t="s">
        <v>581</v>
      </c>
      <c r="OGN16" s="508" t="s">
        <v>581</v>
      </c>
      <c r="OGO16" s="508" t="s">
        <v>581</v>
      </c>
      <c r="OGP16" s="508" t="s">
        <v>581</v>
      </c>
      <c r="OGQ16" s="508" t="s">
        <v>581</v>
      </c>
      <c r="OGR16" s="508" t="s">
        <v>581</v>
      </c>
      <c r="OGS16" s="508" t="s">
        <v>581</v>
      </c>
      <c r="OGT16" s="508" t="s">
        <v>581</v>
      </c>
      <c r="OGU16" s="508" t="s">
        <v>581</v>
      </c>
      <c r="OGV16" s="508" t="s">
        <v>581</v>
      </c>
      <c r="OGW16" s="508" t="s">
        <v>581</v>
      </c>
      <c r="OGX16" s="508" t="s">
        <v>581</v>
      </c>
      <c r="OGY16" s="508" t="s">
        <v>581</v>
      </c>
      <c r="OGZ16" s="508" t="s">
        <v>581</v>
      </c>
      <c r="OHA16" s="508" t="s">
        <v>581</v>
      </c>
      <c r="OHB16" s="508" t="s">
        <v>581</v>
      </c>
      <c r="OHC16" s="508" t="s">
        <v>581</v>
      </c>
      <c r="OHD16" s="508" t="s">
        <v>581</v>
      </c>
      <c r="OHE16" s="508" t="s">
        <v>581</v>
      </c>
      <c r="OHF16" s="508" t="s">
        <v>581</v>
      </c>
      <c r="OHG16" s="508" t="s">
        <v>581</v>
      </c>
      <c r="OHH16" s="508" t="s">
        <v>581</v>
      </c>
      <c r="OHI16" s="508" t="s">
        <v>581</v>
      </c>
      <c r="OHJ16" s="508" t="s">
        <v>581</v>
      </c>
      <c r="OHK16" s="508" t="s">
        <v>581</v>
      </c>
      <c r="OHL16" s="508" t="s">
        <v>581</v>
      </c>
      <c r="OHM16" s="508" t="s">
        <v>581</v>
      </c>
      <c r="OHN16" s="508" t="s">
        <v>581</v>
      </c>
      <c r="OHO16" s="508" t="s">
        <v>581</v>
      </c>
      <c r="OHP16" s="508" t="s">
        <v>581</v>
      </c>
      <c r="OHQ16" s="508" t="s">
        <v>581</v>
      </c>
      <c r="OHR16" s="508" t="s">
        <v>581</v>
      </c>
      <c r="OHS16" s="508" t="s">
        <v>581</v>
      </c>
      <c r="OHT16" s="508" t="s">
        <v>581</v>
      </c>
      <c r="OHU16" s="508" t="s">
        <v>581</v>
      </c>
      <c r="OHV16" s="508" t="s">
        <v>581</v>
      </c>
      <c r="OHW16" s="508" t="s">
        <v>581</v>
      </c>
      <c r="OHX16" s="508" t="s">
        <v>581</v>
      </c>
      <c r="OHY16" s="508" t="s">
        <v>581</v>
      </c>
      <c r="OHZ16" s="508" t="s">
        <v>581</v>
      </c>
      <c r="OIA16" s="508" t="s">
        <v>581</v>
      </c>
      <c r="OIB16" s="508" t="s">
        <v>581</v>
      </c>
      <c r="OIC16" s="508" t="s">
        <v>581</v>
      </c>
      <c r="OID16" s="508" t="s">
        <v>581</v>
      </c>
      <c r="OIE16" s="508" t="s">
        <v>581</v>
      </c>
      <c r="OIF16" s="508" t="s">
        <v>581</v>
      </c>
      <c r="OIG16" s="508" t="s">
        <v>581</v>
      </c>
      <c r="OIH16" s="508" t="s">
        <v>581</v>
      </c>
      <c r="OII16" s="508" t="s">
        <v>581</v>
      </c>
      <c r="OIJ16" s="508" t="s">
        <v>581</v>
      </c>
      <c r="OIK16" s="508" t="s">
        <v>581</v>
      </c>
      <c r="OIL16" s="508" t="s">
        <v>581</v>
      </c>
      <c r="OIM16" s="508" t="s">
        <v>581</v>
      </c>
      <c r="OIN16" s="508" t="s">
        <v>581</v>
      </c>
      <c r="OIO16" s="508" t="s">
        <v>581</v>
      </c>
      <c r="OIP16" s="508" t="s">
        <v>581</v>
      </c>
      <c r="OIQ16" s="508" t="s">
        <v>581</v>
      </c>
      <c r="OIR16" s="508" t="s">
        <v>581</v>
      </c>
      <c r="OIS16" s="508" t="s">
        <v>581</v>
      </c>
      <c r="OIT16" s="508" t="s">
        <v>581</v>
      </c>
      <c r="OIU16" s="508" t="s">
        <v>581</v>
      </c>
      <c r="OIV16" s="508" t="s">
        <v>581</v>
      </c>
      <c r="OIW16" s="508" t="s">
        <v>581</v>
      </c>
      <c r="OIX16" s="508" t="s">
        <v>581</v>
      </c>
      <c r="OIY16" s="508" t="s">
        <v>581</v>
      </c>
      <c r="OIZ16" s="508" t="s">
        <v>581</v>
      </c>
      <c r="OJA16" s="508" t="s">
        <v>581</v>
      </c>
      <c r="OJB16" s="508" t="s">
        <v>581</v>
      </c>
      <c r="OJC16" s="508" t="s">
        <v>581</v>
      </c>
      <c r="OJD16" s="508" t="s">
        <v>581</v>
      </c>
      <c r="OJE16" s="508" t="s">
        <v>581</v>
      </c>
      <c r="OJF16" s="508" t="s">
        <v>581</v>
      </c>
      <c r="OJG16" s="508" t="s">
        <v>581</v>
      </c>
      <c r="OJH16" s="508" t="s">
        <v>581</v>
      </c>
      <c r="OJI16" s="508" t="s">
        <v>581</v>
      </c>
      <c r="OJJ16" s="508" t="s">
        <v>581</v>
      </c>
      <c r="OJK16" s="508" t="s">
        <v>581</v>
      </c>
      <c r="OJL16" s="508" t="s">
        <v>581</v>
      </c>
      <c r="OJM16" s="508" t="s">
        <v>581</v>
      </c>
      <c r="OJN16" s="508" t="s">
        <v>581</v>
      </c>
      <c r="OJO16" s="508" t="s">
        <v>581</v>
      </c>
      <c r="OJP16" s="508" t="s">
        <v>581</v>
      </c>
      <c r="OJQ16" s="508" t="s">
        <v>581</v>
      </c>
      <c r="OJR16" s="508" t="s">
        <v>581</v>
      </c>
      <c r="OJS16" s="508" t="s">
        <v>581</v>
      </c>
      <c r="OJT16" s="508" t="s">
        <v>581</v>
      </c>
      <c r="OJU16" s="508" t="s">
        <v>581</v>
      </c>
      <c r="OJV16" s="508" t="s">
        <v>581</v>
      </c>
      <c r="OJW16" s="508" t="s">
        <v>581</v>
      </c>
      <c r="OJX16" s="508" t="s">
        <v>581</v>
      </c>
      <c r="OJY16" s="508" t="s">
        <v>581</v>
      </c>
      <c r="OJZ16" s="508" t="s">
        <v>581</v>
      </c>
      <c r="OKA16" s="508" t="s">
        <v>581</v>
      </c>
      <c r="OKB16" s="508" t="s">
        <v>581</v>
      </c>
      <c r="OKC16" s="508" t="s">
        <v>581</v>
      </c>
      <c r="OKD16" s="508" t="s">
        <v>581</v>
      </c>
      <c r="OKE16" s="508" t="s">
        <v>581</v>
      </c>
      <c r="OKF16" s="508" t="s">
        <v>581</v>
      </c>
      <c r="OKG16" s="508" t="s">
        <v>581</v>
      </c>
      <c r="OKH16" s="508" t="s">
        <v>581</v>
      </c>
      <c r="OKI16" s="508" t="s">
        <v>581</v>
      </c>
      <c r="OKJ16" s="508" t="s">
        <v>581</v>
      </c>
      <c r="OKK16" s="508" t="s">
        <v>581</v>
      </c>
      <c r="OKL16" s="508" t="s">
        <v>581</v>
      </c>
      <c r="OKM16" s="508" t="s">
        <v>581</v>
      </c>
      <c r="OKN16" s="508" t="s">
        <v>581</v>
      </c>
      <c r="OKO16" s="508" t="s">
        <v>581</v>
      </c>
      <c r="OKP16" s="508" t="s">
        <v>581</v>
      </c>
      <c r="OKQ16" s="508" t="s">
        <v>581</v>
      </c>
      <c r="OKR16" s="508" t="s">
        <v>581</v>
      </c>
      <c r="OKS16" s="508" t="s">
        <v>581</v>
      </c>
      <c r="OKT16" s="508" t="s">
        <v>581</v>
      </c>
      <c r="OKU16" s="508" t="s">
        <v>581</v>
      </c>
      <c r="OKV16" s="508" t="s">
        <v>581</v>
      </c>
      <c r="OKW16" s="508" t="s">
        <v>581</v>
      </c>
      <c r="OKX16" s="508" t="s">
        <v>581</v>
      </c>
      <c r="OKY16" s="508" t="s">
        <v>581</v>
      </c>
      <c r="OKZ16" s="508" t="s">
        <v>581</v>
      </c>
      <c r="OLA16" s="508" t="s">
        <v>581</v>
      </c>
      <c r="OLB16" s="508" t="s">
        <v>581</v>
      </c>
      <c r="OLC16" s="508" t="s">
        <v>581</v>
      </c>
      <c r="OLD16" s="508" t="s">
        <v>581</v>
      </c>
      <c r="OLE16" s="508" t="s">
        <v>581</v>
      </c>
      <c r="OLF16" s="508" t="s">
        <v>581</v>
      </c>
      <c r="OLG16" s="508" t="s">
        <v>581</v>
      </c>
      <c r="OLH16" s="508" t="s">
        <v>581</v>
      </c>
      <c r="OLI16" s="508" t="s">
        <v>581</v>
      </c>
      <c r="OLJ16" s="508" t="s">
        <v>581</v>
      </c>
      <c r="OLK16" s="508" t="s">
        <v>581</v>
      </c>
      <c r="OLL16" s="508" t="s">
        <v>581</v>
      </c>
      <c r="OLM16" s="508" t="s">
        <v>581</v>
      </c>
      <c r="OLN16" s="508" t="s">
        <v>581</v>
      </c>
      <c r="OLO16" s="508" t="s">
        <v>581</v>
      </c>
      <c r="OLP16" s="508" t="s">
        <v>581</v>
      </c>
      <c r="OLQ16" s="508" t="s">
        <v>581</v>
      </c>
      <c r="OLR16" s="508" t="s">
        <v>581</v>
      </c>
      <c r="OLS16" s="508" t="s">
        <v>581</v>
      </c>
      <c r="OLT16" s="508" t="s">
        <v>581</v>
      </c>
      <c r="OLU16" s="508" t="s">
        <v>581</v>
      </c>
      <c r="OLV16" s="508" t="s">
        <v>581</v>
      </c>
      <c r="OLW16" s="508" t="s">
        <v>581</v>
      </c>
      <c r="OLX16" s="508" t="s">
        <v>581</v>
      </c>
      <c r="OLY16" s="508" t="s">
        <v>581</v>
      </c>
      <c r="OLZ16" s="508" t="s">
        <v>581</v>
      </c>
      <c r="OMA16" s="508" t="s">
        <v>581</v>
      </c>
      <c r="OMB16" s="508" t="s">
        <v>581</v>
      </c>
      <c r="OMC16" s="508" t="s">
        <v>581</v>
      </c>
      <c r="OMD16" s="508" t="s">
        <v>581</v>
      </c>
      <c r="OME16" s="508" t="s">
        <v>581</v>
      </c>
      <c r="OMF16" s="508" t="s">
        <v>581</v>
      </c>
      <c r="OMG16" s="508" t="s">
        <v>581</v>
      </c>
      <c r="OMH16" s="508" t="s">
        <v>581</v>
      </c>
      <c r="OMI16" s="508" t="s">
        <v>581</v>
      </c>
      <c r="OMJ16" s="508" t="s">
        <v>581</v>
      </c>
      <c r="OMK16" s="508" t="s">
        <v>581</v>
      </c>
      <c r="OML16" s="508" t="s">
        <v>581</v>
      </c>
      <c r="OMM16" s="508" t="s">
        <v>581</v>
      </c>
      <c r="OMN16" s="508" t="s">
        <v>581</v>
      </c>
      <c r="OMO16" s="508" t="s">
        <v>581</v>
      </c>
      <c r="OMP16" s="508" t="s">
        <v>581</v>
      </c>
      <c r="OMQ16" s="508" t="s">
        <v>581</v>
      </c>
      <c r="OMR16" s="508" t="s">
        <v>581</v>
      </c>
      <c r="OMS16" s="508" t="s">
        <v>581</v>
      </c>
      <c r="OMT16" s="508" t="s">
        <v>581</v>
      </c>
      <c r="OMU16" s="508" t="s">
        <v>581</v>
      </c>
      <c r="OMV16" s="508" t="s">
        <v>581</v>
      </c>
      <c r="OMW16" s="508" t="s">
        <v>581</v>
      </c>
      <c r="OMX16" s="508" t="s">
        <v>581</v>
      </c>
      <c r="OMY16" s="508" t="s">
        <v>581</v>
      </c>
      <c r="OMZ16" s="508" t="s">
        <v>581</v>
      </c>
      <c r="ONA16" s="508" t="s">
        <v>581</v>
      </c>
      <c r="ONB16" s="508" t="s">
        <v>581</v>
      </c>
      <c r="ONC16" s="508" t="s">
        <v>581</v>
      </c>
      <c r="OND16" s="508" t="s">
        <v>581</v>
      </c>
      <c r="ONE16" s="508" t="s">
        <v>581</v>
      </c>
      <c r="ONF16" s="508" t="s">
        <v>581</v>
      </c>
      <c r="ONG16" s="508" t="s">
        <v>581</v>
      </c>
      <c r="ONH16" s="508" t="s">
        <v>581</v>
      </c>
      <c r="ONI16" s="508" t="s">
        <v>581</v>
      </c>
      <c r="ONJ16" s="508" t="s">
        <v>581</v>
      </c>
      <c r="ONK16" s="508" t="s">
        <v>581</v>
      </c>
      <c r="ONL16" s="508" t="s">
        <v>581</v>
      </c>
      <c r="ONM16" s="508" t="s">
        <v>581</v>
      </c>
      <c r="ONN16" s="508" t="s">
        <v>581</v>
      </c>
      <c r="ONO16" s="508" t="s">
        <v>581</v>
      </c>
      <c r="ONP16" s="508" t="s">
        <v>581</v>
      </c>
      <c r="ONQ16" s="508" t="s">
        <v>581</v>
      </c>
      <c r="ONR16" s="508" t="s">
        <v>581</v>
      </c>
      <c r="ONS16" s="508" t="s">
        <v>581</v>
      </c>
      <c r="ONT16" s="508" t="s">
        <v>581</v>
      </c>
      <c r="ONU16" s="508" t="s">
        <v>581</v>
      </c>
      <c r="ONV16" s="508" t="s">
        <v>581</v>
      </c>
      <c r="ONW16" s="508" t="s">
        <v>581</v>
      </c>
      <c r="ONX16" s="508" t="s">
        <v>581</v>
      </c>
      <c r="ONY16" s="508" t="s">
        <v>581</v>
      </c>
      <c r="ONZ16" s="508" t="s">
        <v>581</v>
      </c>
      <c r="OOA16" s="508" t="s">
        <v>581</v>
      </c>
      <c r="OOB16" s="508" t="s">
        <v>581</v>
      </c>
      <c r="OOC16" s="508" t="s">
        <v>581</v>
      </c>
      <c r="OOD16" s="508" t="s">
        <v>581</v>
      </c>
      <c r="OOE16" s="508" t="s">
        <v>581</v>
      </c>
      <c r="OOF16" s="508" t="s">
        <v>581</v>
      </c>
      <c r="OOG16" s="508" t="s">
        <v>581</v>
      </c>
      <c r="OOH16" s="508" t="s">
        <v>581</v>
      </c>
      <c r="OOI16" s="508" t="s">
        <v>581</v>
      </c>
      <c r="OOJ16" s="508" t="s">
        <v>581</v>
      </c>
      <c r="OOK16" s="508" t="s">
        <v>581</v>
      </c>
      <c r="OOL16" s="508" t="s">
        <v>581</v>
      </c>
      <c r="OOM16" s="508" t="s">
        <v>581</v>
      </c>
      <c r="OON16" s="508" t="s">
        <v>581</v>
      </c>
      <c r="OOO16" s="508" t="s">
        <v>581</v>
      </c>
      <c r="OOP16" s="508" t="s">
        <v>581</v>
      </c>
      <c r="OOQ16" s="508" t="s">
        <v>581</v>
      </c>
      <c r="OOR16" s="508" t="s">
        <v>581</v>
      </c>
      <c r="OOS16" s="508" t="s">
        <v>581</v>
      </c>
      <c r="OOT16" s="508" t="s">
        <v>581</v>
      </c>
      <c r="OOU16" s="508" t="s">
        <v>581</v>
      </c>
      <c r="OOV16" s="508" t="s">
        <v>581</v>
      </c>
      <c r="OOW16" s="508" t="s">
        <v>581</v>
      </c>
      <c r="OOX16" s="508" t="s">
        <v>581</v>
      </c>
      <c r="OOY16" s="508" t="s">
        <v>581</v>
      </c>
      <c r="OOZ16" s="508" t="s">
        <v>581</v>
      </c>
      <c r="OPA16" s="508" t="s">
        <v>581</v>
      </c>
      <c r="OPB16" s="508" t="s">
        <v>581</v>
      </c>
      <c r="OPC16" s="508" t="s">
        <v>581</v>
      </c>
      <c r="OPD16" s="508" t="s">
        <v>581</v>
      </c>
      <c r="OPE16" s="508" t="s">
        <v>581</v>
      </c>
      <c r="OPF16" s="508" t="s">
        <v>581</v>
      </c>
      <c r="OPG16" s="508" t="s">
        <v>581</v>
      </c>
      <c r="OPH16" s="508" t="s">
        <v>581</v>
      </c>
      <c r="OPI16" s="508" t="s">
        <v>581</v>
      </c>
      <c r="OPJ16" s="508" t="s">
        <v>581</v>
      </c>
      <c r="OPK16" s="508" t="s">
        <v>581</v>
      </c>
      <c r="OPL16" s="508" t="s">
        <v>581</v>
      </c>
      <c r="OPM16" s="508" t="s">
        <v>581</v>
      </c>
      <c r="OPN16" s="508" t="s">
        <v>581</v>
      </c>
      <c r="OPO16" s="508" t="s">
        <v>581</v>
      </c>
      <c r="OPP16" s="508" t="s">
        <v>581</v>
      </c>
      <c r="OPQ16" s="508" t="s">
        <v>581</v>
      </c>
      <c r="OPR16" s="508" t="s">
        <v>581</v>
      </c>
      <c r="OPS16" s="508" t="s">
        <v>581</v>
      </c>
      <c r="OPT16" s="508" t="s">
        <v>581</v>
      </c>
      <c r="OPU16" s="508" t="s">
        <v>581</v>
      </c>
      <c r="OPV16" s="508" t="s">
        <v>581</v>
      </c>
      <c r="OPW16" s="508" t="s">
        <v>581</v>
      </c>
      <c r="OPX16" s="508" t="s">
        <v>581</v>
      </c>
      <c r="OPY16" s="508" t="s">
        <v>581</v>
      </c>
      <c r="OPZ16" s="508" t="s">
        <v>581</v>
      </c>
      <c r="OQA16" s="508" t="s">
        <v>581</v>
      </c>
      <c r="OQB16" s="508" t="s">
        <v>581</v>
      </c>
      <c r="OQC16" s="508" t="s">
        <v>581</v>
      </c>
      <c r="OQD16" s="508" t="s">
        <v>581</v>
      </c>
      <c r="OQE16" s="508" t="s">
        <v>581</v>
      </c>
      <c r="OQF16" s="508" t="s">
        <v>581</v>
      </c>
      <c r="OQG16" s="508" t="s">
        <v>581</v>
      </c>
      <c r="OQH16" s="508" t="s">
        <v>581</v>
      </c>
      <c r="OQI16" s="508" t="s">
        <v>581</v>
      </c>
      <c r="OQJ16" s="508" t="s">
        <v>581</v>
      </c>
      <c r="OQK16" s="508" t="s">
        <v>581</v>
      </c>
      <c r="OQL16" s="508" t="s">
        <v>581</v>
      </c>
      <c r="OQM16" s="508" t="s">
        <v>581</v>
      </c>
      <c r="OQN16" s="508" t="s">
        <v>581</v>
      </c>
      <c r="OQO16" s="508" t="s">
        <v>581</v>
      </c>
      <c r="OQP16" s="508" t="s">
        <v>581</v>
      </c>
      <c r="OQQ16" s="508" t="s">
        <v>581</v>
      </c>
      <c r="OQR16" s="508" t="s">
        <v>581</v>
      </c>
      <c r="OQS16" s="508" t="s">
        <v>581</v>
      </c>
      <c r="OQT16" s="508" t="s">
        <v>581</v>
      </c>
      <c r="OQU16" s="508" t="s">
        <v>581</v>
      </c>
      <c r="OQV16" s="508" t="s">
        <v>581</v>
      </c>
      <c r="OQW16" s="508" t="s">
        <v>581</v>
      </c>
      <c r="OQX16" s="508" t="s">
        <v>581</v>
      </c>
      <c r="OQY16" s="508" t="s">
        <v>581</v>
      </c>
      <c r="OQZ16" s="508" t="s">
        <v>581</v>
      </c>
      <c r="ORA16" s="508" t="s">
        <v>581</v>
      </c>
      <c r="ORB16" s="508" t="s">
        <v>581</v>
      </c>
      <c r="ORC16" s="508" t="s">
        <v>581</v>
      </c>
      <c r="ORD16" s="508" t="s">
        <v>581</v>
      </c>
      <c r="ORE16" s="508" t="s">
        <v>581</v>
      </c>
      <c r="ORF16" s="508" t="s">
        <v>581</v>
      </c>
      <c r="ORG16" s="508" t="s">
        <v>581</v>
      </c>
      <c r="ORH16" s="508" t="s">
        <v>581</v>
      </c>
      <c r="ORI16" s="508" t="s">
        <v>581</v>
      </c>
      <c r="ORJ16" s="508" t="s">
        <v>581</v>
      </c>
      <c r="ORK16" s="508" t="s">
        <v>581</v>
      </c>
      <c r="ORL16" s="508" t="s">
        <v>581</v>
      </c>
      <c r="ORM16" s="508" t="s">
        <v>581</v>
      </c>
      <c r="ORN16" s="508" t="s">
        <v>581</v>
      </c>
      <c r="ORO16" s="508" t="s">
        <v>581</v>
      </c>
      <c r="ORP16" s="508" t="s">
        <v>581</v>
      </c>
      <c r="ORQ16" s="508" t="s">
        <v>581</v>
      </c>
      <c r="ORR16" s="508" t="s">
        <v>581</v>
      </c>
      <c r="ORS16" s="508" t="s">
        <v>581</v>
      </c>
      <c r="ORT16" s="508" t="s">
        <v>581</v>
      </c>
      <c r="ORU16" s="508" t="s">
        <v>581</v>
      </c>
      <c r="ORV16" s="508" t="s">
        <v>581</v>
      </c>
      <c r="ORW16" s="508" t="s">
        <v>581</v>
      </c>
      <c r="ORX16" s="508" t="s">
        <v>581</v>
      </c>
      <c r="ORY16" s="508" t="s">
        <v>581</v>
      </c>
      <c r="ORZ16" s="508" t="s">
        <v>581</v>
      </c>
      <c r="OSA16" s="508" t="s">
        <v>581</v>
      </c>
      <c r="OSB16" s="508" t="s">
        <v>581</v>
      </c>
      <c r="OSC16" s="508" t="s">
        <v>581</v>
      </c>
      <c r="OSD16" s="508" t="s">
        <v>581</v>
      </c>
      <c r="OSE16" s="508" t="s">
        <v>581</v>
      </c>
      <c r="OSF16" s="508" t="s">
        <v>581</v>
      </c>
      <c r="OSG16" s="508" t="s">
        <v>581</v>
      </c>
      <c r="OSH16" s="508" t="s">
        <v>581</v>
      </c>
      <c r="OSI16" s="508" t="s">
        <v>581</v>
      </c>
      <c r="OSJ16" s="508" t="s">
        <v>581</v>
      </c>
      <c r="OSK16" s="508" t="s">
        <v>581</v>
      </c>
      <c r="OSL16" s="508" t="s">
        <v>581</v>
      </c>
      <c r="OSM16" s="508" t="s">
        <v>581</v>
      </c>
      <c r="OSN16" s="508" t="s">
        <v>581</v>
      </c>
      <c r="OSO16" s="508" t="s">
        <v>581</v>
      </c>
      <c r="OSP16" s="508" t="s">
        <v>581</v>
      </c>
      <c r="OSQ16" s="508" t="s">
        <v>581</v>
      </c>
      <c r="OSR16" s="508" t="s">
        <v>581</v>
      </c>
      <c r="OSS16" s="508" t="s">
        <v>581</v>
      </c>
      <c r="OST16" s="508" t="s">
        <v>581</v>
      </c>
      <c r="OSU16" s="508" t="s">
        <v>581</v>
      </c>
      <c r="OSV16" s="508" t="s">
        <v>581</v>
      </c>
      <c r="OSW16" s="508" t="s">
        <v>581</v>
      </c>
      <c r="OSX16" s="508" t="s">
        <v>581</v>
      </c>
      <c r="OSY16" s="508" t="s">
        <v>581</v>
      </c>
      <c r="OSZ16" s="508" t="s">
        <v>581</v>
      </c>
      <c r="OTA16" s="508" t="s">
        <v>581</v>
      </c>
      <c r="OTB16" s="508" t="s">
        <v>581</v>
      </c>
      <c r="OTC16" s="508" t="s">
        <v>581</v>
      </c>
      <c r="OTD16" s="508" t="s">
        <v>581</v>
      </c>
      <c r="OTE16" s="508" t="s">
        <v>581</v>
      </c>
      <c r="OTF16" s="508" t="s">
        <v>581</v>
      </c>
      <c r="OTG16" s="508" t="s">
        <v>581</v>
      </c>
      <c r="OTH16" s="508" t="s">
        <v>581</v>
      </c>
      <c r="OTI16" s="508" t="s">
        <v>581</v>
      </c>
      <c r="OTJ16" s="508" t="s">
        <v>581</v>
      </c>
      <c r="OTK16" s="508" t="s">
        <v>581</v>
      </c>
      <c r="OTL16" s="508" t="s">
        <v>581</v>
      </c>
      <c r="OTM16" s="508" t="s">
        <v>581</v>
      </c>
      <c r="OTN16" s="508" t="s">
        <v>581</v>
      </c>
      <c r="OTO16" s="508" t="s">
        <v>581</v>
      </c>
      <c r="OTP16" s="508" t="s">
        <v>581</v>
      </c>
      <c r="OTQ16" s="508" t="s">
        <v>581</v>
      </c>
      <c r="OTR16" s="508" t="s">
        <v>581</v>
      </c>
      <c r="OTS16" s="508" t="s">
        <v>581</v>
      </c>
      <c r="OTT16" s="508" t="s">
        <v>581</v>
      </c>
      <c r="OTU16" s="508" t="s">
        <v>581</v>
      </c>
      <c r="OTV16" s="508" t="s">
        <v>581</v>
      </c>
      <c r="OTW16" s="508" t="s">
        <v>581</v>
      </c>
      <c r="OTX16" s="508" t="s">
        <v>581</v>
      </c>
      <c r="OTY16" s="508" t="s">
        <v>581</v>
      </c>
      <c r="OTZ16" s="508" t="s">
        <v>581</v>
      </c>
      <c r="OUA16" s="508" t="s">
        <v>581</v>
      </c>
      <c r="OUB16" s="508" t="s">
        <v>581</v>
      </c>
      <c r="OUC16" s="508" t="s">
        <v>581</v>
      </c>
      <c r="OUD16" s="508" t="s">
        <v>581</v>
      </c>
      <c r="OUE16" s="508" t="s">
        <v>581</v>
      </c>
      <c r="OUF16" s="508" t="s">
        <v>581</v>
      </c>
      <c r="OUG16" s="508" t="s">
        <v>581</v>
      </c>
      <c r="OUH16" s="508" t="s">
        <v>581</v>
      </c>
      <c r="OUI16" s="508" t="s">
        <v>581</v>
      </c>
      <c r="OUJ16" s="508" t="s">
        <v>581</v>
      </c>
      <c r="OUK16" s="508" t="s">
        <v>581</v>
      </c>
      <c r="OUL16" s="508" t="s">
        <v>581</v>
      </c>
      <c r="OUM16" s="508" t="s">
        <v>581</v>
      </c>
      <c r="OUN16" s="508" t="s">
        <v>581</v>
      </c>
      <c r="OUO16" s="508" t="s">
        <v>581</v>
      </c>
      <c r="OUP16" s="508" t="s">
        <v>581</v>
      </c>
      <c r="OUQ16" s="508" t="s">
        <v>581</v>
      </c>
      <c r="OUR16" s="508" t="s">
        <v>581</v>
      </c>
      <c r="OUS16" s="508" t="s">
        <v>581</v>
      </c>
      <c r="OUT16" s="508" t="s">
        <v>581</v>
      </c>
      <c r="OUU16" s="508" t="s">
        <v>581</v>
      </c>
      <c r="OUV16" s="508" t="s">
        <v>581</v>
      </c>
      <c r="OUW16" s="508" t="s">
        <v>581</v>
      </c>
      <c r="OUX16" s="508" t="s">
        <v>581</v>
      </c>
      <c r="OUY16" s="508" t="s">
        <v>581</v>
      </c>
      <c r="OUZ16" s="508" t="s">
        <v>581</v>
      </c>
      <c r="OVA16" s="508" t="s">
        <v>581</v>
      </c>
      <c r="OVB16" s="508" t="s">
        <v>581</v>
      </c>
      <c r="OVC16" s="508" t="s">
        <v>581</v>
      </c>
      <c r="OVD16" s="508" t="s">
        <v>581</v>
      </c>
      <c r="OVE16" s="508" t="s">
        <v>581</v>
      </c>
      <c r="OVF16" s="508" t="s">
        <v>581</v>
      </c>
      <c r="OVG16" s="508" t="s">
        <v>581</v>
      </c>
      <c r="OVH16" s="508" t="s">
        <v>581</v>
      </c>
      <c r="OVI16" s="508" t="s">
        <v>581</v>
      </c>
      <c r="OVJ16" s="508" t="s">
        <v>581</v>
      </c>
      <c r="OVK16" s="508" t="s">
        <v>581</v>
      </c>
      <c r="OVL16" s="508" t="s">
        <v>581</v>
      </c>
      <c r="OVM16" s="508" t="s">
        <v>581</v>
      </c>
      <c r="OVN16" s="508" t="s">
        <v>581</v>
      </c>
      <c r="OVO16" s="508" t="s">
        <v>581</v>
      </c>
      <c r="OVP16" s="508" t="s">
        <v>581</v>
      </c>
      <c r="OVQ16" s="508" t="s">
        <v>581</v>
      </c>
      <c r="OVR16" s="508" t="s">
        <v>581</v>
      </c>
      <c r="OVS16" s="508" t="s">
        <v>581</v>
      </c>
      <c r="OVT16" s="508" t="s">
        <v>581</v>
      </c>
      <c r="OVU16" s="508" t="s">
        <v>581</v>
      </c>
      <c r="OVV16" s="508" t="s">
        <v>581</v>
      </c>
      <c r="OVW16" s="508" t="s">
        <v>581</v>
      </c>
      <c r="OVX16" s="508" t="s">
        <v>581</v>
      </c>
      <c r="OVY16" s="508" t="s">
        <v>581</v>
      </c>
      <c r="OVZ16" s="508" t="s">
        <v>581</v>
      </c>
      <c r="OWA16" s="508" t="s">
        <v>581</v>
      </c>
      <c r="OWB16" s="508" t="s">
        <v>581</v>
      </c>
      <c r="OWC16" s="508" t="s">
        <v>581</v>
      </c>
      <c r="OWD16" s="508" t="s">
        <v>581</v>
      </c>
      <c r="OWE16" s="508" t="s">
        <v>581</v>
      </c>
      <c r="OWF16" s="508" t="s">
        <v>581</v>
      </c>
      <c r="OWG16" s="508" t="s">
        <v>581</v>
      </c>
      <c r="OWH16" s="508" t="s">
        <v>581</v>
      </c>
      <c r="OWI16" s="508" t="s">
        <v>581</v>
      </c>
      <c r="OWJ16" s="508" t="s">
        <v>581</v>
      </c>
      <c r="OWK16" s="508" t="s">
        <v>581</v>
      </c>
      <c r="OWL16" s="508" t="s">
        <v>581</v>
      </c>
      <c r="OWM16" s="508" t="s">
        <v>581</v>
      </c>
      <c r="OWN16" s="508" t="s">
        <v>581</v>
      </c>
      <c r="OWO16" s="508" t="s">
        <v>581</v>
      </c>
      <c r="OWP16" s="508" t="s">
        <v>581</v>
      </c>
      <c r="OWQ16" s="508" t="s">
        <v>581</v>
      </c>
      <c r="OWR16" s="508" t="s">
        <v>581</v>
      </c>
      <c r="OWS16" s="508" t="s">
        <v>581</v>
      </c>
      <c r="OWT16" s="508" t="s">
        <v>581</v>
      </c>
      <c r="OWU16" s="508" t="s">
        <v>581</v>
      </c>
      <c r="OWV16" s="508" t="s">
        <v>581</v>
      </c>
      <c r="OWW16" s="508" t="s">
        <v>581</v>
      </c>
      <c r="OWX16" s="508" t="s">
        <v>581</v>
      </c>
      <c r="OWY16" s="508" t="s">
        <v>581</v>
      </c>
      <c r="OWZ16" s="508" t="s">
        <v>581</v>
      </c>
      <c r="OXA16" s="508" t="s">
        <v>581</v>
      </c>
      <c r="OXB16" s="508" t="s">
        <v>581</v>
      </c>
      <c r="OXC16" s="508" t="s">
        <v>581</v>
      </c>
      <c r="OXD16" s="508" t="s">
        <v>581</v>
      </c>
      <c r="OXE16" s="508" t="s">
        <v>581</v>
      </c>
      <c r="OXF16" s="508" t="s">
        <v>581</v>
      </c>
      <c r="OXG16" s="508" t="s">
        <v>581</v>
      </c>
      <c r="OXH16" s="508" t="s">
        <v>581</v>
      </c>
      <c r="OXI16" s="508" t="s">
        <v>581</v>
      </c>
      <c r="OXJ16" s="508" t="s">
        <v>581</v>
      </c>
      <c r="OXK16" s="508" t="s">
        <v>581</v>
      </c>
      <c r="OXL16" s="508" t="s">
        <v>581</v>
      </c>
      <c r="OXM16" s="508" t="s">
        <v>581</v>
      </c>
      <c r="OXN16" s="508" t="s">
        <v>581</v>
      </c>
      <c r="OXO16" s="508" t="s">
        <v>581</v>
      </c>
      <c r="OXP16" s="508" t="s">
        <v>581</v>
      </c>
      <c r="OXQ16" s="508" t="s">
        <v>581</v>
      </c>
      <c r="OXR16" s="508" t="s">
        <v>581</v>
      </c>
      <c r="OXS16" s="508" t="s">
        <v>581</v>
      </c>
      <c r="OXT16" s="508" t="s">
        <v>581</v>
      </c>
      <c r="OXU16" s="508" t="s">
        <v>581</v>
      </c>
      <c r="OXV16" s="508" t="s">
        <v>581</v>
      </c>
      <c r="OXW16" s="508" t="s">
        <v>581</v>
      </c>
      <c r="OXX16" s="508" t="s">
        <v>581</v>
      </c>
      <c r="OXY16" s="508" t="s">
        <v>581</v>
      </c>
      <c r="OXZ16" s="508" t="s">
        <v>581</v>
      </c>
      <c r="OYA16" s="508" t="s">
        <v>581</v>
      </c>
      <c r="OYB16" s="508" t="s">
        <v>581</v>
      </c>
      <c r="OYC16" s="508" t="s">
        <v>581</v>
      </c>
      <c r="OYD16" s="508" t="s">
        <v>581</v>
      </c>
      <c r="OYE16" s="508" t="s">
        <v>581</v>
      </c>
      <c r="OYF16" s="508" t="s">
        <v>581</v>
      </c>
      <c r="OYG16" s="508" t="s">
        <v>581</v>
      </c>
      <c r="OYH16" s="508" t="s">
        <v>581</v>
      </c>
      <c r="OYI16" s="508" t="s">
        <v>581</v>
      </c>
      <c r="OYJ16" s="508" t="s">
        <v>581</v>
      </c>
      <c r="OYK16" s="508" t="s">
        <v>581</v>
      </c>
      <c r="OYL16" s="508" t="s">
        <v>581</v>
      </c>
      <c r="OYM16" s="508" t="s">
        <v>581</v>
      </c>
      <c r="OYN16" s="508" t="s">
        <v>581</v>
      </c>
      <c r="OYO16" s="508" t="s">
        <v>581</v>
      </c>
      <c r="OYP16" s="508" t="s">
        <v>581</v>
      </c>
      <c r="OYQ16" s="508" t="s">
        <v>581</v>
      </c>
      <c r="OYR16" s="508" t="s">
        <v>581</v>
      </c>
      <c r="OYS16" s="508" t="s">
        <v>581</v>
      </c>
      <c r="OYT16" s="508" t="s">
        <v>581</v>
      </c>
      <c r="OYU16" s="508" t="s">
        <v>581</v>
      </c>
      <c r="OYV16" s="508" t="s">
        <v>581</v>
      </c>
      <c r="OYW16" s="508" t="s">
        <v>581</v>
      </c>
      <c r="OYX16" s="508" t="s">
        <v>581</v>
      </c>
      <c r="OYY16" s="508" t="s">
        <v>581</v>
      </c>
      <c r="OYZ16" s="508" t="s">
        <v>581</v>
      </c>
      <c r="OZA16" s="508" t="s">
        <v>581</v>
      </c>
      <c r="OZB16" s="508" t="s">
        <v>581</v>
      </c>
      <c r="OZC16" s="508" t="s">
        <v>581</v>
      </c>
      <c r="OZD16" s="508" t="s">
        <v>581</v>
      </c>
      <c r="OZE16" s="508" t="s">
        <v>581</v>
      </c>
      <c r="OZF16" s="508" t="s">
        <v>581</v>
      </c>
      <c r="OZG16" s="508" t="s">
        <v>581</v>
      </c>
      <c r="OZH16" s="508" t="s">
        <v>581</v>
      </c>
      <c r="OZI16" s="508" t="s">
        <v>581</v>
      </c>
      <c r="OZJ16" s="508" t="s">
        <v>581</v>
      </c>
      <c r="OZK16" s="508" t="s">
        <v>581</v>
      </c>
      <c r="OZL16" s="508" t="s">
        <v>581</v>
      </c>
      <c r="OZM16" s="508" t="s">
        <v>581</v>
      </c>
      <c r="OZN16" s="508" t="s">
        <v>581</v>
      </c>
      <c r="OZO16" s="508" t="s">
        <v>581</v>
      </c>
      <c r="OZP16" s="508" t="s">
        <v>581</v>
      </c>
      <c r="OZQ16" s="508" t="s">
        <v>581</v>
      </c>
      <c r="OZR16" s="508" t="s">
        <v>581</v>
      </c>
      <c r="OZS16" s="508" t="s">
        <v>581</v>
      </c>
      <c r="OZT16" s="508" t="s">
        <v>581</v>
      </c>
      <c r="OZU16" s="508" t="s">
        <v>581</v>
      </c>
      <c r="OZV16" s="508" t="s">
        <v>581</v>
      </c>
      <c r="OZW16" s="508" t="s">
        <v>581</v>
      </c>
      <c r="OZX16" s="508" t="s">
        <v>581</v>
      </c>
      <c r="OZY16" s="508" t="s">
        <v>581</v>
      </c>
      <c r="OZZ16" s="508" t="s">
        <v>581</v>
      </c>
      <c r="PAA16" s="508" t="s">
        <v>581</v>
      </c>
      <c r="PAB16" s="508" t="s">
        <v>581</v>
      </c>
      <c r="PAC16" s="508" t="s">
        <v>581</v>
      </c>
      <c r="PAD16" s="508" t="s">
        <v>581</v>
      </c>
      <c r="PAE16" s="508" t="s">
        <v>581</v>
      </c>
      <c r="PAF16" s="508" t="s">
        <v>581</v>
      </c>
      <c r="PAG16" s="508" t="s">
        <v>581</v>
      </c>
      <c r="PAH16" s="508" t="s">
        <v>581</v>
      </c>
      <c r="PAI16" s="508" t="s">
        <v>581</v>
      </c>
      <c r="PAJ16" s="508" t="s">
        <v>581</v>
      </c>
      <c r="PAK16" s="508" t="s">
        <v>581</v>
      </c>
      <c r="PAL16" s="508" t="s">
        <v>581</v>
      </c>
      <c r="PAM16" s="508" t="s">
        <v>581</v>
      </c>
      <c r="PAN16" s="508" t="s">
        <v>581</v>
      </c>
      <c r="PAO16" s="508" t="s">
        <v>581</v>
      </c>
      <c r="PAP16" s="508" t="s">
        <v>581</v>
      </c>
      <c r="PAQ16" s="508" t="s">
        <v>581</v>
      </c>
      <c r="PAR16" s="508" t="s">
        <v>581</v>
      </c>
      <c r="PAS16" s="508" t="s">
        <v>581</v>
      </c>
      <c r="PAT16" s="508" t="s">
        <v>581</v>
      </c>
      <c r="PAU16" s="508" t="s">
        <v>581</v>
      </c>
      <c r="PAV16" s="508" t="s">
        <v>581</v>
      </c>
      <c r="PAW16" s="508" t="s">
        <v>581</v>
      </c>
      <c r="PAX16" s="508" t="s">
        <v>581</v>
      </c>
      <c r="PAY16" s="508" t="s">
        <v>581</v>
      </c>
      <c r="PAZ16" s="508" t="s">
        <v>581</v>
      </c>
      <c r="PBA16" s="508" t="s">
        <v>581</v>
      </c>
      <c r="PBB16" s="508" t="s">
        <v>581</v>
      </c>
      <c r="PBC16" s="508" t="s">
        <v>581</v>
      </c>
      <c r="PBD16" s="508" t="s">
        <v>581</v>
      </c>
      <c r="PBE16" s="508" t="s">
        <v>581</v>
      </c>
      <c r="PBF16" s="508" t="s">
        <v>581</v>
      </c>
      <c r="PBG16" s="508" t="s">
        <v>581</v>
      </c>
      <c r="PBH16" s="508" t="s">
        <v>581</v>
      </c>
      <c r="PBI16" s="508" t="s">
        <v>581</v>
      </c>
      <c r="PBJ16" s="508" t="s">
        <v>581</v>
      </c>
      <c r="PBK16" s="508" t="s">
        <v>581</v>
      </c>
      <c r="PBL16" s="508" t="s">
        <v>581</v>
      </c>
      <c r="PBM16" s="508" t="s">
        <v>581</v>
      </c>
      <c r="PBN16" s="508" t="s">
        <v>581</v>
      </c>
      <c r="PBO16" s="508" t="s">
        <v>581</v>
      </c>
      <c r="PBP16" s="508" t="s">
        <v>581</v>
      </c>
      <c r="PBQ16" s="508" t="s">
        <v>581</v>
      </c>
      <c r="PBR16" s="508" t="s">
        <v>581</v>
      </c>
      <c r="PBS16" s="508" t="s">
        <v>581</v>
      </c>
      <c r="PBT16" s="508" t="s">
        <v>581</v>
      </c>
      <c r="PBU16" s="508" t="s">
        <v>581</v>
      </c>
      <c r="PBV16" s="508" t="s">
        <v>581</v>
      </c>
      <c r="PBW16" s="508" t="s">
        <v>581</v>
      </c>
      <c r="PBX16" s="508" t="s">
        <v>581</v>
      </c>
      <c r="PBY16" s="508" t="s">
        <v>581</v>
      </c>
      <c r="PBZ16" s="508" t="s">
        <v>581</v>
      </c>
      <c r="PCA16" s="508" t="s">
        <v>581</v>
      </c>
      <c r="PCB16" s="508" t="s">
        <v>581</v>
      </c>
      <c r="PCC16" s="508" t="s">
        <v>581</v>
      </c>
      <c r="PCD16" s="508" t="s">
        <v>581</v>
      </c>
      <c r="PCE16" s="508" t="s">
        <v>581</v>
      </c>
      <c r="PCF16" s="508" t="s">
        <v>581</v>
      </c>
      <c r="PCG16" s="508" t="s">
        <v>581</v>
      </c>
      <c r="PCH16" s="508" t="s">
        <v>581</v>
      </c>
      <c r="PCI16" s="508" t="s">
        <v>581</v>
      </c>
      <c r="PCJ16" s="508" t="s">
        <v>581</v>
      </c>
      <c r="PCK16" s="508" t="s">
        <v>581</v>
      </c>
      <c r="PCL16" s="508" t="s">
        <v>581</v>
      </c>
      <c r="PCM16" s="508" t="s">
        <v>581</v>
      </c>
      <c r="PCN16" s="508" t="s">
        <v>581</v>
      </c>
      <c r="PCO16" s="508" t="s">
        <v>581</v>
      </c>
      <c r="PCP16" s="508" t="s">
        <v>581</v>
      </c>
      <c r="PCQ16" s="508" t="s">
        <v>581</v>
      </c>
      <c r="PCR16" s="508" t="s">
        <v>581</v>
      </c>
      <c r="PCS16" s="508" t="s">
        <v>581</v>
      </c>
      <c r="PCT16" s="508" t="s">
        <v>581</v>
      </c>
      <c r="PCU16" s="508" t="s">
        <v>581</v>
      </c>
      <c r="PCV16" s="508" t="s">
        <v>581</v>
      </c>
      <c r="PCW16" s="508" t="s">
        <v>581</v>
      </c>
      <c r="PCX16" s="508" t="s">
        <v>581</v>
      </c>
      <c r="PCY16" s="508" t="s">
        <v>581</v>
      </c>
      <c r="PCZ16" s="508" t="s">
        <v>581</v>
      </c>
      <c r="PDA16" s="508" t="s">
        <v>581</v>
      </c>
      <c r="PDB16" s="508" t="s">
        <v>581</v>
      </c>
      <c r="PDC16" s="508" t="s">
        <v>581</v>
      </c>
      <c r="PDD16" s="508" t="s">
        <v>581</v>
      </c>
      <c r="PDE16" s="508" t="s">
        <v>581</v>
      </c>
      <c r="PDF16" s="508" t="s">
        <v>581</v>
      </c>
      <c r="PDG16" s="508" t="s">
        <v>581</v>
      </c>
      <c r="PDH16" s="508" t="s">
        <v>581</v>
      </c>
      <c r="PDI16" s="508" t="s">
        <v>581</v>
      </c>
      <c r="PDJ16" s="508" t="s">
        <v>581</v>
      </c>
      <c r="PDK16" s="508" t="s">
        <v>581</v>
      </c>
      <c r="PDL16" s="508" t="s">
        <v>581</v>
      </c>
      <c r="PDM16" s="508" t="s">
        <v>581</v>
      </c>
      <c r="PDN16" s="508" t="s">
        <v>581</v>
      </c>
      <c r="PDO16" s="508" t="s">
        <v>581</v>
      </c>
      <c r="PDP16" s="508" t="s">
        <v>581</v>
      </c>
      <c r="PDQ16" s="508" t="s">
        <v>581</v>
      </c>
      <c r="PDR16" s="508" t="s">
        <v>581</v>
      </c>
      <c r="PDS16" s="508" t="s">
        <v>581</v>
      </c>
      <c r="PDT16" s="508" t="s">
        <v>581</v>
      </c>
      <c r="PDU16" s="508" t="s">
        <v>581</v>
      </c>
      <c r="PDV16" s="508" t="s">
        <v>581</v>
      </c>
      <c r="PDW16" s="508" t="s">
        <v>581</v>
      </c>
      <c r="PDX16" s="508" t="s">
        <v>581</v>
      </c>
      <c r="PDY16" s="508" t="s">
        <v>581</v>
      </c>
      <c r="PDZ16" s="508" t="s">
        <v>581</v>
      </c>
      <c r="PEA16" s="508" t="s">
        <v>581</v>
      </c>
      <c r="PEB16" s="508" t="s">
        <v>581</v>
      </c>
      <c r="PEC16" s="508" t="s">
        <v>581</v>
      </c>
      <c r="PED16" s="508" t="s">
        <v>581</v>
      </c>
      <c r="PEE16" s="508" t="s">
        <v>581</v>
      </c>
      <c r="PEF16" s="508" t="s">
        <v>581</v>
      </c>
      <c r="PEG16" s="508" t="s">
        <v>581</v>
      </c>
      <c r="PEH16" s="508" t="s">
        <v>581</v>
      </c>
      <c r="PEI16" s="508" t="s">
        <v>581</v>
      </c>
      <c r="PEJ16" s="508" t="s">
        <v>581</v>
      </c>
      <c r="PEK16" s="508" t="s">
        <v>581</v>
      </c>
      <c r="PEL16" s="508" t="s">
        <v>581</v>
      </c>
      <c r="PEM16" s="508" t="s">
        <v>581</v>
      </c>
      <c r="PEN16" s="508" t="s">
        <v>581</v>
      </c>
      <c r="PEO16" s="508" t="s">
        <v>581</v>
      </c>
      <c r="PEP16" s="508" t="s">
        <v>581</v>
      </c>
      <c r="PEQ16" s="508" t="s">
        <v>581</v>
      </c>
      <c r="PER16" s="508" t="s">
        <v>581</v>
      </c>
      <c r="PES16" s="508" t="s">
        <v>581</v>
      </c>
      <c r="PET16" s="508" t="s">
        <v>581</v>
      </c>
      <c r="PEU16" s="508" t="s">
        <v>581</v>
      </c>
      <c r="PEV16" s="508" t="s">
        <v>581</v>
      </c>
      <c r="PEW16" s="508" t="s">
        <v>581</v>
      </c>
      <c r="PEX16" s="508" t="s">
        <v>581</v>
      </c>
      <c r="PEY16" s="508" t="s">
        <v>581</v>
      </c>
      <c r="PEZ16" s="508" t="s">
        <v>581</v>
      </c>
      <c r="PFA16" s="508" t="s">
        <v>581</v>
      </c>
      <c r="PFB16" s="508" t="s">
        <v>581</v>
      </c>
      <c r="PFC16" s="508" t="s">
        <v>581</v>
      </c>
      <c r="PFD16" s="508" t="s">
        <v>581</v>
      </c>
      <c r="PFE16" s="508" t="s">
        <v>581</v>
      </c>
      <c r="PFF16" s="508" t="s">
        <v>581</v>
      </c>
      <c r="PFG16" s="508" t="s">
        <v>581</v>
      </c>
      <c r="PFH16" s="508" t="s">
        <v>581</v>
      </c>
      <c r="PFI16" s="508" t="s">
        <v>581</v>
      </c>
      <c r="PFJ16" s="508" t="s">
        <v>581</v>
      </c>
      <c r="PFK16" s="508" t="s">
        <v>581</v>
      </c>
      <c r="PFL16" s="508" t="s">
        <v>581</v>
      </c>
      <c r="PFM16" s="508" t="s">
        <v>581</v>
      </c>
      <c r="PFN16" s="508" t="s">
        <v>581</v>
      </c>
      <c r="PFO16" s="508" t="s">
        <v>581</v>
      </c>
      <c r="PFP16" s="508" t="s">
        <v>581</v>
      </c>
      <c r="PFQ16" s="508" t="s">
        <v>581</v>
      </c>
      <c r="PFR16" s="508" t="s">
        <v>581</v>
      </c>
      <c r="PFS16" s="508" t="s">
        <v>581</v>
      </c>
      <c r="PFT16" s="508" t="s">
        <v>581</v>
      </c>
      <c r="PFU16" s="508" t="s">
        <v>581</v>
      </c>
      <c r="PFV16" s="508" t="s">
        <v>581</v>
      </c>
      <c r="PFW16" s="508" t="s">
        <v>581</v>
      </c>
      <c r="PFX16" s="508" t="s">
        <v>581</v>
      </c>
      <c r="PFY16" s="508" t="s">
        <v>581</v>
      </c>
      <c r="PFZ16" s="508" t="s">
        <v>581</v>
      </c>
      <c r="PGA16" s="508" t="s">
        <v>581</v>
      </c>
      <c r="PGB16" s="508" t="s">
        <v>581</v>
      </c>
      <c r="PGC16" s="508" t="s">
        <v>581</v>
      </c>
      <c r="PGD16" s="508" t="s">
        <v>581</v>
      </c>
      <c r="PGE16" s="508" t="s">
        <v>581</v>
      </c>
      <c r="PGF16" s="508" t="s">
        <v>581</v>
      </c>
      <c r="PGG16" s="508" t="s">
        <v>581</v>
      </c>
      <c r="PGH16" s="508" t="s">
        <v>581</v>
      </c>
      <c r="PGI16" s="508" t="s">
        <v>581</v>
      </c>
      <c r="PGJ16" s="508" t="s">
        <v>581</v>
      </c>
      <c r="PGK16" s="508" t="s">
        <v>581</v>
      </c>
      <c r="PGL16" s="508" t="s">
        <v>581</v>
      </c>
      <c r="PGM16" s="508" t="s">
        <v>581</v>
      </c>
      <c r="PGN16" s="508" t="s">
        <v>581</v>
      </c>
      <c r="PGO16" s="508" t="s">
        <v>581</v>
      </c>
      <c r="PGP16" s="508" t="s">
        <v>581</v>
      </c>
      <c r="PGQ16" s="508" t="s">
        <v>581</v>
      </c>
      <c r="PGR16" s="508" t="s">
        <v>581</v>
      </c>
      <c r="PGS16" s="508" t="s">
        <v>581</v>
      </c>
      <c r="PGT16" s="508" t="s">
        <v>581</v>
      </c>
      <c r="PGU16" s="508" t="s">
        <v>581</v>
      </c>
      <c r="PGV16" s="508" t="s">
        <v>581</v>
      </c>
      <c r="PGW16" s="508" t="s">
        <v>581</v>
      </c>
      <c r="PGX16" s="508" t="s">
        <v>581</v>
      </c>
      <c r="PGY16" s="508" t="s">
        <v>581</v>
      </c>
      <c r="PGZ16" s="508" t="s">
        <v>581</v>
      </c>
      <c r="PHA16" s="508" t="s">
        <v>581</v>
      </c>
      <c r="PHB16" s="508" t="s">
        <v>581</v>
      </c>
      <c r="PHC16" s="508" t="s">
        <v>581</v>
      </c>
      <c r="PHD16" s="508" t="s">
        <v>581</v>
      </c>
      <c r="PHE16" s="508" t="s">
        <v>581</v>
      </c>
      <c r="PHF16" s="508" t="s">
        <v>581</v>
      </c>
      <c r="PHG16" s="508" t="s">
        <v>581</v>
      </c>
      <c r="PHH16" s="508" t="s">
        <v>581</v>
      </c>
      <c r="PHI16" s="508" t="s">
        <v>581</v>
      </c>
      <c r="PHJ16" s="508" t="s">
        <v>581</v>
      </c>
      <c r="PHK16" s="508" t="s">
        <v>581</v>
      </c>
      <c r="PHL16" s="508" t="s">
        <v>581</v>
      </c>
      <c r="PHM16" s="508" t="s">
        <v>581</v>
      </c>
      <c r="PHN16" s="508" t="s">
        <v>581</v>
      </c>
      <c r="PHO16" s="508" t="s">
        <v>581</v>
      </c>
      <c r="PHP16" s="508" t="s">
        <v>581</v>
      </c>
      <c r="PHQ16" s="508" t="s">
        <v>581</v>
      </c>
      <c r="PHR16" s="508" t="s">
        <v>581</v>
      </c>
      <c r="PHS16" s="508" t="s">
        <v>581</v>
      </c>
      <c r="PHT16" s="508" t="s">
        <v>581</v>
      </c>
      <c r="PHU16" s="508" t="s">
        <v>581</v>
      </c>
      <c r="PHV16" s="508" t="s">
        <v>581</v>
      </c>
      <c r="PHW16" s="508" t="s">
        <v>581</v>
      </c>
      <c r="PHX16" s="508" t="s">
        <v>581</v>
      </c>
      <c r="PHY16" s="508" t="s">
        <v>581</v>
      </c>
      <c r="PHZ16" s="508" t="s">
        <v>581</v>
      </c>
      <c r="PIA16" s="508" t="s">
        <v>581</v>
      </c>
      <c r="PIB16" s="508" t="s">
        <v>581</v>
      </c>
      <c r="PIC16" s="508" t="s">
        <v>581</v>
      </c>
      <c r="PID16" s="508" t="s">
        <v>581</v>
      </c>
      <c r="PIE16" s="508" t="s">
        <v>581</v>
      </c>
      <c r="PIF16" s="508" t="s">
        <v>581</v>
      </c>
      <c r="PIG16" s="508" t="s">
        <v>581</v>
      </c>
      <c r="PIH16" s="508" t="s">
        <v>581</v>
      </c>
      <c r="PII16" s="508" t="s">
        <v>581</v>
      </c>
      <c r="PIJ16" s="508" t="s">
        <v>581</v>
      </c>
      <c r="PIK16" s="508" t="s">
        <v>581</v>
      </c>
      <c r="PIL16" s="508" t="s">
        <v>581</v>
      </c>
      <c r="PIM16" s="508" t="s">
        <v>581</v>
      </c>
      <c r="PIN16" s="508" t="s">
        <v>581</v>
      </c>
      <c r="PIO16" s="508" t="s">
        <v>581</v>
      </c>
      <c r="PIP16" s="508" t="s">
        <v>581</v>
      </c>
      <c r="PIQ16" s="508" t="s">
        <v>581</v>
      </c>
      <c r="PIR16" s="508" t="s">
        <v>581</v>
      </c>
      <c r="PIS16" s="508" t="s">
        <v>581</v>
      </c>
      <c r="PIT16" s="508" t="s">
        <v>581</v>
      </c>
      <c r="PIU16" s="508" t="s">
        <v>581</v>
      </c>
      <c r="PIV16" s="508" t="s">
        <v>581</v>
      </c>
      <c r="PIW16" s="508" t="s">
        <v>581</v>
      </c>
      <c r="PIX16" s="508" t="s">
        <v>581</v>
      </c>
      <c r="PIY16" s="508" t="s">
        <v>581</v>
      </c>
      <c r="PIZ16" s="508" t="s">
        <v>581</v>
      </c>
      <c r="PJA16" s="508" t="s">
        <v>581</v>
      </c>
      <c r="PJB16" s="508" t="s">
        <v>581</v>
      </c>
      <c r="PJC16" s="508" t="s">
        <v>581</v>
      </c>
      <c r="PJD16" s="508" t="s">
        <v>581</v>
      </c>
      <c r="PJE16" s="508" t="s">
        <v>581</v>
      </c>
      <c r="PJF16" s="508" t="s">
        <v>581</v>
      </c>
      <c r="PJG16" s="508" t="s">
        <v>581</v>
      </c>
      <c r="PJH16" s="508" t="s">
        <v>581</v>
      </c>
      <c r="PJI16" s="508" t="s">
        <v>581</v>
      </c>
      <c r="PJJ16" s="508" t="s">
        <v>581</v>
      </c>
      <c r="PJK16" s="508" t="s">
        <v>581</v>
      </c>
      <c r="PJL16" s="508" t="s">
        <v>581</v>
      </c>
      <c r="PJM16" s="508" t="s">
        <v>581</v>
      </c>
      <c r="PJN16" s="508" t="s">
        <v>581</v>
      </c>
      <c r="PJO16" s="508" t="s">
        <v>581</v>
      </c>
      <c r="PJP16" s="508" t="s">
        <v>581</v>
      </c>
      <c r="PJQ16" s="508" t="s">
        <v>581</v>
      </c>
      <c r="PJR16" s="508" t="s">
        <v>581</v>
      </c>
      <c r="PJS16" s="508" t="s">
        <v>581</v>
      </c>
      <c r="PJT16" s="508" t="s">
        <v>581</v>
      </c>
      <c r="PJU16" s="508" t="s">
        <v>581</v>
      </c>
      <c r="PJV16" s="508" t="s">
        <v>581</v>
      </c>
      <c r="PJW16" s="508" t="s">
        <v>581</v>
      </c>
      <c r="PJX16" s="508" t="s">
        <v>581</v>
      </c>
      <c r="PJY16" s="508" t="s">
        <v>581</v>
      </c>
      <c r="PJZ16" s="508" t="s">
        <v>581</v>
      </c>
      <c r="PKA16" s="508" t="s">
        <v>581</v>
      </c>
      <c r="PKB16" s="508" t="s">
        <v>581</v>
      </c>
      <c r="PKC16" s="508" t="s">
        <v>581</v>
      </c>
      <c r="PKD16" s="508" t="s">
        <v>581</v>
      </c>
      <c r="PKE16" s="508" t="s">
        <v>581</v>
      </c>
      <c r="PKF16" s="508" t="s">
        <v>581</v>
      </c>
      <c r="PKG16" s="508" t="s">
        <v>581</v>
      </c>
      <c r="PKH16" s="508" t="s">
        <v>581</v>
      </c>
      <c r="PKI16" s="508" t="s">
        <v>581</v>
      </c>
      <c r="PKJ16" s="508" t="s">
        <v>581</v>
      </c>
      <c r="PKK16" s="508" t="s">
        <v>581</v>
      </c>
      <c r="PKL16" s="508" t="s">
        <v>581</v>
      </c>
      <c r="PKM16" s="508" t="s">
        <v>581</v>
      </c>
      <c r="PKN16" s="508" t="s">
        <v>581</v>
      </c>
      <c r="PKO16" s="508" t="s">
        <v>581</v>
      </c>
      <c r="PKP16" s="508" t="s">
        <v>581</v>
      </c>
      <c r="PKQ16" s="508" t="s">
        <v>581</v>
      </c>
      <c r="PKR16" s="508" t="s">
        <v>581</v>
      </c>
      <c r="PKS16" s="508" t="s">
        <v>581</v>
      </c>
      <c r="PKT16" s="508" t="s">
        <v>581</v>
      </c>
      <c r="PKU16" s="508" t="s">
        <v>581</v>
      </c>
      <c r="PKV16" s="508" t="s">
        <v>581</v>
      </c>
      <c r="PKW16" s="508" t="s">
        <v>581</v>
      </c>
      <c r="PKX16" s="508" t="s">
        <v>581</v>
      </c>
      <c r="PKY16" s="508" t="s">
        <v>581</v>
      </c>
      <c r="PKZ16" s="508" t="s">
        <v>581</v>
      </c>
      <c r="PLA16" s="508" t="s">
        <v>581</v>
      </c>
      <c r="PLB16" s="508" t="s">
        <v>581</v>
      </c>
      <c r="PLC16" s="508" t="s">
        <v>581</v>
      </c>
      <c r="PLD16" s="508" t="s">
        <v>581</v>
      </c>
      <c r="PLE16" s="508" t="s">
        <v>581</v>
      </c>
      <c r="PLF16" s="508" t="s">
        <v>581</v>
      </c>
      <c r="PLG16" s="508" t="s">
        <v>581</v>
      </c>
      <c r="PLH16" s="508" t="s">
        <v>581</v>
      </c>
      <c r="PLI16" s="508" t="s">
        <v>581</v>
      </c>
      <c r="PLJ16" s="508" t="s">
        <v>581</v>
      </c>
      <c r="PLK16" s="508" t="s">
        <v>581</v>
      </c>
      <c r="PLL16" s="508" t="s">
        <v>581</v>
      </c>
      <c r="PLM16" s="508" t="s">
        <v>581</v>
      </c>
      <c r="PLN16" s="508" t="s">
        <v>581</v>
      </c>
      <c r="PLO16" s="508" t="s">
        <v>581</v>
      </c>
      <c r="PLP16" s="508" t="s">
        <v>581</v>
      </c>
      <c r="PLQ16" s="508" t="s">
        <v>581</v>
      </c>
      <c r="PLR16" s="508" t="s">
        <v>581</v>
      </c>
      <c r="PLS16" s="508" t="s">
        <v>581</v>
      </c>
      <c r="PLT16" s="508" t="s">
        <v>581</v>
      </c>
      <c r="PLU16" s="508" t="s">
        <v>581</v>
      </c>
      <c r="PLV16" s="508" t="s">
        <v>581</v>
      </c>
      <c r="PLW16" s="508" t="s">
        <v>581</v>
      </c>
      <c r="PLX16" s="508" t="s">
        <v>581</v>
      </c>
      <c r="PLY16" s="508" t="s">
        <v>581</v>
      </c>
      <c r="PLZ16" s="508" t="s">
        <v>581</v>
      </c>
      <c r="PMA16" s="508" t="s">
        <v>581</v>
      </c>
      <c r="PMB16" s="508" t="s">
        <v>581</v>
      </c>
      <c r="PMC16" s="508" t="s">
        <v>581</v>
      </c>
      <c r="PMD16" s="508" t="s">
        <v>581</v>
      </c>
      <c r="PME16" s="508" t="s">
        <v>581</v>
      </c>
      <c r="PMF16" s="508" t="s">
        <v>581</v>
      </c>
      <c r="PMG16" s="508" t="s">
        <v>581</v>
      </c>
      <c r="PMH16" s="508" t="s">
        <v>581</v>
      </c>
      <c r="PMI16" s="508" t="s">
        <v>581</v>
      </c>
      <c r="PMJ16" s="508" t="s">
        <v>581</v>
      </c>
      <c r="PMK16" s="508" t="s">
        <v>581</v>
      </c>
      <c r="PML16" s="508" t="s">
        <v>581</v>
      </c>
      <c r="PMM16" s="508" t="s">
        <v>581</v>
      </c>
      <c r="PMN16" s="508" t="s">
        <v>581</v>
      </c>
      <c r="PMO16" s="508" t="s">
        <v>581</v>
      </c>
      <c r="PMP16" s="508" t="s">
        <v>581</v>
      </c>
      <c r="PMQ16" s="508" t="s">
        <v>581</v>
      </c>
      <c r="PMR16" s="508" t="s">
        <v>581</v>
      </c>
      <c r="PMS16" s="508" t="s">
        <v>581</v>
      </c>
      <c r="PMT16" s="508" t="s">
        <v>581</v>
      </c>
      <c r="PMU16" s="508" t="s">
        <v>581</v>
      </c>
      <c r="PMV16" s="508" t="s">
        <v>581</v>
      </c>
      <c r="PMW16" s="508" t="s">
        <v>581</v>
      </c>
      <c r="PMX16" s="508" t="s">
        <v>581</v>
      </c>
      <c r="PMY16" s="508" t="s">
        <v>581</v>
      </c>
      <c r="PMZ16" s="508" t="s">
        <v>581</v>
      </c>
      <c r="PNA16" s="508" t="s">
        <v>581</v>
      </c>
      <c r="PNB16" s="508" t="s">
        <v>581</v>
      </c>
      <c r="PNC16" s="508" t="s">
        <v>581</v>
      </c>
      <c r="PND16" s="508" t="s">
        <v>581</v>
      </c>
      <c r="PNE16" s="508" t="s">
        <v>581</v>
      </c>
      <c r="PNF16" s="508" t="s">
        <v>581</v>
      </c>
      <c r="PNG16" s="508" t="s">
        <v>581</v>
      </c>
      <c r="PNH16" s="508" t="s">
        <v>581</v>
      </c>
      <c r="PNI16" s="508" t="s">
        <v>581</v>
      </c>
      <c r="PNJ16" s="508" t="s">
        <v>581</v>
      </c>
      <c r="PNK16" s="508" t="s">
        <v>581</v>
      </c>
      <c r="PNL16" s="508" t="s">
        <v>581</v>
      </c>
      <c r="PNM16" s="508" t="s">
        <v>581</v>
      </c>
      <c r="PNN16" s="508" t="s">
        <v>581</v>
      </c>
      <c r="PNO16" s="508" t="s">
        <v>581</v>
      </c>
      <c r="PNP16" s="508" t="s">
        <v>581</v>
      </c>
      <c r="PNQ16" s="508" t="s">
        <v>581</v>
      </c>
      <c r="PNR16" s="508" t="s">
        <v>581</v>
      </c>
      <c r="PNS16" s="508" t="s">
        <v>581</v>
      </c>
      <c r="PNT16" s="508" t="s">
        <v>581</v>
      </c>
      <c r="PNU16" s="508" t="s">
        <v>581</v>
      </c>
      <c r="PNV16" s="508" t="s">
        <v>581</v>
      </c>
      <c r="PNW16" s="508" t="s">
        <v>581</v>
      </c>
      <c r="PNX16" s="508" t="s">
        <v>581</v>
      </c>
      <c r="PNY16" s="508" t="s">
        <v>581</v>
      </c>
      <c r="PNZ16" s="508" t="s">
        <v>581</v>
      </c>
      <c r="POA16" s="508" t="s">
        <v>581</v>
      </c>
      <c r="POB16" s="508" t="s">
        <v>581</v>
      </c>
      <c r="POC16" s="508" t="s">
        <v>581</v>
      </c>
      <c r="POD16" s="508" t="s">
        <v>581</v>
      </c>
      <c r="POE16" s="508" t="s">
        <v>581</v>
      </c>
      <c r="POF16" s="508" t="s">
        <v>581</v>
      </c>
      <c r="POG16" s="508" t="s">
        <v>581</v>
      </c>
      <c r="POH16" s="508" t="s">
        <v>581</v>
      </c>
      <c r="POI16" s="508" t="s">
        <v>581</v>
      </c>
      <c r="POJ16" s="508" t="s">
        <v>581</v>
      </c>
      <c r="POK16" s="508" t="s">
        <v>581</v>
      </c>
      <c r="POL16" s="508" t="s">
        <v>581</v>
      </c>
      <c r="POM16" s="508" t="s">
        <v>581</v>
      </c>
      <c r="PON16" s="508" t="s">
        <v>581</v>
      </c>
      <c r="POO16" s="508" t="s">
        <v>581</v>
      </c>
      <c r="POP16" s="508" t="s">
        <v>581</v>
      </c>
      <c r="POQ16" s="508" t="s">
        <v>581</v>
      </c>
      <c r="POR16" s="508" t="s">
        <v>581</v>
      </c>
      <c r="POS16" s="508" t="s">
        <v>581</v>
      </c>
      <c r="POT16" s="508" t="s">
        <v>581</v>
      </c>
      <c r="POU16" s="508" t="s">
        <v>581</v>
      </c>
      <c r="POV16" s="508" t="s">
        <v>581</v>
      </c>
      <c r="POW16" s="508" t="s">
        <v>581</v>
      </c>
      <c r="POX16" s="508" t="s">
        <v>581</v>
      </c>
      <c r="POY16" s="508" t="s">
        <v>581</v>
      </c>
      <c r="POZ16" s="508" t="s">
        <v>581</v>
      </c>
      <c r="PPA16" s="508" t="s">
        <v>581</v>
      </c>
      <c r="PPB16" s="508" t="s">
        <v>581</v>
      </c>
      <c r="PPC16" s="508" t="s">
        <v>581</v>
      </c>
      <c r="PPD16" s="508" t="s">
        <v>581</v>
      </c>
      <c r="PPE16" s="508" t="s">
        <v>581</v>
      </c>
      <c r="PPF16" s="508" t="s">
        <v>581</v>
      </c>
      <c r="PPG16" s="508" t="s">
        <v>581</v>
      </c>
      <c r="PPH16" s="508" t="s">
        <v>581</v>
      </c>
      <c r="PPI16" s="508" t="s">
        <v>581</v>
      </c>
      <c r="PPJ16" s="508" t="s">
        <v>581</v>
      </c>
      <c r="PPK16" s="508" t="s">
        <v>581</v>
      </c>
      <c r="PPL16" s="508" t="s">
        <v>581</v>
      </c>
      <c r="PPM16" s="508" t="s">
        <v>581</v>
      </c>
      <c r="PPN16" s="508" t="s">
        <v>581</v>
      </c>
      <c r="PPO16" s="508" t="s">
        <v>581</v>
      </c>
      <c r="PPP16" s="508" t="s">
        <v>581</v>
      </c>
      <c r="PPQ16" s="508" t="s">
        <v>581</v>
      </c>
      <c r="PPR16" s="508" t="s">
        <v>581</v>
      </c>
      <c r="PPS16" s="508" t="s">
        <v>581</v>
      </c>
      <c r="PPT16" s="508" t="s">
        <v>581</v>
      </c>
      <c r="PPU16" s="508" t="s">
        <v>581</v>
      </c>
      <c r="PPV16" s="508" t="s">
        <v>581</v>
      </c>
      <c r="PPW16" s="508" t="s">
        <v>581</v>
      </c>
      <c r="PPX16" s="508" t="s">
        <v>581</v>
      </c>
      <c r="PPY16" s="508" t="s">
        <v>581</v>
      </c>
      <c r="PPZ16" s="508" t="s">
        <v>581</v>
      </c>
      <c r="PQA16" s="508" t="s">
        <v>581</v>
      </c>
      <c r="PQB16" s="508" t="s">
        <v>581</v>
      </c>
      <c r="PQC16" s="508" t="s">
        <v>581</v>
      </c>
      <c r="PQD16" s="508" t="s">
        <v>581</v>
      </c>
      <c r="PQE16" s="508" t="s">
        <v>581</v>
      </c>
      <c r="PQF16" s="508" t="s">
        <v>581</v>
      </c>
      <c r="PQG16" s="508" t="s">
        <v>581</v>
      </c>
      <c r="PQH16" s="508" t="s">
        <v>581</v>
      </c>
      <c r="PQI16" s="508" t="s">
        <v>581</v>
      </c>
      <c r="PQJ16" s="508" t="s">
        <v>581</v>
      </c>
      <c r="PQK16" s="508" t="s">
        <v>581</v>
      </c>
      <c r="PQL16" s="508" t="s">
        <v>581</v>
      </c>
      <c r="PQM16" s="508" t="s">
        <v>581</v>
      </c>
      <c r="PQN16" s="508" t="s">
        <v>581</v>
      </c>
      <c r="PQO16" s="508" t="s">
        <v>581</v>
      </c>
      <c r="PQP16" s="508" t="s">
        <v>581</v>
      </c>
      <c r="PQQ16" s="508" t="s">
        <v>581</v>
      </c>
      <c r="PQR16" s="508" t="s">
        <v>581</v>
      </c>
      <c r="PQS16" s="508" t="s">
        <v>581</v>
      </c>
      <c r="PQT16" s="508" t="s">
        <v>581</v>
      </c>
      <c r="PQU16" s="508" t="s">
        <v>581</v>
      </c>
      <c r="PQV16" s="508" t="s">
        <v>581</v>
      </c>
      <c r="PQW16" s="508" t="s">
        <v>581</v>
      </c>
      <c r="PQX16" s="508" t="s">
        <v>581</v>
      </c>
      <c r="PQY16" s="508" t="s">
        <v>581</v>
      </c>
      <c r="PQZ16" s="508" t="s">
        <v>581</v>
      </c>
      <c r="PRA16" s="508" t="s">
        <v>581</v>
      </c>
      <c r="PRB16" s="508" t="s">
        <v>581</v>
      </c>
      <c r="PRC16" s="508" t="s">
        <v>581</v>
      </c>
      <c r="PRD16" s="508" t="s">
        <v>581</v>
      </c>
      <c r="PRE16" s="508" t="s">
        <v>581</v>
      </c>
      <c r="PRF16" s="508" t="s">
        <v>581</v>
      </c>
      <c r="PRG16" s="508" t="s">
        <v>581</v>
      </c>
      <c r="PRH16" s="508" t="s">
        <v>581</v>
      </c>
      <c r="PRI16" s="508" t="s">
        <v>581</v>
      </c>
      <c r="PRJ16" s="508" t="s">
        <v>581</v>
      </c>
      <c r="PRK16" s="508" t="s">
        <v>581</v>
      </c>
      <c r="PRL16" s="508" t="s">
        <v>581</v>
      </c>
      <c r="PRM16" s="508" t="s">
        <v>581</v>
      </c>
      <c r="PRN16" s="508" t="s">
        <v>581</v>
      </c>
      <c r="PRO16" s="508" t="s">
        <v>581</v>
      </c>
      <c r="PRP16" s="508" t="s">
        <v>581</v>
      </c>
      <c r="PRQ16" s="508" t="s">
        <v>581</v>
      </c>
      <c r="PRR16" s="508" t="s">
        <v>581</v>
      </c>
      <c r="PRS16" s="508" t="s">
        <v>581</v>
      </c>
      <c r="PRT16" s="508" t="s">
        <v>581</v>
      </c>
      <c r="PRU16" s="508" t="s">
        <v>581</v>
      </c>
      <c r="PRV16" s="508" t="s">
        <v>581</v>
      </c>
      <c r="PRW16" s="508" t="s">
        <v>581</v>
      </c>
      <c r="PRX16" s="508" t="s">
        <v>581</v>
      </c>
      <c r="PRY16" s="508" t="s">
        <v>581</v>
      </c>
      <c r="PRZ16" s="508" t="s">
        <v>581</v>
      </c>
      <c r="PSA16" s="508" t="s">
        <v>581</v>
      </c>
      <c r="PSB16" s="508" t="s">
        <v>581</v>
      </c>
      <c r="PSC16" s="508" t="s">
        <v>581</v>
      </c>
      <c r="PSD16" s="508" t="s">
        <v>581</v>
      </c>
      <c r="PSE16" s="508" t="s">
        <v>581</v>
      </c>
      <c r="PSF16" s="508" t="s">
        <v>581</v>
      </c>
      <c r="PSG16" s="508" t="s">
        <v>581</v>
      </c>
      <c r="PSH16" s="508" t="s">
        <v>581</v>
      </c>
      <c r="PSI16" s="508" t="s">
        <v>581</v>
      </c>
      <c r="PSJ16" s="508" t="s">
        <v>581</v>
      </c>
      <c r="PSK16" s="508" t="s">
        <v>581</v>
      </c>
      <c r="PSL16" s="508" t="s">
        <v>581</v>
      </c>
      <c r="PSM16" s="508" t="s">
        <v>581</v>
      </c>
      <c r="PSN16" s="508" t="s">
        <v>581</v>
      </c>
      <c r="PSO16" s="508" t="s">
        <v>581</v>
      </c>
      <c r="PSP16" s="508" t="s">
        <v>581</v>
      </c>
      <c r="PSQ16" s="508" t="s">
        <v>581</v>
      </c>
      <c r="PSR16" s="508" t="s">
        <v>581</v>
      </c>
      <c r="PSS16" s="508" t="s">
        <v>581</v>
      </c>
      <c r="PST16" s="508" t="s">
        <v>581</v>
      </c>
      <c r="PSU16" s="508" t="s">
        <v>581</v>
      </c>
      <c r="PSV16" s="508" t="s">
        <v>581</v>
      </c>
      <c r="PSW16" s="508" t="s">
        <v>581</v>
      </c>
      <c r="PSX16" s="508" t="s">
        <v>581</v>
      </c>
      <c r="PSY16" s="508" t="s">
        <v>581</v>
      </c>
      <c r="PSZ16" s="508" t="s">
        <v>581</v>
      </c>
      <c r="PTA16" s="508" t="s">
        <v>581</v>
      </c>
      <c r="PTB16" s="508" t="s">
        <v>581</v>
      </c>
      <c r="PTC16" s="508" t="s">
        <v>581</v>
      </c>
      <c r="PTD16" s="508" t="s">
        <v>581</v>
      </c>
      <c r="PTE16" s="508" t="s">
        <v>581</v>
      </c>
      <c r="PTF16" s="508" t="s">
        <v>581</v>
      </c>
      <c r="PTG16" s="508" t="s">
        <v>581</v>
      </c>
      <c r="PTH16" s="508" t="s">
        <v>581</v>
      </c>
      <c r="PTI16" s="508" t="s">
        <v>581</v>
      </c>
      <c r="PTJ16" s="508" t="s">
        <v>581</v>
      </c>
      <c r="PTK16" s="508" t="s">
        <v>581</v>
      </c>
      <c r="PTL16" s="508" t="s">
        <v>581</v>
      </c>
      <c r="PTM16" s="508" t="s">
        <v>581</v>
      </c>
      <c r="PTN16" s="508" t="s">
        <v>581</v>
      </c>
      <c r="PTO16" s="508" t="s">
        <v>581</v>
      </c>
      <c r="PTP16" s="508" t="s">
        <v>581</v>
      </c>
      <c r="PTQ16" s="508" t="s">
        <v>581</v>
      </c>
      <c r="PTR16" s="508" t="s">
        <v>581</v>
      </c>
      <c r="PTS16" s="508" t="s">
        <v>581</v>
      </c>
      <c r="PTT16" s="508" t="s">
        <v>581</v>
      </c>
      <c r="PTU16" s="508" t="s">
        <v>581</v>
      </c>
      <c r="PTV16" s="508" t="s">
        <v>581</v>
      </c>
      <c r="PTW16" s="508" t="s">
        <v>581</v>
      </c>
      <c r="PTX16" s="508" t="s">
        <v>581</v>
      </c>
      <c r="PTY16" s="508" t="s">
        <v>581</v>
      </c>
      <c r="PTZ16" s="508" t="s">
        <v>581</v>
      </c>
      <c r="PUA16" s="508" t="s">
        <v>581</v>
      </c>
      <c r="PUB16" s="508" t="s">
        <v>581</v>
      </c>
      <c r="PUC16" s="508" t="s">
        <v>581</v>
      </c>
      <c r="PUD16" s="508" t="s">
        <v>581</v>
      </c>
      <c r="PUE16" s="508" t="s">
        <v>581</v>
      </c>
      <c r="PUF16" s="508" t="s">
        <v>581</v>
      </c>
      <c r="PUG16" s="508" t="s">
        <v>581</v>
      </c>
      <c r="PUH16" s="508" t="s">
        <v>581</v>
      </c>
      <c r="PUI16" s="508" t="s">
        <v>581</v>
      </c>
      <c r="PUJ16" s="508" t="s">
        <v>581</v>
      </c>
      <c r="PUK16" s="508" t="s">
        <v>581</v>
      </c>
      <c r="PUL16" s="508" t="s">
        <v>581</v>
      </c>
      <c r="PUM16" s="508" t="s">
        <v>581</v>
      </c>
      <c r="PUN16" s="508" t="s">
        <v>581</v>
      </c>
      <c r="PUO16" s="508" t="s">
        <v>581</v>
      </c>
      <c r="PUP16" s="508" t="s">
        <v>581</v>
      </c>
      <c r="PUQ16" s="508" t="s">
        <v>581</v>
      </c>
      <c r="PUR16" s="508" t="s">
        <v>581</v>
      </c>
      <c r="PUS16" s="508" t="s">
        <v>581</v>
      </c>
      <c r="PUT16" s="508" t="s">
        <v>581</v>
      </c>
      <c r="PUU16" s="508" t="s">
        <v>581</v>
      </c>
      <c r="PUV16" s="508" t="s">
        <v>581</v>
      </c>
      <c r="PUW16" s="508" t="s">
        <v>581</v>
      </c>
      <c r="PUX16" s="508" t="s">
        <v>581</v>
      </c>
      <c r="PUY16" s="508" t="s">
        <v>581</v>
      </c>
      <c r="PUZ16" s="508" t="s">
        <v>581</v>
      </c>
      <c r="PVA16" s="508" t="s">
        <v>581</v>
      </c>
      <c r="PVB16" s="508" t="s">
        <v>581</v>
      </c>
      <c r="PVC16" s="508" t="s">
        <v>581</v>
      </c>
      <c r="PVD16" s="508" t="s">
        <v>581</v>
      </c>
      <c r="PVE16" s="508" t="s">
        <v>581</v>
      </c>
      <c r="PVF16" s="508" t="s">
        <v>581</v>
      </c>
      <c r="PVG16" s="508" t="s">
        <v>581</v>
      </c>
      <c r="PVH16" s="508" t="s">
        <v>581</v>
      </c>
      <c r="PVI16" s="508" t="s">
        <v>581</v>
      </c>
      <c r="PVJ16" s="508" t="s">
        <v>581</v>
      </c>
      <c r="PVK16" s="508" t="s">
        <v>581</v>
      </c>
      <c r="PVL16" s="508" t="s">
        <v>581</v>
      </c>
      <c r="PVM16" s="508" t="s">
        <v>581</v>
      </c>
      <c r="PVN16" s="508" t="s">
        <v>581</v>
      </c>
      <c r="PVO16" s="508" t="s">
        <v>581</v>
      </c>
      <c r="PVP16" s="508" t="s">
        <v>581</v>
      </c>
      <c r="PVQ16" s="508" t="s">
        <v>581</v>
      </c>
      <c r="PVR16" s="508" t="s">
        <v>581</v>
      </c>
      <c r="PVS16" s="508" t="s">
        <v>581</v>
      </c>
      <c r="PVT16" s="508" t="s">
        <v>581</v>
      </c>
      <c r="PVU16" s="508" t="s">
        <v>581</v>
      </c>
      <c r="PVV16" s="508" t="s">
        <v>581</v>
      </c>
      <c r="PVW16" s="508" t="s">
        <v>581</v>
      </c>
      <c r="PVX16" s="508" t="s">
        <v>581</v>
      </c>
      <c r="PVY16" s="508" t="s">
        <v>581</v>
      </c>
      <c r="PVZ16" s="508" t="s">
        <v>581</v>
      </c>
      <c r="PWA16" s="508" t="s">
        <v>581</v>
      </c>
      <c r="PWB16" s="508" t="s">
        <v>581</v>
      </c>
      <c r="PWC16" s="508" t="s">
        <v>581</v>
      </c>
      <c r="PWD16" s="508" t="s">
        <v>581</v>
      </c>
      <c r="PWE16" s="508" t="s">
        <v>581</v>
      </c>
      <c r="PWF16" s="508" t="s">
        <v>581</v>
      </c>
      <c r="PWG16" s="508" t="s">
        <v>581</v>
      </c>
      <c r="PWH16" s="508" t="s">
        <v>581</v>
      </c>
      <c r="PWI16" s="508" t="s">
        <v>581</v>
      </c>
      <c r="PWJ16" s="508" t="s">
        <v>581</v>
      </c>
      <c r="PWK16" s="508" t="s">
        <v>581</v>
      </c>
      <c r="PWL16" s="508" t="s">
        <v>581</v>
      </c>
      <c r="PWM16" s="508" t="s">
        <v>581</v>
      </c>
      <c r="PWN16" s="508" t="s">
        <v>581</v>
      </c>
      <c r="PWO16" s="508" t="s">
        <v>581</v>
      </c>
      <c r="PWP16" s="508" t="s">
        <v>581</v>
      </c>
      <c r="PWQ16" s="508" t="s">
        <v>581</v>
      </c>
      <c r="PWR16" s="508" t="s">
        <v>581</v>
      </c>
      <c r="PWS16" s="508" t="s">
        <v>581</v>
      </c>
      <c r="PWT16" s="508" t="s">
        <v>581</v>
      </c>
      <c r="PWU16" s="508" t="s">
        <v>581</v>
      </c>
      <c r="PWV16" s="508" t="s">
        <v>581</v>
      </c>
      <c r="PWW16" s="508" t="s">
        <v>581</v>
      </c>
      <c r="PWX16" s="508" t="s">
        <v>581</v>
      </c>
      <c r="PWY16" s="508" t="s">
        <v>581</v>
      </c>
      <c r="PWZ16" s="508" t="s">
        <v>581</v>
      </c>
      <c r="PXA16" s="508" t="s">
        <v>581</v>
      </c>
      <c r="PXB16" s="508" t="s">
        <v>581</v>
      </c>
      <c r="PXC16" s="508" t="s">
        <v>581</v>
      </c>
      <c r="PXD16" s="508" t="s">
        <v>581</v>
      </c>
      <c r="PXE16" s="508" t="s">
        <v>581</v>
      </c>
      <c r="PXF16" s="508" t="s">
        <v>581</v>
      </c>
      <c r="PXG16" s="508" t="s">
        <v>581</v>
      </c>
      <c r="PXH16" s="508" t="s">
        <v>581</v>
      </c>
      <c r="PXI16" s="508" t="s">
        <v>581</v>
      </c>
      <c r="PXJ16" s="508" t="s">
        <v>581</v>
      </c>
      <c r="PXK16" s="508" t="s">
        <v>581</v>
      </c>
      <c r="PXL16" s="508" t="s">
        <v>581</v>
      </c>
      <c r="PXM16" s="508" t="s">
        <v>581</v>
      </c>
      <c r="PXN16" s="508" t="s">
        <v>581</v>
      </c>
      <c r="PXO16" s="508" t="s">
        <v>581</v>
      </c>
      <c r="PXP16" s="508" t="s">
        <v>581</v>
      </c>
      <c r="PXQ16" s="508" t="s">
        <v>581</v>
      </c>
      <c r="PXR16" s="508" t="s">
        <v>581</v>
      </c>
      <c r="PXS16" s="508" t="s">
        <v>581</v>
      </c>
      <c r="PXT16" s="508" t="s">
        <v>581</v>
      </c>
      <c r="PXU16" s="508" t="s">
        <v>581</v>
      </c>
      <c r="PXV16" s="508" t="s">
        <v>581</v>
      </c>
      <c r="PXW16" s="508" t="s">
        <v>581</v>
      </c>
      <c r="PXX16" s="508" t="s">
        <v>581</v>
      </c>
      <c r="PXY16" s="508" t="s">
        <v>581</v>
      </c>
      <c r="PXZ16" s="508" t="s">
        <v>581</v>
      </c>
      <c r="PYA16" s="508" t="s">
        <v>581</v>
      </c>
      <c r="PYB16" s="508" t="s">
        <v>581</v>
      </c>
      <c r="PYC16" s="508" t="s">
        <v>581</v>
      </c>
      <c r="PYD16" s="508" t="s">
        <v>581</v>
      </c>
      <c r="PYE16" s="508" t="s">
        <v>581</v>
      </c>
      <c r="PYF16" s="508" t="s">
        <v>581</v>
      </c>
      <c r="PYG16" s="508" t="s">
        <v>581</v>
      </c>
      <c r="PYH16" s="508" t="s">
        <v>581</v>
      </c>
      <c r="PYI16" s="508" t="s">
        <v>581</v>
      </c>
      <c r="PYJ16" s="508" t="s">
        <v>581</v>
      </c>
      <c r="PYK16" s="508" t="s">
        <v>581</v>
      </c>
      <c r="PYL16" s="508" t="s">
        <v>581</v>
      </c>
      <c r="PYM16" s="508" t="s">
        <v>581</v>
      </c>
      <c r="PYN16" s="508" t="s">
        <v>581</v>
      </c>
      <c r="PYO16" s="508" t="s">
        <v>581</v>
      </c>
      <c r="PYP16" s="508" t="s">
        <v>581</v>
      </c>
      <c r="PYQ16" s="508" t="s">
        <v>581</v>
      </c>
      <c r="PYR16" s="508" t="s">
        <v>581</v>
      </c>
      <c r="PYS16" s="508" t="s">
        <v>581</v>
      </c>
      <c r="PYT16" s="508" t="s">
        <v>581</v>
      </c>
      <c r="PYU16" s="508" t="s">
        <v>581</v>
      </c>
      <c r="PYV16" s="508" t="s">
        <v>581</v>
      </c>
      <c r="PYW16" s="508" t="s">
        <v>581</v>
      </c>
      <c r="PYX16" s="508" t="s">
        <v>581</v>
      </c>
      <c r="PYY16" s="508" t="s">
        <v>581</v>
      </c>
      <c r="PYZ16" s="508" t="s">
        <v>581</v>
      </c>
      <c r="PZA16" s="508" t="s">
        <v>581</v>
      </c>
      <c r="PZB16" s="508" t="s">
        <v>581</v>
      </c>
      <c r="PZC16" s="508" t="s">
        <v>581</v>
      </c>
      <c r="PZD16" s="508" t="s">
        <v>581</v>
      </c>
      <c r="PZE16" s="508" t="s">
        <v>581</v>
      </c>
      <c r="PZF16" s="508" t="s">
        <v>581</v>
      </c>
      <c r="PZG16" s="508" t="s">
        <v>581</v>
      </c>
      <c r="PZH16" s="508" t="s">
        <v>581</v>
      </c>
      <c r="PZI16" s="508" t="s">
        <v>581</v>
      </c>
      <c r="PZJ16" s="508" t="s">
        <v>581</v>
      </c>
      <c r="PZK16" s="508" t="s">
        <v>581</v>
      </c>
      <c r="PZL16" s="508" t="s">
        <v>581</v>
      </c>
      <c r="PZM16" s="508" t="s">
        <v>581</v>
      </c>
      <c r="PZN16" s="508" t="s">
        <v>581</v>
      </c>
      <c r="PZO16" s="508" t="s">
        <v>581</v>
      </c>
      <c r="PZP16" s="508" t="s">
        <v>581</v>
      </c>
      <c r="PZQ16" s="508" t="s">
        <v>581</v>
      </c>
      <c r="PZR16" s="508" t="s">
        <v>581</v>
      </c>
      <c r="PZS16" s="508" t="s">
        <v>581</v>
      </c>
      <c r="PZT16" s="508" t="s">
        <v>581</v>
      </c>
      <c r="PZU16" s="508" t="s">
        <v>581</v>
      </c>
      <c r="PZV16" s="508" t="s">
        <v>581</v>
      </c>
      <c r="PZW16" s="508" t="s">
        <v>581</v>
      </c>
      <c r="PZX16" s="508" t="s">
        <v>581</v>
      </c>
      <c r="PZY16" s="508" t="s">
        <v>581</v>
      </c>
      <c r="PZZ16" s="508" t="s">
        <v>581</v>
      </c>
      <c r="QAA16" s="508" t="s">
        <v>581</v>
      </c>
      <c r="QAB16" s="508" t="s">
        <v>581</v>
      </c>
      <c r="QAC16" s="508" t="s">
        <v>581</v>
      </c>
      <c r="QAD16" s="508" t="s">
        <v>581</v>
      </c>
      <c r="QAE16" s="508" t="s">
        <v>581</v>
      </c>
      <c r="QAF16" s="508" t="s">
        <v>581</v>
      </c>
      <c r="QAG16" s="508" t="s">
        <v>581</v>
      </c>
      <c r="QAH16" s="508" t="s">
        <v>581</v>
      </c>
      <c r="QAI16" s="508" t="s">
        <v>581</v>
      </c>
      <c r="QAJ16" s="508" t="s">
        <v>581</v>
      </c>
      <c r="QAK16" s="508" t="s">
        <v>581</v>
      </c>
      <c r="QAL16" s="508" t="s">
        <v>581</v>
      </c>
      <c r="QAM16" s="508" t="s">
        <v>581</v>
      </c>
      <c r="QAN16" s="508" t="s">
        <v>581</v>
      </c>
      <c r="QAO16" s="508" t="s">
        <v>581</v>
      </c>
      <c r="QAP16" s="508" t="s">
        <v>581</v>
      </c>
      <c r="QAQ16" s="508" t="s">
        <v>581</v>
      </c>
      <c r="QAR16" s="508" t="s">
        <v>581</v>
      </c>
      <c r="QAS16" s="508" t="s">
        <v>581</v>
      </c>
      <c r="QAT16" s="508" t="s">
        <v>581</v>
      </c>
      <c r="QAU16" s="508" t="s">
        <v>581</v>
      </c>
      <c r="QAV16" s="508" t="s">
        <v>581</v>
      </c>
      <c r="QAW16" s="508" t="s">
        <v>581</v>
      </c>
      <c r="QAX16" s="508" t="s">
        <v>581</v>
      </c>
      <c r="QAY16" s="508" t="s">
        <v>581</v>
      </c>
      <c r="QAZ16" s="508" t="s">
        <v>581</v>
      </c>
      <c r="QBA16" s="508" t="s">
        <v>581</v>
      </c>
      <c r="QBB16" s="508" t="s">
        <v>581</v>
      </c>
      <c r="QBC16" s="508" t="s">
        <v>581</v>
      </c>
      <c r="QBD16" s="508" t="s">
        <v>581</v>
      </c>
      <c r="QBE16" s="508" t="s">
        <v>581</v>
      </c>
      <c r="QBF16" s="508" t="s">
        <v>581</v>
      </c>
      <c r="QBG16" s="508" t="s">
        <v>581</v>
      </c>
      <c r="QBH16" s="508" t="s">
        <v>581</v>
      </c>
      <c r="QBI16" s="508" t="s">
        <v>581</v>
      </c>
      <c r="QBJ16" s="508" t="s">
        <v>581</v>
      </c>
      <c r="QBK16" s="508" t="s">
        <v>581</v>
      </c>
      <c r="QBL16" s="508" t="s">
        <v>581</v>
      </c>
      <c r="QBM16" s="508" t="s">
        <v>581</v>
      </c>
      <c r="QBN16" s="508" t="s">
        <v>581</v>
      </c>
      <c r="QBO16" s="508" t="s">
        <v>581</v>
      </c>
      <c r="QBP16" s="508" t="s">
        <v>581</v>
      </c>
      <c r="QBQ16" s="508" t="s">
        <v>581</v>
      </c>
      <c r="QBR16" s="508" t="s">
        <v>581</v>
      </c>
      <c r="QBS16" s="508" t="s">
        <v>581</v>
      </c>
      <c r="QBT16" s="508" t="s">
        <v>581</v>
      </c>
      <c r="QBU16" s="508" t="s">
        <v>581</v>
      </c>
      <c r="QBV16" s="508" t="s">
        <v>581</v>
      </c>
      <c r="QBW16" s="508" t="s">
        <v>581</v>
      </c>
      <c r="QBX16" s="508" t="s">
        <v>581</v>
      </c>
      <c r="QBY16" s="508" t="s">
        <v>581</v>
      </c>
      <c r="QBZ16" s="508" t="s">
        <v>581</v>
      </c>
      <c r="QCA16" s="508" t="s">
        <v>581</v>
      </c>
      <c r="QCB16" s="508" t="s">
        <v>581</v>
      </c>
      <c r="QCC16" s="508" t="s">
        <v>581</v>
      </c>
      <c r="QCD16" s="508" t="s">
        <v>581</v>
      </c>
      <c r="QCE16" s="508" t="s">
        <v>581</v>
      </c>
      <c r="QCF16" s="508" t="s">
        <v>581</v>
      </c>
      <c r="QCG16" s="508" t="s">
        <v>581</v>
      </c>
      <c r="QCH16" s="508" t="s">
        <v>581</v>
      </c>
      <c r="QCI16" s="508" t="s">
        <v>581</v>
      </c>
      <c r="QCJ16" s="508" t="s">
        <v>581</v>
      </c>
      <c r="QCK16" s="508" t="s">
        <v>581</v>
      </c>
      <c r="QCL16" s="508" t="s">
        <v>581</v>
      </c>
      <c r="QCM16" s="508" t="s">
        <v>581</v>
      </c>
      <c r="QCN16" s="508" t="s">
        <v>581</v>
      </c>
      <c r="QCO16" s="508" t="s">
        <v>581</v>
      </c>
      <c r="QCP16" s="508" t="s">
        <v>581</v>
      </c>
      <c r="QCQ16" s="508" t="s">
        <v>581</v>
      </c>
      <c r="QCR16" s="508" t="s">
        <v>581</v>
      </c>
      <c r="QCS16" s="508" t="s">
        <v>581</v>
      </c>
      <c r="QCT16" s="508" t="s">
        <v>581</v>
      </c>
      <c r="QCU16" s="508" t="s">
        <v>581</v>
      </c>
      <c r="QCV16" s="508" t="s">
        <v>581</v>
      </c>
      <c r="QCW16" s="508" t="s">
        <v>581</v>
      </c>
      <c r="QCX16" s="508" t="s">
        <v>581</v>
      </c>
      <c r="QCY16" s="508" t="s">
        <v>581</v>
      </c>
      <c r="QCZ16" s="508" t="s">
        <v>581</v>
      </c>
      <c r="QDA16" s="508" t="s">
        <v>581</v>
      </c>
      <c r="QDB16" s="508" t="s">
        <v>581</v>
      </c>
      <c r="QDC16" s="508" t="s">
        <v>581</v>
      </c>
      <c r="QDD16" s="508" t="s">
        <v>581</v>
      </c>
      <c r="QDE16" s="508" t="s">
        <v>581</v>
      </c>
      <c r="QDF16" s="508" t="s">
        <v>581</v>
      </c>
      <c r="QDG16" s="508" t="s">
        <v>581</v>
      </c>
      <c r="QDH16" s="508" t="s">
        <v>581</v>
      </c>
      <c r="QDI16" s="508" t="s">
        <v>581</v>
      </c>
      <c r="QDJ16" s="508" t="s">
        <v>581</v>
      </c>
      <c r="QDK16" s="508" t="s">
        <v>581</v>
      </c>
      <c r="QDL16" s="508" t="s">
        <v>581</v>
      </c>
      <c r="QDM16" s="508" t="s">
        <v>581</v>
      </c>
      <c r="QDN16" s="508" t="s">
        <v>581</v>
      </c>
      <c r="QDO16" s="508" t="s">
        <v>581</v>
      </c>
      <c r="QDP16" s="508" t="s">
        <v>581</v>
      </c>
      <c r="QDQ16" s="508" t="s">
        <v>581</v>
      </c>
      <c r="QDR16" s="508" t="s">
        <v>581</v>
      </c>
      <c r="QDS16" s="508" t="s">
        <v>581</v>
      </c>
      <c r="QDT16" s="508" t="s">
        <v>581</v>
      </c>
      <c r="QDU16" s="508" t="s">
        <v>581</v>
      </c>
      <c r="QDV16" s="508" t="s">
        <v>581</v>
      </c>
      <c r="QDW16" s="508" t="s">
        <v>581</v>
      </c>
      <c r="QDX16" s="508" t="s">
        <v>581</v>
      </c>
      <c r="QDY16" s="508" t="s">
        <v>581</v>
      </c>
      <c r="QDZ16" s="508" t="s">
        <v>581</v>
      </c>
      <c r="QEA16" s="508" t="s">
        <v>581</v>
      </c>
      <c r="QEB16" s="508" t="s">
        <v>581</v>
      </c>
      <c r="QEC16" s="508" t="s">
        <v>581</v>
      </c>
      <c r="QED16" s="508" t="s">
        <v>581</v>
      </c>
      <c r="QEE16" s="508" t="s">
        <v>581</v>
      </c>
      <c r="QEF16" s="508" t="s">
        <v>581</v>
      </c>
      <c r="QEG16" s="508" t="s">
        <v>581</v>
      </c>
      <c r="QEH16" s="508" t="s">
        <v>581</v>
      </c>
      <c r="QEI16" s="508" t="s">
        <v>581</v>
      </c>
      <c r="QEJ16" s="508" t="s">
        <v>581</v>
      </c>
      <c r="QEK16" s="508" t="s">
        <v>581</v>
      </c>
      <c r="QEL16" s="508" t="s">
        <v>581</v>
      </c>
      <c r="QEM16" s="508" t="s">
        <v>581</v>
      </c>
      <c r="QEN16" s="508" t="s">
        <v>581</v>
      </c>
      <c r="QEO16" s="508" t="s">
        <v>581</v>
      </c>
      <c r="QEP16" s="508" t="s">
        <v>581</v>
      </c>
      <c r="QEQ16" s="508" t="s">
        <v>581</v>
      </c>
      <c r="QER16" s="508" t="s">
        <v>581</v>
      </c>
      <c r="QES16" s="508" t="s">
        <v>581</v>
      </c>
      <c r="QET16" s="508" t="s">
        <v>581</v>
      </c>
      <c r="QEU16" s="508" t="s">
        <v>581</v>
      </c>
      <c r="QEV16" s="508" t="s">
        <v>581</v>
      </c>
      <c r="QEW16" s="508" t="s">
        <v>581</v>
      </c>
      <c r="QEX16" s="508" t="s">
        <v>581</v>
      </c>
      <c r="QEY16" s="508" t="s">
        <v>581</v>
      </c>
      <c r="QEZ16" s="508" t="s">
        <v>581</v>
      </c>
      <c r="QFA16" s="508" t="s">
        <v>581</v>
      </c>
      <c r="QFB16" s="508" t="s">
        <v>581</v>
      </c>
      <c r="QFC16" s="508" t="s">
        <v>581</v>
      </c>
      <c r="QFD16" s="508" t="s">
        <v>581</v>
      </c>
      <c r="QFE16" s="508" t="s">
        <v>581</v>
      </c>
      <c r="QFF16" s="508" t="s">
        <v>581</v>
      </c>
      <c r="QFG16" s="508" t="s">
        <v>581</v>
      </c>
      <c r="QFH16" s="508" t="s">
        <v>581</v>
      </c>
      <c r="QFI16" s="508" t="s">
        <v>581</v>
      </c>
      <c r="QFJ16" s="508" t="s">
        <v>581</v>
      </c>
      <c r="QFK16" s="508" t="s">
        <v>581</v>
      </c>
      <c r="QFL16" s="508" t="s">
        <v>581</v>
      </c>
      <c r="QFM16" s="508" t="s">
        <v>581</v>
      </c>
      <c r="QFN16" s="508" t="s">
        <v>581</v>
      </c>
      <c r="QFO16" s="508" t="s">
        <v>581</v>
      </c>
      <c r="QFP16" s="508" t="s">
        <v>581</v>
      </c>
      <c r="QFQ16" s="508" t="s">
        <v>581</v>
      </c>
      <c r="QFR16" s="508" t="s">
        <v>581</v>
      </c>
      <c r="QFS16" s="508" t="s">
        <v>581</v>
      </c>
      <c r="QFT16" s="508" t="s">
        <v>581</v>
      </c>
      <c r="QFU16" s="508" t="s">
        <v>581</v>
      </c>
      <c r="QFV16" s="508" t="s">
        <v>581</v>
      </c>
      <c r="QFW16" s="508" t="s">
        <v>581</v>
      </c>
      <c r="QFX16" s="508" t="s">
        <v>581</v>
      </c>
      <c r="QFY16" s="508" t="s">
        <v>581</v>
      </c>
      <c r="QFZ16" s="508" t="s">
        <v>581</v>
      </c>
      <c r="QGA16" s="508" t="s">
        <v>581</v>
      </c>
      <c r="QGB16" s="508" t="s">
        <v>581</v>
      </c>
      <c r="QGC16" s="508" t="s">
        <v>581</v>
      </c>
      <c r="QGD16" s="508" t="s">
        <v>581</v>
      </c>
      <c r="QGE16" s="508" t="s">
        <v>581</v>
      </c>
      <c r="QGF16" s="508" t="s">
        <v>581</v>
      </c>
      <c r="QGG16" s="508" t="s">
        <v>581</v>
      </c>
      <c r="QGH16" s="508" t="s">
        <v>581</v>
      </c>
      <c r="QGI16" s="508" t="s">
        <v>581</v>
      </c>
      <c r="QGJ16" s="508" t="s">
        <v>581</v>
      </c>
      <c r="QGK16" s="508" t="s">
        <v>581</v>
      </c>
      <c r="QGL16" s="508" t="s">
        <v>581</v>
      </c>
      <c r="QGM16" s="508" t="s">
        <v>581</v>
      </c>
      <c r="QGN16" s="508" t="s">
        <v>581</v>
      </c>
      <c r="QGO16" s="508" t="s">
        <v>581</v>
      </c>
      <c r="QGP16" s="508" t="s">
        <v>581</v>
      </c>
      <c r="QGQ16" s="508" t="s">
        <v>581</v>
      </c>
      <c r="QGR16" s="508" t="s">
        <v>581</v>
      </c>
      <c r="QGS16" s="508" t="s">
        <v>581</v>
      </c>
      <c r="QGT16" s="508" t="s">
        <v>581</v>
      </c>
      <c r="QGU16" s="508" t="s">
        <v>581</v>
      </c>
      <c r="QGV16" s="508" t="s">
        <v>581</v>
      </c>
      <c r="QGW16" s="508" t="s">
        <v>581</v>
      </c>
      <c r="QGX16" s="508" t="s">
        <v>581</v>
      </c>
      <c r="QGY16" s="508" t="s">
        <v>581</v>
      </c>
      <c r="QGZ16" s="508" t="s">
        <v>581</v>
      </c>
      <c r="QHA16" s="508" t="s">
        <v>581</v>
      </c>
      <c r="QHB16" s="508" t="s">
        <v>581</v>
      </c>
      <c r="QHC16" s="508" t="s">
        <v>581</v>
      </c>
      <c r="QHD16" s="508" t="s">
        <v>581</v>
      </c>
      <c r="QHE16" s="508" t="s">
        <v>581</v>
      </c>
      <c r="QHF16" s="508" t="s">
        <v>581</v>
      </c>
      <c r="QHG16" s="508" t="s">
        <v>581</v>
      </c>
      <c r="QHH16" s="508" t="s">
        <v>581</v>
      </c>
      <c r="QHI16" s="508" t="s">
        <v>581</v>
      </c>
      <c r="QHJ16" s="508" t="s">
        <v>581</v>
      </c>
      <c r="QHK16" s="508" t="s">
        <v>581</v>
      </c>
      <c r="QHL16" s="508" t="s">
        <v>581</v>
      </c>
      <c r="QHM16" s="508" t="s">
        <v>581</v>
      </c>
      <c r="QHN16" s="508" t="s">
        <v>581</v>
      </c>
      <c r="QHO16" s="508" t="s">
        <v>581</v>
      </c>
      <c r="QHP16" s="508" t="s">
        <v>581</v>
      </c>
      <c r="QHQ16" s="508" t="s">
        <v>581</v>
      </c>
      <c r="QHR16" s="508" t="s">
        <v>581</v>
      </c>
      <c r="QHS16" s="508" t="s">
        <v>581</v>
      </c>
      <c r="QHT16" s="508" t="s">
        <v>581</v>
      </c>
      <c r="QHU16" s="508" t="s">
        <v>581</v>
      </c>
      <c r="QHV16" s="508" t="s">
        <v>581</v>
      </c>
      <c r="QHW16" s="508" t="s">
        <v>581</v>
      </c>
      <c r="QHX16" s="508" t="s">
        <v>581</v>
      </c>
      <c r="QHY16" s="508" t="s">
        <v>581</v>
      </c>
      <c r="QHZ16" s="508" t="s">
        <v>581</v>
      </c>
      <c r="QIA16" s="508" t="s">
        <v>581</v>
      </c>
      <c r="QIB16" s="508" t="s">
        <v>581</v>
      </c>
      <c r="QIC16" s="508" t="s">
        <v>581</v>
      </c>
      <c r="QID16" s="508" t="s">
        <v>581</v>
      </c>
      <c r="QIE16" s="508" t="s">
        <v>581</v>
      </c>
      <c r="QIF16" s="508" t="s">
        <v>581</v>
      </c>
      <c r="QIG16" s="508" t="s">
        <v>581</v>
      </c>
      <c r="QIH16" s="508" t="s">
        <v>581</v>
      </c>
      <c r="QII16" s="508" t="s">
        <v>581</v>
      </c>
      <c r="QIJ16" s="508" t="s">
        <v>581</v>
      </c>
      <c r="QIK16" s="508" t="s">
        <v>581</v>
      </c>
      <c r="QIL16" s="508" t="s">
        <v>581</v>
      </c>
      <c r="QIM16" s="508" t="s">
        <v>581</v>
      </c>
      <c r="QIN16" s="508" t="s">
        <v>581</v>
      </c>
      <c r="QIO16" s="508" t="s">
        <v>581</v>
      </c>
      <c r="QIP16" s="508" t="s">
        <v>581</v>
      </c>
      <c r="QIQ16" s="508" t="s">
        <v>581</v>
      </c>
      <c r="QIR16" s="508" t="s">
        <v>581</v>
      </c>
      <c r="QIS16" s="508" t="s">
        <v>581</v>
      </c>
      <c r="QIT16" s="508" t="s">
        <v>581</v>
      </c>
      <c r="QIU16" s="508" t="s">
        <v>581</v>
      </c>
      <c r="QIV16" s="508" t="s">
        <v>581</v>
      </c>
      <c r="QIW16" s="508" t="s">
        <v>581</v>
      </c>
      <c r="QIX16" s="508" t="s">
        <v>581</v>
      </c>
      <c r="QIY16" s="508" t="s">
        <v>581</v>
      </c>
      <c r="QIZ16" s="508" t="s">
        <v>581</v>
      </c>
      <c r="QJA16" s="508" t="s">
        <v>581</v>
      </c>
      <c r="QJB16" s="508" t="s">
        <v>581</v>
      </c>
      <c r="QJC16" s="508" t="s">
        <v>581</v>
      </c>
      <c r="QJD16" s="508" t="s">
        <v>581</v>
      </c>
      <c r="QJE16" s="508" t="s">
        <v>581</v>
      </c>
      <c r="QJF16" s="508" t="s">
        <v>581</v>
      </c>
      <c r="QJG16" s="508" t="s">
        <v>581</v>
      </c>
      <c r="QJH16" s="508" t="s">
        <v>581</v>
      </c>
      <c r="QJI16" s="508" t="s">
        <v>581</v>
      </c>
      <c r="QJJ16" s="508" t="s">
        <v>581</v>
      </c>
      <c r="QJK16" s="508" t="s">
        <v>581</v>
      </c>
      <c r="QJL16" s="508" t="s">
        <v>581</v>
      </c>
      <c r="QJM16" s="508" t="s">
        <v>581</v>
      </c>
      <c r="QJN16" s="508" t="s">
        <v>581</v>
      </c>
      <c r="QJO16" s="508" t="s">
        <v>581</v>
      </c>
      <c r="QJP16" s="508" t="s">
        <v>581</v>
      </c>
      <c r="QJQ16" s="508" t="s">
        <v>581</v>
      </c>
      <c r="QJR16" s="508" t="s">
        <v>581</v>
      </c>
      <c r="QJS16" s="508" t="s">
        <v>581</v>
      </c>
      <c r="QJT16" s="508" t="s">
        <v>581</v>
      </c>
      <c r="QJU16" s="508" t="s">
        <v>581</v>
      </c>
      <c r="QJV16" s="508" t="s">
        <v>581</v>
      </c>
      <c r="QJW16" s="508" t="s">
        <v>581</v>
      </c>
      <c r="QJX16" s="508" t="s">
        <v>581</v>
      </c>
      <c r="QJY16" s="508" t="s">
        <v>581</v>
      </c>
      <c r="QJZ16" s="508" t="s">
        <v>581</v>
      </c>
      <c r="QKA16" s="508" t="s">
        <v>581</v>
      </c>
      <c r="QKB16" s="508" t="s">
        <v>581</v>
      </c>
      <c r="QKC16" s="508" t="s">
        <v>581</v>
      </c>
      <c r="QKD16" s="508" t="s">
        <v>581</v>
      </c>
      <c r="QKE16" s="508" t="s">
        <v>581</v>
      </c>
      <c r="QKF16" s="508" t="s">
        <v>581</v>
      </c>
      <c r="QKG16" s="508" t="s">
        <v>581</v>
      </c>
      <c r="QKH16" s="508" t="s">
        <v>581</v>
      </c>
      <c r="QKI16" s="508" t="s">
        <v>581</v>
      </c>
      <c r="QKJ16" s="508" t="s">
        <v>581</v>
      </c>
      <c r="QKK16" s="508" t="s">
        <v>581</v>
      </c>
      <c r="QKL16" s="508" t="s">
        <v>581</v>
      </c>
      <c r="QKM16" s="508" t="s">
        <v>581</v>
      </c>
      <c r="QKN16" s="508" t="s">
        <v>581</v>
      </c>
      <c r="QKO16" s="508" t="s">
        <v>581</v>
      </c>
      <c r="QKP16" s="508" t="s">
        <v>581</v>
      </c>
      <c r="QKQ16" s="508" t="s">
        <v>581</v>
      </c>
      <c r="QKR16" s="508" t="s">
        <v>581</v>
      </c>
      <c r="QKS16" s="508" t="s">
        <v>581</v>
      </c>
      <c r="QKT16" s="508" t="s">
        <v>581</v>
      </c>
      <c r="QKU16" s="508" t="s">
        <v>581</v>
      </c>
      <c r="QKV16" s="508" t="s">
        <v>581</v>
      </c>
      <c r="QKW16" s="508" t="s">
        <v>581</v>
      </c>
      <c r="QKX16" s="508" t="s">
        <v>581</v>
      </c>
      <c r="QKY16" s="508" t="s">
        <v>581</v>
      </c>
      <c r="QKZ16" s="508" t="s">
        <v>581</v>
      </c>
      <c r="QLA16" s="508" t="s">
        <v>581</v>
      </c>
      <c r="QLB16" s="508" t="s">
        <v>581</v>
      </c>
      <c r="QLC16" s="508" t="s">
        <v>581</v>
      </c>
      <c r="QLD16" s="508" t="s">
        <v>581</v>
      </c>
      <c r="QLE16" s="508" t="s">
        <v>581</v>
      </c>
      <c r="QLF16" s="508" t="s">
        <v>581</v>
      </c>
      <c r="QLG16" s="508" t="s">
        <v>581</v>
      </c>
      <c r="QLH16" s="508" t="s">
        <v>581</v>
      </c>
      <c r="QLI16" s="508" t="s">
        <v>581</v>
      </c>
      <c r="QLJ16" s="508" t="s">
        <v>581</v>
      </c>
      <c r="QLK16" s="508" t="s">
        <v>581</v>
      </c>
      <c r="QLL16" s="508" t="s">
        <v>581</v>
      </c>
      <c r="QLM16" s="508" t="s">
        <v>581</v>
      </c>
      <c r="QLN16" s="508" t="s">
        <v>581</v>
      </c>
      <c r="QLO16" s="508" t="s">
        <v>581</v>
      </c>
      <c r="QLP16" s="508" t="s">
        <v>581</v>
      </c>
      <c r="QLQ16" s="508" t="s">
        <v>581</v>
      </c>
      <c r="QLR16" s="508" t="s">
        <v>581</v>
      </c>
      <c r="QLS16" s="508" t="s">
        <v>581</v>
      </c>
      <c r="QLT16" s="508" t="s">
        <v>581</v>
      </c>
      <c r="QLU16" s="508" t="s">
        <v>581</v>
      </c>
      <c r="QLV16" s="508" t="s">
        <v>581</v>
      </c>
      <c r="QLW16" s="508" t="s">
        <v>581</v>
      </c>
      <c r="QLX16" s="508" t="s">
        <v>581</v>
      </c>
      <c r="QLY16" s="508" t="s">
        <v>581</v>
      </c>
      <c r="QLZ16" s="508" t="s">
        <v>581</v>
      </c>
      <c r="QMA16" s="508" t="s">
        <v>581</v>
      </c>
      <c r="QMB16" s="508" t="s">
        <v>581</v>
      </c>
      <c r="QMC16" s="508" t="s">
        <v>581</v>
      </c>
      <c r="QMD16" s="508" t="s">
        <v>581</v>
      </c>
      <c r="QME16" s="508" t="s">
        <v>581</v>
      </c>
      <c r="QMF16" s="508" t="s">
        <v>581</v>
      </c>
      <c r="QMG16" s="508" t="s">
        <v>581</v>
      </c>
      <c r="QMH16" s="508" t="s">
        <v>581</v>
      </c>
      <c r="QMI16" s="508" t="s">
        <v>581</v>
      </c>
      <c r="QMJ16" s="508" t="s">
        <v>581</v>
      </c>
      <c r="QMK16" s="508" t="s">
        <v>581</v>
      </c>
      <c r="QML16" s="508" t="s">
        <v>581</v>
      </c>
      <c r="QMM16" s="508" t="s">
        <v>581</v>
      </c>
      <c r="QMN16" s="508" t="s">
        <v>581</v>
      </c>
      <c r="QMO16" s="508" t="s">
        <v>581</v>
      </c>
      <c r="QMP16" s="508" t="s">
        <v>581</v>
      </c>
      <c r="QMQ16" s="508" t="s">
        <v>581</v>
      </c>
      <c r="QMR16" s="508" t="s">
        <v>581</v>
      </c>
      <c r="QMS16" s="508" t="s">
        <v>581</v>
      </c>
      <c r="QMT16" s="508" t="s">
        <v>581</v>
      </c>
      <c r="QMU16" s="508" t="s">
        <v>581</v>
      </c>
      <c r="QMV16" s="508" t="s">
        <v>581</v>
      </c>
      <c r="QMW16" s="508" t="s">
        <v>581</v>
      </c>
      <c r="QMX16" s="508" t="s">
        <v>581</v>
      </c>
      <c r="QMY16" s="508" t="s">
        <v>581</v>
      </c>
      <c r="QMZ16" s="508" t="s">
        <v>581</v>
      </c>
      <c r="QNA16" s="508" t="s">
        <v>581</v>
      </c>
      <c r="QNB16" s="508" t="s">
        <v>581</v>
      </c>
      <c r="QNC16" s="508" t="s">
        <v>581</v>
      </c>
      <c r="QND16" s="508" t="s">
        <v>581</v>
      </c>
      <c r="QNE16" s="508" t="s">
        <v>581</v>
      </c>
      <c r="QNF16" s="508" t="s">
        <v>581</v>
      </c>
      <c r="QNG16" s="508" t="s">
        <v>581</v>
      </c>
      <c r="QNH16" s="508" t="s">
        <v>581</v>
      </c>
      <c r="QNI16" s="508" t="s">
        <v>581</v>
      </c>
      <c r="QNJ16" s="508" t="s">
        <v>581</v>
      </c>
      <c r="QNK16" s="508" t="s">
        <v>581</v>
      </c>
      <c r="QNL16" s="508" t="s">
        <v>581</v>
      </c>
      <c r="QNM16" s="508" t="s">
        <v>581</v>
      </c>
      <c r="QNN16" s="508" t="s">
        <v>581</v>
      </c>
      <c r="QNO16" s="508" t="s">
        <v>581</v>
      </c>
      <c r="QNP16" s="508" t="s">
        <v>581</v>
      </c>
      <c r="QNQ16" s="508" t="s">
        <v>581</v>
      </c>
      <c r="QNR16" s="508" t="s">
        <v>581</v>
      </c>
      <c r="QNS16" s="508" t="s">
        <v>581</v>
      </c>
      <c r="QNT16" s="508" t="s">
        <v>581</v>
      </c>
      <c r="QNU16" s="508" t="s">
        <v>581</v>
      </c>
      <c r="QNV16" s="508" t="s">
        <v>581</v>
      </c>
      <c r="QNW16" s="508" t="s">
        <v>581</v>
      </c>
      <c r="QNX16" s="508" t="s">
        <v>581</v>
      </c>
      <c r="QNY16" s="508" t="s">
        <v>581</v>
      </c>
      <c r="QNZ16" s="508" t="s">
        <v>581</v>
      </c>
      <c r="QOA16" s="508" t="s">
        <v>581</v>
      </c>
      <c r="QOB16" s="508" t="s">
        <v>581</v>
      </c>
      <c r="QOC16" s="508" t="s">
        <v>581</v>
      </c>
      <c r="QOD16" s="508" t="s">
        <v>581</v>
      </c>
      <c r="QOE16" s="508" t="s">
        <v>581</v>
      </c>
      <c r="QOF16" s="508" t="s">
        <v>581</v>
      </c>
      <c r="QOG16" s="508" t="s">
        <v>581</v>
      </c>
      <c r="QOH16" s="508" t="s">
        <v>581</v>
      </c>
      <c r="QOI16" s="508" t="s">
        <v>581</v>
      </c>
      <c r="QOJ16" s="508" t="s">
        <v>581</v>
      </c>
      <c r="QOK16" s="508" t="s">
        <v>581</v>
      </c>
      <c r="QOL16" s="508" t="s">
        <v>581</v>
      </c>
      <c r="QOM16" s="508" t="s">
        <v>581</v>
      </c>
      <c r="QON16" s="508" t="s">
        <v>581</v>
      </c>
      <c r="QOO16" s="508" t="s">
        <v>581</v>
      </c>
      <c r="QOP16" s="508" t="s">
        <v>581</v>
      </c>
      <c r="QOQ16" s="508" t="s">
        <v>581</v>
      </c>
      <c r="QOR16" s="508" t="s">
        <v>581</v>
      </c>
      <c r="QOS16" s="508" t="s">
        <v>581</v>
      </c>
      <c r="QOT16" s="508" t="s">
        <v>581</v>
      </c>
      <c r="QOU16" s="508" t="s">
        <v>581</v>
      </c>
      <c r="QOV16" s="508" t="s">
        <v>581</v>
      </c>
      <c r="QOW16" s="508" t="s">
        <v>581</v>
      </c>
      <c r="QOX16" s="508" t="s">
        <v>581</v>
      </c>
      <c r="QOY16" s="508" t="s">
        <v>581</v>
      </c>
      <c r="QOZ16" s="508" t="s">
        <v>581</v>
      </c>
      <c r="QPA16" s="508" t="s">
        <v>581</v>
      </c>
      <c r="QPB16" s="508" t="s">
        <v>581</v>
      </c>
      <c r="QPC16" s="508" t="s">
        <v>581</v>
      </c>
      <c r="QPD16" s="508" t="s">
        <v>581</v>
      </c>
      <c r="QPE16" s="508" t="s">
        <v>581</v>
      </c>
      <c r="QPF16" s="508" t="s">
        <v>581</v>
      </c>
      <c r="QPG16" s="508" t="s">
        <v>581</v>
      </c>
      <c r="QPH16" s="508" t="s">
        <v>581</v>
      </c>
      <c r="QPI16" s="508" t="s">
        <v>581</v>
      </c>
      <c r="QPJ16" s="508" t="s">
        <v>581</v>
      </c>
      <c r="QPK16" s="508" t="s">
        <v>581</v>
      </c>
      <c r="QPL16" s="508" t="s">
        <v>581</v>
      </c>
      <c r="QPM16" s="508" t="s">
        <v>581</v>
      </c>
      <c r="QPN16" s="508" t="s">
        <v>581</v>
      </c>
      <c r="QPO16" s="508" t="s">
        <v>581</v>
      </c>
      <c r="QPP16" s="508" t="s">
        <v>581</v>
      </c>
      <c r="QPQ16" s="508" t="s">
        <v>581</v>
      </c>
      <c r="QPR16" s="508" t="s">
        <v>581</v>
      </c>
      <c r="QPS16" s="508" t="s">
        <v>581</v>
      </c>
      <c r="QPT16" s="508" t="s">
        <v>581</v>
      </c>
      <c r="QPU16" s="508" t="s">
        <v>581</v>
      </c>
      <c r="QPV16" s="508" t="s">
        <v>581</v>
      </c>
      <c r="QPW16" s="508" t="s">
        <v>581</v>
      </c>
      <c r="QPX16" s="508" t="s">
        <v>581</v>
      </c>
      <c r="QPY16" s="508" t="s">
        <v>581</v>
      </c>
      <c r="QPZ16" s="508" t="s">
        <v>581</v>
      </c>
      <c r="QQA16" s="508" t="s">
        <v>581</v>
      </c>
      <c r="QQB16" s="508" t="s">
        <v>581</v>
      </c>
      <c r="QQC16" s="508" t="s">
        <v>581</v>
      </c>
      <c r="QQD16" s="508" t="s">
        <v>581</v>
      </c>
      <c r="QQE16" s="508" t="s">
        <v>581</v>
      </c>
      <c r="QQF16" s="508" t="s">
        <v>581</v>
      </c>
      <c r="QQG16" s="508" t="s">
        <v>581</v>
      </c>
      <c r="QQH16" s="508" t="s">
        <v>581</v>
      </c>
      <c r="QQI16" s="508" t="s">
        <v>581</v>
      </c>
      <c r="QQJ16" s="508" t="s">
        <v>581</v>
      </c>
      <c r="QQK16" s="508" t="s">
        <v>581</v>
      </c>
      <c r="QQL16" s="508" t="s">
        <v>581</v>
      </c>
      <c r="QQM16" s="508" t="s">
        <v>581</v>
      </c>
      <c r="QQN16" s="508" t="s">
        <v>581</v>
      </c>
      <c r="QQO16" s="508" t="s">
        <v>581</v>
      </c>
      <c r="QQP16" s="508" t="s">
        <v>581</v>
      </c>
      <c r="QQQ16" s="508" t="s">
        <v>581</v>
      </c>
      <c r="QQR16" s="508" t="s">
        <v>581</v>
      </c>
      <c r="QQS16" s="508" t="s">
        <v>581</v>
      </c>
      <c r="QQT16" s="508" t="s">
        <v>581</v>
      </c>
      <c r="QQU16" s="508" t="s">
        <v>581</v>
      </c>
      <c r="QQV16" s="508" t="s">
        <v>581</v>
      </c>
      <c r="QQW16" s="508" t="s">
        <v>581</v>
      </c>
      <c r="QQX16" s="508" t="s">
        <v>581</v>
      </c>
      <c r="QQY16" s="508" t="s">
        <v>581</v>
      </c>
      <c r="QQZ16" s="508" t="s">
        <v>581</v>
      </c>
      <c r="QRA16" s="508" t="s">
        <v>581</v>
      </c>
      <c r="QRB16" s="508" t="s">
        <v>581</v>
      </c>
      <c r="QRC16" s="508" t="s">
        <v>581</v>
      </c>
      <c r="QRD16" s="508" t="s">
        <v>581</v>
      </c>
      <c r="QRE16" s="508" t="s">
        <v>581</v>
      </c>
      <c r="QRF16" s="508" t="s">
        <v>581</v>
      </c>
      <c r="QRG16" s="508" t="s">
        <v>581</v>
      </c>
      <c r="QRH16" s="508" t="s">
        <v>581</v>
      </c>
      <c r="QRI16" s="508" t="s">
        <v>581</v>
      </c>
      <c r="QRJ16" s="508" t="s">
        <v>581</v>
      </c>
      <c r="QRK16" s="508" t="s">
        <v>581</v>
      </c>
      <c r="QRL16" s="508" t="s">
        <v>581</v>
      </c>
      <c r="QRM16" s="508" t="s">
        <v>581</v>
      </c>
      <c r="QRN16" s="508" t="s">
        <v>581</v>
      </c>
      <c r="QRO16" s="508" t="s">
        <v>581</v>
      </c>
      <c r="QRP16" s="508" t="s">
        <v>581</v>
      </c>
      <c r="QRQ16" s="508" t="s">
        <v>581</v>
      </c>
      <c r="QRR16" s="508" t="s">
        <v>581</v>
      </c>
      <c r="QRS16" s="508" t="s">
        <v>581</v>
      </c>
      <c r="QRT16" s="508" t="s">
        <v>581</v>
      </c>
      <c r="QRU16" s="508" t="s">
        <v>581</v>
      </c>
      <c r="QRV16" s="508" t="s">
        <v>581</v>
      </c>
      <c r="QRW16" s="508" t="s">
        <v>581</v>
      </c>
      <c r="QRX16" s="508" t="s">
        <v>581</v>
      </c>
      <c r="QRY16" s="508" t="s">
        <v>581</v>
      </c>
      <c r="QRZ16" s="508" t="s">
        <v>581</v>
      </c>
      <c r="QSA16" s="508" t="s">
        <v>581</v>
      </c>
      <c r="QSB16" s="508" t="s">
        <v>581</v>
      </c>
      <c r="QSC16" s="508" t="s">
        <v>581</v>
      </c>
      <c r="QSD16" s="508" t="s">
        <v>581</v>
      </c>
      <c r="QSE16" s="508" t="s">
        <v>581</v>
      </c>
      <c r="QSF16" s="508" t="s">
        <v>581</v>
      </c>
      <c r="QSG16" s="508" t="s">
        <v>581</v>
      </c>
      <c r="QSH16" s="508" t="s">
        <v>581</v>
      </c>
      <c r="QSI16" s="508" t="s">
        <v>581</v>
      </c>
      <c r="QSJ16" s="508" t="s">
        <v>581</v>
      </c>
      <c r="QSK16" s="508" t="s">
        <v>581</v>
      </c>
      <c r="QSL16" s="508" t="s">
        <v>581</v>
      </c>
      <c r="QSM16" s="508" t="s">
        <v>581</v>
      </c>
      <c r="QSN16" s="508" t="s">
        <v>581</v>
      </c>
      <c r="QSO16" s="508" t="s">
        <v>581</v>
      </c>
      <c r="QSP16" s="508" t="s">
        <v>581</v>
      </c>
      <c r="QSQ16" s="508" t="s">
        <v>581</v>
      </c>
      <c r="QSR16" s="508" t="s">
        <v>581</v>
      </c>
      <c r="QSS16" s="508" t="s">
        <v>581</v>
      </c>
      <c r="QST16" s="508" t="s">
        <v>581</v>
      </c>
      <c r="QSU16" s="508" t="s">
        <v>581</v>
      </c>
      <c r="QSV16" s="508" t="s">
        <v>581</v>
      </c>
      <c r="QSW16" s="508" t="s">
        <v>581</v>
      </c>
      <c r="QSX16" s="508" t="s">
        <v>581</v>
      </c>
      <c r="QSY16" s="508" t="s">
        <v>581</v>
      </c>
      <c r="QSZ16" s="508" t="s">
        <v>581</v>
      </c>
      <c r="QTA16" s="508" t="s">
        <v>581</v>
      </c>
      <c r="QTB16" s="508" t="s">
        <v>581</v>
      </c>
      <c r="QTC16" s="508" t="s">
        <v>581</v>
      </c>
      <c r="QTD16" s="508" t="s">
        <v>581</v>
      </c>
      <c r="QTE16" s="508" t="s">
        <v>581</v>
      </c>
      <c r="QTF16" s="508" t="s">
        <v>581</v>
      </c>
      <c r="QTG16" s="508" t="s">
        <v>581</v>
      </c>
      <c r="QTH16" s="508" t="s">
        <v>581</v>
      </c>
      <c r="QTI16" s="508" t="s">
        <v>581</v>
      </c>
      <c r="QTJ16" s="508" t="s">
        <v>581</v>
      </c>
      <c r="QTK16" s="508" t="s">
        <v>581</v>
      </c>
      <c r="QTL16" s="508" t="s">
        <v>581</v>
      </c>
      <c r="QTM16" s="508" t="s">
        <v>581</v>
      </c>
      <c r="QTN16" s="508" t="s">
        <v>581</v>
      </c>
      <c r="QTO16" s="508" t="s">
        <v>581</v>
      </c>
      <c r="QTP16" s="508" t="s">
        <v>581</v>
      </c>
      <c r="QTQ16" s="508" t="s">
        <v>581</v>
      </c>
      <c r="QTR16" s="508" t="s">
        <v>581</v>
      </c>
      <c r="QTS16" s="508" t="s">
        <v>581</v>
      </c>
      <c r="QTT16" s="508" t="s">
        <v>581</v>
      </c>
      <c r="QTU16" s="508" t="s">
        <v>581</v>
      </c>
      <c r="QTV16" s="508" t="s">
        <v>581</v>
      </c>
      <c r="QTW16" s="508" t="s">
        <v>581</v>
      </c>
      <c r="QTX16" s="508" t="s">
        <v>581</v>
      </c>
      <c r="QTY16" s="508" t="s">
        <v>581</v>
      </c>
      <c r="QTZ16" s="508" t="s">
        <v>581</v>
      </c>
      <c r="QUA16" s="508" t="s">
        <v>581</v>
      </c>
      <c r="QUB16" s="508" t="s">
        <v>581</v>
      </c>
      <c r="QUC16" s="508" t="s">
        <v>581</v>
      </c>
      <c r="QUD16" s="508" t="s">
        <v>581</v>
      </c>
      <c r="QUE16" s="508" t="s">
        <v>581</v>
      </c>
      <c r="QUF16" s="508" t="s">
        <v>581</v>
      </c>
      <c r="QUG16" s="508" t="s">
        <v>581</v>
      </c>
      <c r="QUH16" s="508" t="s">
        <v>581</v>
      </c>
      <c r="QUI16" s="508" t="s">
        <v>581</v>
      </c>
      <c r="QUJ16" s="508" t="s">
        <v>581</v>
      </c>
      <c r="QUK16" s="508" t="s">
        <v>581</v>
      </c>
      <c r="QUL16" s="508" t="s">
        <v>581</v>
      </c>
      <c r="QUM16" s="508" t="s">
        <v>581</v>
      </c>
      <c r="QUN16" s="508" t="s">
        <v>581</v>
      </c>
      <c r="QUO16" s="508" t="s">
        <v>581</v>
      </c>
      <c r="QUP16" s="508" t="s">
        <v>581</v>
      </c>
      <c r="QUQ16" s="508" t="s">
        <v>581</v>
      </c>
      <c r="QUR16" s="508" t="s">
        <v>581</v>
      </c>
      <c r="QUS16" s="508" t="s">
        <v>581</v>
      </c>
      <c r="QUT16" s="508" t="s">
        <v>581</v>
      </c>
      <c r="QUU16" s="508" t="s">
        <v>581</v>
      </c>
      <c r="QUV16" s="508" t="s">
        <v>581</v>
      </c>
      <c r="QUW16" s="508" t="s">
        <v>581</v>
      </c>
      <c r="QUX16" s="508" t="s">
        <v>581</v>
      </c>
      <c r="QUY16" s="508" t="s">
        <v>581</v>
      </c>
      <c r="QUZ16" s="508" t="s">
        <v>581</v>
      </c>
      <c r="QVA16" s="508" t="s">
        <v>581</v>
      </c>
      <c r="QVB16" s="508" t="s">
        <v>581</v>
      </c>
      <c r="QVC16" s="508" t="s">
        <v>581</v>
      </c>
      <c r="QVD16" s="508" t="s">
        <v>581</v>
      </c>
      <c r="QVE16" s="508" t="s">
        <v>581</v>
      </c>
      <c r="QVF16" s="508" t="s">
        <v>581</v>
      </c>
      <c r="QVG16" s="508" t="s">
        <v>581</v>
      </c>
      <c r="QVH16" s="508" t="s">
        <v>581</v>
      </c>
      <c r="QVI16" s="508" t="s">
        <v>581</v>
      </c>
      <c r="QVJ16" s="508" t="s">
        <v>581</v>
      </c>
      <c r="QVK16" s="508" t="s">
        <v>581</v>
      </c>
      <c r="QVL16" s="508" t="s">
        <v>581</v>
      </c>
      <c r="QVM16" s="508" t="s">
        <v>581</v>
      </c>
      <c r="QVN16" s="508" t="s">
        <v>581</v>
      </c>
      <c r="QVO16" s="508" t="s">
        <v>581</v>
      </c>
      <c r="QVP16" s="508" t="s">
        <v>581</v>
      </c>
      <c r="QVQ16" s="508" t="s">
        <v>581</v>
      </c>
      <c r="QVR16" s="508" t="s">
        <v>581</v>
      </c>
      <c r="QVS16" s="508" t="s">
        <v>581</v>
      </c>
      <c r="QVT16" s="508" t="s">
        <v>581</v>
      </c>
      <c r="QVU16" s="508" t="s">
        <v>581</v>
      </c>
      <c r="QVV16" s="508" t="s">
        <v>581</v>
      </c>
      <c r="QVW16" s="508" t="s">
        <v>581</v>
      </c>
      <c r="QVX16" s="508" t="s">
        <v>581</v>
      </c>
      <c r="QVY16" s="508" t="s">
        <v>581</v>
      </c>
      <c r="QVZ16" s="508" t="s">
        <v>581</v>
      </c>
      <c r="QWA16" s="508" t="s">
        <v>581</v>
      </c>
      <c r="QWB16" s="508" t="s">
        <v>581</v>
      </c>
      <c r="QWC16" s="508" t="s">
        <v>581</v>
      </c>
      <c r="QWD16" s="508" t="s">
        <v>581</v>
      </c>
      <c r="QWE16" s="508" t="s">
        <v>581</v>
      </c>
      <c r="QWF16" s="508" t="s">
        <v>581</v>
      </c>
      <c r="QWG16" s="508" t="s">
        <v>581</v>
      </c>
      <c r="QWH16" s="508" t="s">
        <v>581</v>
      </c>
      <c r="QWI16" s="508" t="s">
        <v>581</v>
      </c>
      <c r="QWJ16" s="508" t="s">
        <v>581</v>
      </c>
      <c r="QWK16" s="508" t="s">
        <v>581</v>
      </c>
      <c r="QWL16" s="508" t="s">
        <v>581</v>
      </c>
      <c r="QWM16" s="508" t="s">
        <v>581</v>
      </c>
      <c r="QWN16" s="508" t="s">
        <v>581</v>
      </c>
      <c r="QWO16" s="508" t="s">
        <v>581</v>
      </c>
      <c r="QWP16" s="508" t="s">
        <v>581</v>
      </c>
      <c r="QWQ16" s="508" t="s">
        <v>581</v>
      </c>
      <c r="QWR16" s="508" t="s">
        <v>581</v>
      </c>
      <c r="QWS16" s="508" t="s">
        <v>581</v>
      </c>
      <c r="QWT16" s="508" t="s">
        <v>581</v>
      </c>
      <c r="QWU16" s="508" t="s">
        <v>581</v>
      </c>
      <c r="QWV16" s="508" t="s">
        <v>581</v>
      </c>
      <c r="QWW16" s="508" t="s">
        <v>581</v>
      </c>
      <c r="QWX16" s="508" t="s">
        <v>581</v>
      </c>
      <c r="QWY16" s="508" t="s">
        <v>581</v>
      </c>
      <c r="QWZ16" s="508" t="s">
        <v>581</v>
      </c>
      <c r="QXA16" s="508" t="s">
        <v>581</v>
      </c>
      <c r="QXB16" s="508" t="s">
        <v>581</v>
      </c>
      <c r="QXC16" s="508" t="s">
        <v>581</v>
      </c>
      <c r="QXD16" s="508" t="s">
        <v>581</v>
      </c>
      <c r="QXE16" s="508" t="s">
        <v>581</v>
      </c>
      <c r="QXF16" s="508" t="s">
        <v>581</v>
      </c>
      <c r="QXG16" s="508" t="s">
        <v>581</v>
      </c>
      <c r="QXH16" s="508" t="s">
        <v>581</v>
      </c>
      <c r="QXI16" s="508" t="s">
        <v>581</v>
      </c>
      <c r="QXJ16" s="508" t="s">
        <v>581</v>
      </c>
      <c r="QXK16" s="508" t="s">
        <v>581</v>
      </c>
      <c r="QXL16" s="508" t="s">
        <v>581</v>
      </c>
      <c r="QXM16" s="508" t="s">
        <v>581</v>
      </c>
      <c r="QXN16" s="508" t="s">
        <v>581</v>
      </c>
      <c r="QXO16" s="508" t="s">
        <v>581</v>
      </c>
      <c r="QXP16" s="508" t="s">
        <v>581</v>
      </c>
      <c r="QXQ16" s="508" t="s">
        <v>581</v>
      </c>
      <c r="QXR16" s="508" t="s">
        <v>581</v>
      </c>
      <c r="QXS16" s="508" t="s">
        <v>581</v>
      </c>
      <c r="QXT16" s="508" t="s">
        <v>581</v>
      </c>
      <c r="QXU16" s="508" t="s">
        <v>581</v>
      </c>
      <c r="QXV16" s="508" t="s">
        <v>581</v>
      </c>
      <c r="QXW16" s="508" t="s">
        <v>581</v>
      </c>
      <c r="QXX16" s="508" t="s">
        <v>581</v>
      </c>
      <c r="QXY16" s="508" t="s">
        <v>581</v>
      </c>
      <c r="QXZ16" s="508" t="s">
        <v>581</v>
      </c>
      <c r="QYA16" s="508" t="s">
        <v>581</v>
      </c>
      <c r="QYB16" s="508" t="s">
        <v>581</v>
      </c>
      <c r="QYC16" s="508" t="s">
        <v>581</v>
      </c>
      <c r="QYD16" s="508" t="s">
        <v>581</v>
      </c>
      <c r="QYE16" s="508" t="s">
        <v>581</v>
      </c>
      <c r="QYF16" s="508" t="s">
        <v>581</v>
      </c>
      <c r="QYG16" s="508" t="s">
        <v>581</v>
      </c>
      <c r="QYH16" s="508" t="s">
        <v>581</v>
      </c>
      <c r="QYI16" s="508" t="s">
        <v>581</v>
      </c>
      <c r="QYJ16" s="508" t="s">
        <v>581</v>
      </c>
      <c r="QYK16" s="508" t="s">
        <v>581</v>
      </c>
      <c r="QYL16" s="508" t="s">
        <v>581</v>
      </c>
      <c r="QYM16" s="508" t="s">
        <v>581</v>
      </c>
      <c r="QYN16" s="508" t="s">
        <v>581</v>
      </c>
      <c r="QYO16" s="508" t="s">
        <v>581</v>
      </c>
      <c r="QYP16" s="508" t="s">
        <v>581</v>
      </c>
      <c r="QYQ16" s="508" t="s">
        <v>581</v>
      </c>
      <c r="QYR16" s="508" t="s">
        <v>581</v>
      </c>
      <c r="QYS16" s="508" t="s">
        <v>581</v>
      </c>
      <c r="QYT16" s="508" t="s">
        <v>581</v>
      </c>
      <c r="QYU16" s="508" t="s">
        <v>581</v>
      </c>
      <c r="QYV16" s="508" t="s">
        <v>581</v>
      </c>
      <c r="QYW16" s="508" t="s">
        <v>581</v>
      </c>
      <c r="QYX16" s="508" t="s">
        <v>581</v>
      </c>
      <c r="QYY16" s="508" t="s">
        <v>581</v>
      </c>
      <c r="QYZ16" s="508" t="s">
        <v>581</v>
      </c>
      <c r="QZA16" s="508" t="s">
        <v>581</v>
      </c>
      <c r="QZB16" s="508" t="s">
        <v>581</v>
      </c>
      <c r="QZC16" s="508" t="s">
        <v>581</v>
      </c>
      <c r="QZD16" s="508" t="s">
        <v>581</v>
      </c>
      <c r="QZE16" s="508" t="s">
        <v>581</v>
      </c>
      <c r="QZF16" s="508" t="s">
        <v>581</v>
      </c>
      <c r="QZG16" s="508" t="s">
        <v>581</v>
      </c>
      <c r="QZH16" s="508" t="s">
        <v>581</v>
      </c>
      <c r="QZI16" s="508" t="s">
        <v>581</v>
      </c>
      <c r="QZJ16" s="508" t="s">
        <v>581</v>
      </c>
      <c r="QZK16" s="508" t="s">
        <v>581</v>
      </c>
      <c r="QZL16" s="508" t="s">
        <v>581</v>
      </c>
      <c r="QZM16" s="508" t="s">
        <v>581</v>
      </c>
      <c r="QZN16" s="508" t="s">
        <v>581</v>
      </c>
      <c r="QZO16" s="508" t="s">
        <v>581</v>
      </c>
      <c r="QZP16" s="508" t="s">
        <v>581</v>
      </c>
      <c r="QZQ16" s="508" t="s">
        <v>581</v>
      </c>
      <c r="QZR16" s="508" t="s">
        <v>581</v>
      </c>
      <c r="QZS16" s="508" t="s">
        <v>581</v>
      </c>
      <c r="QZT16" s="508" t="s">
        <v>581</v>
      </c>
      <c r="QZU16" s="508" t="s">
        <v>581</v>
      </c>
      <c r="QZV16" s="508" t="s">
        <v>581</v>
      </c>
      <c r="QZW16" s="508" t="s">
        <v>581</v>
      </c>
      <c r="QZX16" s="508" t="s">
        <v>581</v>
      </c>
      <c r="QZY16" s="508" t="s">
        <v>581</v>
      </c>
      <c r="QZZ16" s="508" t="s">
        <v>581</v>
      </c>
      <c r="RAA16" s="508" t="s">
        <v>581</v>
      </c>
      <c r="RAB16" s="508" t="s">
        <v>581</v>
      </c>
      <c r="RAC16" s="508" t="s">
        <v>581</v>
      </c>
      <c r="RAD16" s="508" t="s">
        <v>581</v>
      </c>
      <c r="RAE16" s="508" t="s">
        <v>581</v>
      </c>
      <c r="RAF16" s="508" t="s">
        <v>581</v>
      </c>
      <c r="RAG16" s="508" t="s">
        <v>581</v>
      </c>
      <c r="RAH16" s="508" t="s">
        <v>581</v>
      </c>
      <c r="RAI16" s="508" t="s">
        <v>581</v>
      </c>
      <c r="RAJ16" s="508" t="s">
        <v>581</v>
      </c>
      <c r="RAK16" s="508" t="s">
        <v>581</v>
      </c>
      <c r="RAL16" s="508" t="s">
        <v>581</v>
      </c>
      <c r="RAM16" s="508" t="s">
        <v>581</v>
      </c>
      <c r="RAN16" s="508" t="s">
        <v>581</v>
      </c>
      <c r="RAO16" s="508" t="s">
        <v>581</v>
      </c>
      <c r="RAP16" s="508" t="s">
        <v>581</v>
      </c>
      <c r="RAQ16" s="508" t="s">
        <v>581</v>
      </c>
      <c r="RAR16" s="508" t="s">
        <v>581</v>
      </c>
      <c r="RAS16" s="508" t="s">
        <v>581</v>
      </c>
      <c r="RAT16" s="508" t="s">
        <v>581</v>
      </c>
      <c r="RAU16" s="508" t="s">
        <v>581</v>
      </c>
      <c r="RAV16" s="508" t="s">
        <v>581</v>
      </c>
      <c r="RAW16" s="508" t="s">
        <v>581</v>
      </c>
      <c r="RAX16" s="508" t="s">
        <v>581</v>
      </c>
      <c r="RAY16" s="508" t="s">
        <v>581</v>
      </c>
      <c r="RAZ16" s="508" t="s">
        <v>581</v>
      </c>
      <c r="RBA16" s="508" t="s">
        <v>581</v>
      </c>
      <c r="RBB16" s="508" t="s">
        <v>581</v>
      </c>
      <c r="RBC16" s="508" t="s">
        <v>581</v>
      </c>
      <c r="RBD16" s="508" t="s">
        <v>581</v>
      </c>
      <c r="RBE16" s="508" t="s">
        <v>581</v>
      </c>
      <c r="RBF16" s="508" t="s">
        <v>581</v>
      </c>
      <c r="RBG16" s="508" t="s">
        <v>581</v>
      </c>
      <c r="RBH16" s="508" t="s">
        <v>581</v>
      </c>
      <c r="RBI16" s="508" t="s">
        <v>581</v>
      </c>
      <c r="RBJ16" s="508" t="s">
        <v>581</v>
      </c>
      <c r="RBK16" s="508" t="s">
        <v>581</v>
      </c>
      <c r="RBL16" s="508" t="s">
        <v>581</v>
      </c>
      <c r="RBM16" s="508" t="s">
        <v>581</v>
      </c>
      <c r="RBN16" s="508" t="s">
        <v>581</v>
      </c>
      <c r="RBO16" s="508" t="s">
        <v>581</v>
      </c>
      <c r="RBP16" s="508" t="s">
        <v>581</v>
      </c>
      <c r="RBQ16" s="508" t="s">
        <v>581</v>
      </c>
      <c r="RBR16" s="508" t="s">
        <v>581</v>
      </c>
      <c r="RBS16" s="508" t="s">
        <v>581</v>
      </c>
      <c r="RBT16" s="508" t="s">
        <v>581</v>
      </c>
      <c r="RBU16" s="508" t="s">
        <v>581</v>
      </c>
      <c r="RBV16" s="508" t="s">
        <v>581</v>
      </c>
      <c r="RBW16" s="508" t="s">
        <v>581</v>
      </c>
      <c r="RBX16" s="508" t="s">
        <v>581</v>
      </c>
      <c r="RBY16" s="508" t="s">
        <v>581</v>
      </c>
      <c r="RBZ16" s="508" t="s">
        <v>581</v>
      </c>
      <c r="RCA16" s="508" t="s">
        <v>581</v>
      </c>
      <c r="RCB16" s="508" t="s">
        <v>581</v>
      </c>
      <c r="RCC16" s="508" t="s">
        <v>581</v>
      </c>
      <c r="RCD16" s="508" t="s">
        <v>581</v>
      </c>
      <c r="RCE16" s="508" t="s">
        <v>581</v>
      </c>
      <c r="RCF16" s="508" t="s">
        <v>581</v>
      </c>
      <c r="RCG16" s="508" t="s">
        <v>581</v>
      </c>
      <c r="RCH16" s="508" t="s">
        <v>581</v>
      </c>
      <c r="RCI16" s="508" t="s">
        <v>581</v>
      </c>
      <c r="RCJ16" s="508" t="s">
        <v>581</v>
      </c>
      <c r="RCK16" s="508" t="s">
        <v>581</v>
      </c>
      <c r="RCL16" s="508" t="s">
        <v>581</v>
      </c>
      <c r="RCM16" s="508" t="s">
        <v>581</v>
      </c>
      <c r="RCN16" s="508" t="s">
        <v>581</v>
      </c>
      <c r="RCO16" s="508" t="s">
        <v>581</v>
      </c>
      <c r="RCP16" s="508" t="s">
        <v>581</v>
      </c>
      <c r="RCQ16" s="508" t="s">
        <v>581</v>
      </c>
      <c r="RCR16" s="508" t="s">
        <v>581</v>
      </c>
      <c r="RCS16" s="508" t="s">
        <v>581</v>
      </c>
      <c r="RCT16" s="508" t="s">
        <v>581</v>
      </c>
      <c r="RCU16" s="508" t="s">
        <v>581</v>
      </c>
      <c r="RCV16" s="508" t="s">
        <v>581</v>
      </c>
      <c r="RCW16" s="508" t="s">
        <v>581</v>
      </c>
      <c r="RCX16" s="508" t="s">
        <v>581</v>
      </c>
      <c r="RCY16" s="508" t="s">
        <v>581</v>
      </c>
      <c r="RCZ16" s="508" t="s">
        <v>581</v>
      </c>
      <c r="RDA16" s="508" t="s">
        <v>581</v>
      </c>
      <c r="RDB16" s="508" t="s">
        <v>581</v>
      </c>
      <c r="RDC16" s="508" t="s">
        <v>581</v>
      </c>
      <c r="RDD16" s="508" t="s">
        <v>581</v>
      </c>
      <c r="RDE16" s="508" t="s">
        <v>581</v>
      </c>
      <c r="RDF16" s="508" t="s">
        <v>581</v>
      </c>
      <c r="RDG16" s="508" t="s">
        <v>581</v>
      </c>
      <c r="RDH16" s="508" t="s">
        <v>581</v>
      </c>
      <c r="RDI16" s="508" t="s">
        <v>581</v>
      </c>
      <c r="RDJ16" s="508" t="s">
        <v>581</v>
      </c>
      <c r="RDK16" s="508" t="s">
        <v>581</v>
      </c>
      <c r="RDL16" s="508" t="s">
        <v>581</v>
      </c>
      <c r="RDM16" s="508" t="s">
        <v>581</v>
      </c>
      <c r="RDN16" s="508" t="s">
        <v>581</v>
      </c>
      <c r="RDO16" s="508" t="s">
        <v>581</v>
      </c>
      <c r="RDP16" s="508" t="s">
        <v>581</v>
      </c>
      <c r="RDQ16" s="508" t="s">
        <v>581</v>
      </c>
      <c r="RDR16" s="508" t="s">
        <v>581</v>
      </c>
      <c r="RDS16" s="508" t="s">
        <v>581</v>
      </c>
      <c r="RDT16" s="508" t="s">
        <v>581</v>
      </c>
      <c r="RDU16" s="508" t="s">
        <v>581</v>
      </c>
      <c r="RDV16" s="508" t="s">
        <v>581</v>
      </c>
      <c r="RDW16" s="508" t="s">
        <v>581</v>
      </c>
      <c r="RDX16" s="508" t="s">
        <v>581</v>
      </c>
      <c r="RDY16" s="508" t="s">
        <v>581</v>
      </c>
      <c r="RDZ16" s="508" t="s">
        <v>581</v>
      </c>
      <c r="REA16" s="508" t="s">
        <v>581</v>
      </c>
      <c r="REB16" s="508" t="s">
        <v>581</v>
      </c>
      <c r="REC16" s="508" t="s">
        <v>581</v>
      </c>
      <c r="RED16" s="508" t="s">
        <v>581</v>
      </c>
      <c r="REE16" s="508" t="s">
        <v>581</v>
      </c>
      <c r="REF16" s="508" t="s">
        <v>581</v>
      </c>
      <c r="REG16" s="508" t="s">
        <v>581</v>
      </c>
      <c r="REH16" s="508" t="s">
        <v>581</v>
      </c>
      <c r="REI16" s="508" t="s">
        <v>581</v>
      </c>
      <c r="REJ16" s="508" t="s">
        <v>581</v>
      </c>
      <c r="REK16" s="508" t="s">
        <v>581</v>
      </c>
      <c r="REL16" s="508" t="s">
        <v>581</v>
      </c>
      <c r="REM16" s="508" t="s">
        <v>581</v>
      </c>
      <c r="REN16" s="508" t="s">
        <v>581</v>
      </c>
      <c r="REO16" s="508" t="s">
        <v>581</v>
      </c>
      <c r="REP16" s="508" t="s">
        <v>581</v>
      </c>
      <c r="REQ16" s="508" t="s">
        <v>581</v>
      </c>
      <c r="RER16" s="508" t="s">
        <v>581</v>
      </c>
      <c r="RES16" s="508" t="s">
        <v>581</v>
      </c>
      <c r="RET16" s="508" t="s">
        <v>581</v>
      </c>
      <c r="REU16" s="508" t="s">
        <v>581</v>
      </c>
      <c r="REV16" s="508" t="s">
        <v>581</v>
      </c>
      <c r="REW16" s="508" t="s">
        <v>581</v>
      </c>
      <c r="REX16" s="508" t="s">
        <v>581</v>
      </c>
      <c r="REY16" s="508" t="s">
        <v>581</v>
      </c>
      <c r="REZ16" s="508" t="s">
        <v>581</v>
      </c>
      <c r="RFA16" s="508" t="s">
        <v>581</v>
      </c>
      <c r="RFB16" s="508" t="s">
        <v>581</v>
      </c>
      <c r="RFC16" s="508" t="s">
        <v>581</v>
      </c>
      <c r="RFD16" s="508" t="s">
        <v>581</v>
      </c>
      <c r="RFE16" s="508" t="s">
        <v>581</v>
      </c>
      <c r="RFF16" s="508" t="s">
        <v>581</v>
      </c>
      <c r="RFG16" s="508" t="s">
        <v>581</v>
      </c>
      <c r="RFH16" s="508" t="s">
        <v>581</v>
      </c>
      <c r="RFI16" s="508" t="s">
        <v>581</v>
      </c>
      <c r="RFJ16" s="508" t="s">
        <v>581</v>
      </c>
      <c r="RFK16" s="508" t="s">
        <v>581</v>
      </c>
      <c r="RFL16" s="508" t="s">
        <v>581</v>
      </c>
      <c r="RFM16" s="508" t="s">
        <v>581</v>
      </c>
      <c r="RFN16" s="508" t="s">
        <v>581</v>
      </c>
      <c r="RFO16" s="508" t="s">
        <v>581</v>
      </c>
      <c r="RFP16" s="508" t="s">
        <v>581</v>
      </c>
      <c r="RFQ16" s="508" t="s">
        <v>581</v>
      </c>
      <c r="RFR16" s="508" t="s">
        <v>581</v>
      </c>
      <c r="RFS16" s="508" t="s">
        <v>581</v>
      </c>
      <c r="RFT16" s="508" t="s">
        <v>581</v>
      </c>
      <c r="RFU16" s="508" t="s">
        <v>581</v>
      </c>
      <c r="RFV16" s="508" t="s">
        <v>581</v>
      </c>
      <c r="RFW16" s="508" t="s">
        <v>581</v>
      </c>
      <c r="RFX16" s="508" t="s">
        <v>581</v>
      </c>
      <c r="RFY16" s="508" t="s">
        <v>581</v>
      </c>
      <c r="RFZ16" s="508" t="s">
        <v>581</v>
      </c>
      <c r="RGA16" s="508" t="s">
        <v>581</v>
      </c>
      <c r="RGB16" s="508" t="s">
        <v>581</v>
      </c>
      <c r="RGC16" s="508" t="s">
        <v>581</v>
      </c>
      <c r="RGD16" s="508" t="s">
        <v>581</v>
      </c>
      <c r="RGE16" s="508" t="s">
        <v>581</v>
      </c>
      <c r="RGF16" s="508" t="s">
        <v>581</v>
      </c>
      <c r="RGG16" s="508" t="s">
        <v>581</v>
      </c>
      <c r="RGH16" s="508" t="s">
        <v>581</v>
      </c>
      <c r="RGI16" s="508" t="s">
        <v>581</v>
      </c>
      <c r="RGJ16" s="508" t="s">
        <v>581</v>
      </c>
      <c r="RGK16" s="508" t="s">
        <v>581</v>
      </c>
      <c r="RGL16" s="508" t="s">
        <v>581</v>
      </c>
      <c r="RGM16" s="508" t="s">
        <v>581</v>
      </c>
      <c r="RGN16" s="508" t="s">
        <v>581</v>
      </c>
      <c r="RGO16" s="508" t="s">
        <v>581</v>
      </c>
      <c r="RGP16" s="508" t="s">
        <v>581</v>
      </c>
      <c r="RGQ16" s="508" t="s">
        <v>581</v>
      </c>
      <c r="RGR16" s="508" t="s">
        <v>581</v>
      </c>
      <c r="RGS16" s="508" t="s">
        <v>581</v>
      </c>
      <c r="RGT16" s="508" t="s">
        <v>581</v>
      </c>
      <c r="RGU16" s="508" t="s">
        <v>581</v>
      </c>
      <c r="RGV16" s="508" t="s">
        <v>581</v>
      </c>
      <c r="RGW16" s="508" t="s">
        <v>581</v>
      </c>
      <c r="RGX16" s="508" t="s">
        <v>581</v>
      </c>
      <c r="RGY16" s="508" t="s">
        <v>581</v>
      </c>
      <c r="RGZ16" s="508" t="s">
        <v>581</v>
      </c>
      <c r="RHA16" s="508" t="s">
        <v>581</v>
      </c>
      <c r="RHB16" s="508" t="s">
        <v>581</v>
      </c>
      <c r="RHC16" s="508" t="s">
        <v>581</v>
      </c>
      <c r="RHD16" s="508" t="s">
        <v>581</v>
      </c>
      <c r="RHE16" s="508" t="s">
        <v>581</v>
      </c>
      <c r="RHF16" s="508" t="s">
        <v>581</v>
      </c>
      <c r="RHG16" s="508" t="s">
        <v>581</v>
      </c>
      <c r="RHH16" s="508" t="s">
        <v>581</v>
      </c>
      <c r="RHI16" s="508" t="s">
        <v>581</v>
      </c>
      <c r="RHJ16" s="508" t="s">
        <v>581</v>
      </c>
      <c r="RHK16" s="508" t="s">
        <v>581</v>
      </c>
      <c r="RHL16" s="508" t="s">
        <v>581</v>
      </c>
      <c r="RHM16" s="508" t="s">
        <v>581</v>
      </c>
      <c r="RHN16" s="508" t="s">
        <v>581</v>
      </c>
      <c r="RHO16" s="508" t="s">
        <v>581</v>
      </c>
      <c r="RHP16" s="508" t="s">
        <v>581</v>
      </c>
      <c r="RHQ16" s="508" t="s">
        <v>581</v>
      </c>
      <c r="RHR16" s="508" t="s">
        <v>581</v>
      </c>
      <c r="RHS16" s="508" t="s">
        <v>581</v>
      </c>
      <c r="RHT16" s="508" t="s">
        <v>581</v>
      </c>
      <c r="RHU16" s="508" t="s">
        <v>581</v>
      </c>
      <c r="RHV16" s="508" t="s">
        <v>581</v>
      </c>
      <c r="RHW16" s="508" t="s">
        <v>581</v>
      </c>
      <c r="RHX16" s="508" t="s">
        <v>581</v>
      </c>
      <c r="RHY16" s="508" t="s">
        <v>581</v>
      </c>
      <c r="RHZ16" s="508" t="s">
        <v>581</v>
      </c>
      <c r="RIA16" s="508" t="s">
        <v>581</v>
      </c>
      <c r="RIB16" s="508" t="s">
        <v>581</v>
      </c>
      <c r="RIC16" s="508" t="s">
        <v>581</v>
      </c>
      <c r="RID16" s="508" t="s">
        <v>581</v>
      </c>
      <c r="RIE16" s="508" t="s">
        <v>581</v>
      </c>
      <c r="RIF16" s="508" t="s">
        <v>581</v>
      </c>
      <c r="RIG16" s="508" t="s">
        <v>581</v>
      </c>
      <c r="RIH16" s="508" t="s">
        <v>581</v>
      </c>
      <c r="RII16" s="508" t="s">
        <v>581</v>
      </c>
      <c r="RIJ16" s="508" t="s">
        <v>581</v>
      </c>
      <c r="RIK16" s="508" t="s">
        <v>581</v>
      </c>
      <c r="RIL16" s="508" t="s">
        <v>581</v>
      </c>
      <c r="RIM16" s="508" t="s">
        <v>581</v>
      </c>
      <c r="RIN16" s="508" t="s">
        <v>581</v>
      </c>
      <c r="RIO16" s="508" t="s">
        <v>581</v>
      </c>
      <c r="RIP16" s="508" t="s">
        <v>581</v>
      </c>
      <c r="RIQ16" s="508" t="s">
        <v>581</v>
      </c>
      <c r="RIR16" s="508" t="s">
        <v>581</v>
      </c>
      <c r="RIS16" s="508" t="s">
        <v>581</v>
      </c>
      <c r="RIT16" s="508" t="s">
        <v>581</v>
      </c>
      <c r="RIU16" s="508" t="s">
        <v>581</v>
      </c>
      <c r="RIV16" s="508" t="s">
        <v>581</v>
      </c>
      <c r="RIW16" s="508" t="s">
        <v>581</v>
      </c>
      <c r="RIX16" s="508" t="s">
        <v>581</v>
      </c>
      <c r="RIY16" s="508" t="s">
        <v>581</v>
      </c>
      <c r="RIZ16" s="508" t="s">
        <v>581</v>
      </c>
      <c r="RJA16" s="508" t="s">
        <v>581</v>
      </c>
      <c r="RJB16" s="508" t="s">
        <v>581</v>
      </c>
      <c r="RJC16" s="508" t="s">
        <v>581</v>
      </c>
      <c r="RJD16" s="508" t="s">
        <v>581</v>
      </c>
      <c r="RJE16" s="508" t="s">
        <v>581</v>
      </c>
      <c r="RJF16" s="508" t="s">
        <v>581</v>
      </c>
      <c r="RJG16" s="508" t="s">
        <v>581</v>
      </c>
      <c r="RJH16" s="508" t="s">
        <v>581</v>
      </c>
      <c r="RJI16" s="508" t="s">
        <v>581</v>
      </c>
      <c r="RJJ16" s="508" t="s">
        <v>581</v>
      </c>
      <c r="RJK16" s="508" t="s">
        <v>581</v>
      </c>
      <c r="RJL16" s="508" t="s">
        <v>581</v>
      </c>
      <c r="RJM16" s="508" t="s">
        <v>581</v>
      </c>
      <c r="RJN16" s="508" t="s">
        <v>581</v>
      </c>
      <c r="RJO16" s="508" t="s">
        <v>581</v>
      </c>
      <c r="RJP16" s="508" t="s">
        <v>581</v>
      </c>
      <c r="RJQ16" s="508" t="s">
        <v>581</v>
      </c>
      <c r="RJR16" s="508" t="s">
        <v>581</v>
      </c>
      <c r="RJS16" s="508" t="s">
        <v>581</v>
      </c>
      <c r="RJT16" s="508" t="s">
        <v>581</v>
      </c>
      <c r="RJU16" s="508" t="s">
        <v>581</v>
      </c>
      <c r="RJV16" s="508" t="s">
        <v>581</v>
      </c>
      <c r="RJW16" s="508" t="s">
        <v>581</v>
      </c>
      <c r="RJX16" s="508" t="s">
        <v>581</v>
      </c>
      <c r="RJY16" s="508" t="s">
        <v>581</v>
      </c>
      <c r="RJZ16" s="508" t="s">
        <v>581</v>
      </c>
      <c r="RKA16" s="508" t="s">
        <v>581</v>
      </c>
      <c r="RKB16" s="508" t="s">
        <v>581</v>
      </c>
      <c r="RKC16" s="508" t="s">
        <v>581</v>
      </c>
      <c r="RKD16" s="508" t="s">
        <v>581</v>
      </c>
      <c r="RKE16" s="508" t="s">
        <v>581</v>
      </c>
      <c r="RKF16" s="508" t="s">
        <v>581</v>
      </c>
      <c r="RKG16" s="508" t="s">
        <v>581</v>
      </c>
      <c r="RKH16" s="508" t="s">
        <v>581</v>
      </c>
      <c r="RKI16" s="508" t="s">
        <v>581</v>
      </c>
      <c r="RKJ16" s="508" t="s">
        <v>581</v>
      </c>
      <c r="RKK16" s="508" t="s">
        <v>581</v>
      </c>
      <c r="RKL16" s="508" t="s">
        <v>581</v>
      </c>
      <c r="RKM16" s="508" t="s">
        <v>581</v>
      </c>
      <c r="RKN16" s="508" t="s">
        <v>581</v>
      </c>
      <c r="RKO16" s="508" t="s">
        <v>581</v>
      </c>
      <c r="RKP16" s="508" t="s">
        <v>581</v>
      </c>
      <c r="RKQ16" s="508" t="s">
        <v>581</v>
      </c>
      <c r="RKR16" s="508" t="s">
        <v>581</v>
      </c>
      <c r="RKS16" s="508" t="s">
        <v>581</v>
      </c>
      <c r="RKT16" s="508" t="s">
        <v>581</v>
      </c>
      <c r="RKU16" s="508" t="s">
        <v>581</v>
      </c>
      <c r="RKV16" s="508" t="s">
        <v>581</v>
      </c>
      <c r="RKW16" s="508" t="s">
        <v>581</v>
      </c>
      <c r="RKX16" s="508" t="s">
        <v>581</v>
      </c>
      <c r="RKY16" s="508" t="s">
        <v>581</v>
      </c>
      <c r="RKZ16" s="508" t="s">
        <v>581</v>
      </c>
      <c r="RLA16" s="508" t="s">
        <v>581</v>
      </c>
      <c r="RLB16" s="508" t="s">
        <v>581</v>
      </c>
      <c r="RLC16" s="508" t="s">
        <v>581</v>
      </c>
      <c r="RLD16" s="508" t="s">
        <v>581</v>
      </c>
      <c r="RLE16" s="508" t="s">
        <v>581</v>
      </c>
      <c r="RLF16" s="508" t="s">
        <v>581</v>
      </c>
      <c r="RLG16" s="508" t="s">
        <v>581</v>
      </c>
      <c r="RLH16" s="508" t="s">
        <v>581</v>
      </c>
      <c r="RLI16" s="508" t="s">
        <v>581</v>
      </c>
      <c r="RLJ16" s="508" t="s">
        <v>581</v>
      </c>
      <c r="RLK16" s="508" t="s">
        <v>581</v>
      </c>
      <c r="RLL16" s="508" t="s">
        <v>581</v>
      </c>
      <c r="RLM16" s="508" t="s">
        <v>581</v>
      </c>
      <c r="RLN16" s="508" t="s">
        <v>581</v>
      </c>
      <c r="RLO16" s="508" t="s">
        <v>581</v>
      </c>
      <c r="RLP16" s="508" t="s">
        <v>581</v>
      </c>
      <c r="RLQ16" s="508" t="s">
        <v>581</v>
      </c>
      <c r="RLR16" s="508" t="s">
        <v>581</v>
      </c>
      <c r="RLS16" s="508" t="s">
        <v>581</v>
      </c>
      <c r="RLT16" s="508" t="s">
        <v>581</v>
      </c>
      <c r="RLU16" s="508" t="s">
        <v>581</v>
      </c>
      <c r="RLV16" s="508" t="s">
        <v>581</v>
      </c>
      <c r="RLW16" s="508" t="s">
        <v>581</v>
      </c>
      <c r="RLX16" s="508" t="s">
        <v>581</v>
      </c>
      <c r="RLY16" s="508" t="s">
        <v>581</v>
      </c>
      <c r="RLZ16" s="508" t="s">
        <v>581</v>
      </c>
      <c r="RMA16" s="508" t="s">
        <v>581</v>
      </c>
      <c r="RMB16" s="508" t="s">
        <v>581</v>
      </c>
      <c r="RMC16" s="508" t="s">
        <v>581</v>
      </c>
      <c r="RMD16" s="508" t="s">
        <v>581</v>
      </c>
      <c r="RME16" s="508" t="s">
        <v>581</v>
      </c>
      <c r="RMF16" s="508" t="s">
        <v>581</v>
      </c>
      <c r="RMG16" s="508" t="s">
        <v>581</v>
      </c>
      <c r="RMH16" s="508" t="s">
        <v>581</v>
      </c>
      <c r="RMI16" s="508" t="s">
        <v>581</v>
      </c>
      <c r="RMJ16" s="508" t="s">
        <v>581</v>
      </c>
      <c r="RMK16" s="508" t="s">
        <v>581</v>
      </c>
      <c r="RML16" s="508" t="s">
        <v>581</v>
      </c>
      <c r="RMM16" s="508" t="s">
        <v>581</v>
      </c>
      <c r="RMN16" s="508" t="s">
        <v>581</v>
      </c>
      <c r="RMO16" s="508" t="s">
        <v>581</v>
      </c>
      <c r="RMP16" s="508" t="s">
        <v>581</v>
      </c>
      <c r="RMQ16" s="508" t="s">
        <v>581</v>
      </c>
      <c r="RMR16" s="508" t="s">
        <v>581</v>
      </c>
      <c r="RMS16" s="508" t="s">
        <v>581</v>
      </c>
      <c r="RMT16" s="508" t="s">
        <v>581</v>
      </c>
      <c r="RMU16" s="508" t="s">
        <v>581</v>
      </c>
      <c r="RMV16" s="508" t="s">
        <v>581</v>
      </c>
      <c r="RMW16" s="508" t="s">
        <v>581</v>
      </c>
      <c r="RMX16" s="508" t="s">
        <v>581</v>
      </c>
      <c r="RMY16" s="508" t="s">
        <v>581</v>
      </c>
      <c r="RMZ16" s="508" t="s">
        <v>581</v>
      </c>
      <c r="RNA16" s="508" t="s">
        <v>581</v>
      </c>
      <c r="RNB16" s="508" t="s">
        <v>581</v>
      </c>
      <c r="RNC16" s="508" t="s">
        <v>581</v>
      </c>
      <c r="RND16" s="508" t="s">
        <v>581</v>
      </c>
      <c r="RNE16" s="508" t="s">
        <v>581</v>
      </c>
      <c r="RNF16" s="508" t="s">
        <v>581</v>
      </c>
      <c r="RNG16" s="508" t="s">
        <v>581</v>
      </c>
      <c r="RNH16" s="508" t="s">
        <v>581</v>
      </c>
      <c r="RNI16" s="508" t="s">
        <v>581</v>
      </c>
      <c r="RNJ16" s="508" t="s">
        <v>581</v>
      </c>
      <c r="RNK16" s="508" t="s">
        <v>581</v>
      </c>
      <c r="RNL16" s="508" t="s">
        <v>581</v>
      </c>
      <c r="RNM16" s="508" t="s">
        <v>581</v>
      </c>
      <c r="RNN16" s="508" t="s">
        <v>581</v>
      </c>
      <c r="RNO16" s="508" t="s">
        <v>581</v>
      </c>
      <c r="RNP16" s="508" t="s">
        <v>581</v>
      </c>
      <c r="RNQ16" s="508" t="s">
        <v>581</v>
      </c>
      <c r="RNR16" s="508" t="s">
        <v>581</v>
      </c>
      <c r="RNS16" s="508" t="s">
        <v>581</v>
      </c>
      <c r="RNT16" s="508" t="s">
        <v>581</v>
      </c>
      <c r="RNU16" s="508" t="s">
        <v>581</v>
      </c>
      <c r="RNV16" s="508" t="s">
        <v>581</v>
      </c>
      <c r="RNW16" s="508" t="s">
        <v>581</v>
      </c>
      <c r="RNX16" s="508" t="s">
        <v>581</v>
      </c>
      <c r="RNY16" s="508" t="s">
        <v>581</v>
      </c>
      <c r="RNZ16" s="508" t="s">
        <v>581</v>
      </c>
      <c r="ROA16" s="508" t="s">
        <v>581</v>
      </c>
      <c r="ROB16" s="508" t="s">
        <v>581</v>
      </c>
      <c r="ROC16" s="508" t="s">
        <v>581</v>
      </c>
      <c r="ROD16" s="508" t="s">
        <v>581</v>
      </c>
      <c r="ROE16" s="508" t="s">
        <v>581</v>
      </c>
      <c r="ROF16" s="508" t="s">
        <v>581</v>
      </c>
      <c r="ROG16" s="508" t="s">
        <v>581</v>
      </c>
      <c r="ROH16" s="508" t="s">
        <v>581</v>
      </c>
      <c r="ROI16" s="508" t="s">
        <v>581</v>
      </c>
      <c r="ROJ16" s="508" t="s">
        <v>581</v>
      </c>
      <c r="ROK16" s="508" t="s">
        <v>581</v>
      </c>
      <c r="ROL16" s="508" t="s">
        <v>581</v>
      </c>
      <c r="ROM16" s="508" t="s">
        <v>581</v>
      </c>
      <c r="RON16" s="508" t="s">
        <v>581</v>
      </c>
      <c r="ROO16" s="508" t="s">
        <v>581</v>
      </c>
      <c r="ROP16" s="508" t="s">
        <v>581</v>
      </c>
      <c r="ROQ16" s="508" t="s">
        <v>581</v>
      </c>
      <c r="ROR16" s="508" t="s">
        <v>581</v>
      </c>
      <c r="ROS16" s="508" t="s">
        <v>581</v>
      </c>
      <c r="ROT16" s="508" t="s">
        <v>581</v>
      </c>
      <c r="ROU16" s="508" t="s">
        <v>581</v>
      </c>
      <c r="ROV16" s="508" t="s">
        <v>581</v>
      </c>
      <c r="ROW16" s="508" t="s">
        <v>581</v>
      </c>
      <c r="ROX16" s="508" t="s">
        <v>581</v>
      </c>
      <c r="ROY16" s="508" t="s">
        <v>581</v>
      </c>
      <c r="ROZ16" s="508" t="s">
        <v>581</v>
      </c>
      <c r="RPA16" s="508" t="s">
        <v>581</v>
      </c>
      <c r="RPB16" s="508" t="s">
        <v>581</v>
      </c>
      <c r="RPC16" s="508" t="s">
        <v>581</v>
      </c>
      <c r="RPD16" s="508" t="s">
        <v>581</v>
      </c>
      <c r="RPE16" s="508" t="s">
        <v>581</v>
      </c>
      <c r="RPF16" s="508" t="s">
        <v>581</v>
      </c>
      <c r="RPG16" s="508" t="s">
        <v>581</v>
      </c>
      <c r="RPH16" s="508" t="s">
        <v>581</v>
      </c>
      <c r="RPI16" s="508" t="s">
        <v>581</v>
      </c>
      <c r="RPJ16" s="508" t="s">
        <v>581</v>
      </c>
      <c r="RPK16" s="508" t="s">
        <v>581</v>
      </c>
      <c r="RPL16" s="508" t="s">
        <v>581</v>
      </c>
      <c r="RPM16" s="508" t="s">
        <v>581</v>
      </c>
      <c r="RPN16" s="508" t="s">
        <v>581</v>
      </c>
      <c r="RPO16" s="508" t="s">
        <v>581</v>
      </c>
      <c r="RPP16" s="508" t="s">
        <v>581</v>
      </c>
      <c r="RPQ16" s="508" t="s">
        <v>581</v>
      </c>
      <c r="RPR16" s="508" t="s">
        <v>581</v>
      </c>
      <c r="RPS16" s="508" t="s">
        <v>581</v>
      </c>
      <c r="RPT16" s="508" t="s">
        <v>581</v>
      </c>
      <c r="RPU16" s="508" t="s">
        <v>581</v>
      </c>
      <c r="RPV16" s="508" t="s">
        <v>581</v>
      </c>
      <c r="RPW16" s="508" t="s">
        <v>581</v>
      </c>
      <c r="RPX16" s="508" t="s">
        <v>581</v>
      </c>
      <c r="RPY16" s="508" t="s">
        <v>581</v>
      </c>
      <c r="RPZ16" s="508" t="s">
        <v>581</v>
      </c>
      <c r="RQA16" s="508" t="s">
        <v>581</v>
      </c>
      <c r="RQB16" s="508" t="s">
        <v>581</v>
      </c>
      <c r="RQC16" s="508" t="s">
        <v>581</v>
      </c>
      <c r="RQD16" s="508" t="s">
        <v>581</v>
      </c>
      <c r="RQE16" s="508" t="s">
        <v>581</v>
      </c>
      <c r="RQF16" s="508" t="s">
        <v>581</v>
      </c>
      <c r="RQG16" s="508" t="s">
        <v>581</v>
      </c>
      <c r="RQH16" s="508" t="s">
        <v>581</v>
      </c>
      <c r="RQI16" s="508" t="s">
        <v>581</v>
      </c>
      <c r="RQJ16" s="508" t="s">
        <v>581</v>
      </c>
      <c r="RQK16" s="508" t="s">
        <v>581</v>
      </c>
      <c r="RQL16" s="508" t="s">
        <v>581</v>
      </c>
      <c r="RQM16" s="508" t="s">
        <v>581</v>
      </c>
      <c r="RQN16" s="508" t="s">
        <v>581</v>
      </c>
      <c r="RQO16" s="508" t="s">
        <v>581</v>
      </c>
      <c r="RQP16" s="508" t="s">
        <v>581</v>
      </c>
      <c r="RQQ16" s="508" t="s">
        <v>581</v>
      </c>
      <c r="RQR16" s="508" t="s">
        <v>581</v>
      </c>
      <c r="RQS16" s="508" t="s">
        <v>581</v>
      </c>
      <c r="RQT16" s="508" t="s">
        <v>581</v>
      </c>
      <c r="RQU16" s="508" t="s">
        <v>581</v>
      </c>
      <c r="RQV16" s="508" t="s">
        <v>581</v>
      </c>
      <c r="RQW16" s="508" t="s">
        <v>581</v>
      </c>
      <c r="RQX16" s="508" t="s">
        <v>581</v>
      </c>
      <c r="RQY16" s="508" t="s">
        <v>581</v>
      </c>
      <c r="RQZ16" s="508" t="s">
        <v>581</v>
      </c>
      <c r="RRA16" s="508" t="s">
        <v>581</v>
      </c>
      <c r="RRB16" s="508" t="s">
        <v>581</v>
      </c>
      <c r="RRC16" s="508" t="s">
        <v>581</v>
      </c>
      <c r="RRD16" s="508" t="s">
        <v>581</v>
      </c>
      <c r="RRE16" s="508" t="s">
        <v>581</v>
      </c>
      <c r="RRF16" s="508" t="s">
        <v>581</v>
      </c>
      <c r="RRG16" s="508" t="s">
        <v>581</v>
      </c>
      <c r="RRH16" s="508" t="s">
        <v>581</v>
      </c>
      <c r="RRI16" s="508" t="s">
        <v>581</v>
      </c>
      <c r="RRJ16" s="508" t="s">
        <v>581</v>
      </c>
      <c r="RRK16" s="508" t="s">
        <v>581</v>
      </c>
      <c r="RRL16" s="508" t="s">
        <v>581</v>
      </c>
      <c r="RRM16" s="508" t="s">
        <v>581</v>
      </c>
      <c r="RRN16" s="508" t="s">
        <v>581</v>
      </c>
      <c r="RRO16" s="508" t="s">
        <v>581</v>
      </c>
      <c r="RRP16" s="508" t="s">
        <v>581</v>
      </c>
      <c r="RRQ16" s="508" t="s">
        <v>581</v>
      </c>
      <c r="RRR16" s="508" t="s">
        <v>581</v>
      </c>
      <c r="RRS16" s="508" t="s">
        <v>581</v>
      </c>
      <c r="RRT16" s="508" t="s">
        <v>581</v>
      </c>
      <c r="RRU16" s="508" t="s">
        <v>581</v>
      </c>
      <c r="RRV16" s="508" t="s">
        <v>581</v>
      </c>
      <c r="RRW16" s="508" t="s">
        <v>581</v>
      </c>
      <c r="RRX16" s="508" t="s">
        <v>581</v>
      </c>
      <c r="RRY16" s="508" t="s">
        <v>581</v>
      </c>
      <c r="RRZ16" s="508" t="s">
        <v>581</v>
      </c>
      <c r="RSA16" s="508" t="s">
        <v>581</v>
      </c>
      <c r="RSB16" s="508" t="s">
        <v>581</v>
      </c>
      <c r="RSC16" s="508" t="s">
        <v>581</v>
      </c>
      <c r="RSD16" s="508" t="s">
        <v>581</v>
      </c>
      <c r="RSE16" s="508" t="s">
        <v>581</v>
      </c>
      <c r="RSF16" s="508" t="s">
        <v>581</v>
      </c>
      <c r="RSG16" s="508" t="s">
        <v>581</v>
      </c>
      <c r="RSH16" s="508" t="s">
        <v>581</v>
      </c>
      <c r="RSI16" s="508" t="s">
        <v>581</v>
      </c>
      <c r="RSJ16" s="508" t="s">
        <v>581</v>
      </c>
      <c r="RSK16" s="508" t="s">
        <v>581</v>
      </c>
      <c r="RSL16" s="508" t="s">
        <v>581</v>
      </c>
      <c r="RSM16" s="508" t="s">
        <v>581</v>
      </c>
      <c r="RSN16" s="508" t="s">
        <v>581</v>
      </c>
      <c r="RSO16" s="508" t="s">
        <v>581</v>
      </c>
      <c r="RSP16" s="508" t="s">
        <v>581</v>
      </c>
      <c r="RSQ16" s="508" t="s">
        <v>581</v>
      </c>
      <c r="RSR16" s="508" t="s">
        <v>581</v>
      </c>
      <c r="RSS16" s="508" t="s">
        <v>581</v>
      </c>
      <c r="RST16" s="508" t="s">
        <v>581</v>
      </c>
      <c r="RSU16" s="508" t="s">
        <v>581</v>
      </c>
      <c r="RSV16" s="508" t="s">
        <v>581</v>
      </c>
      <c r="RSW16" s="508" t="s">
        <v>581</v>
      </c>
      <c r="RSX16" s="508" t="s">
        <v>581</v>
      </c>
      <c r="RSY16" s="508" t="s">
        <v>581</v>
      </c>
      <c r="RSZ16" s="508" t="s">
        <v>581</v>
      </c>
      <c r="RTA16" s="508" t="s">
        <v>581</v>
      </c>
      <c r="RTB16" s="508" t="s">
        <v>581</v>
      </c>
      <c r="RTC16" s="508" t="s">
        <v>581</v>
      </c>
      <c r="RTD16" s="508" t="s">
        <v>581</v>
      </c>
      <c r="RTE16" s="508" t="s">
        <v>581</v>
      </c>
      <c r="RTF16" s="508" t="s">
        <v>581</v>
      </c>
      <c r="RTG16" s="508" t="s">
        <v>581</v>
      </c>
      <c r="RTH16" s="508" t="s">
        <v>581</v>
      </c>
      <c r="RTI16" s="508" t="s">
        <v>581</v>
      </c>
      <c r="RTJ16" s="508" t="s">
        <v>581</v>
      </c>
      <c r="RTK16" s="508" t="s">
        <v>581</v>
      </c>
      <c r="RTL16" s="508" t="s">
        <v>581</v>
      </c>
      <c r="RTM16" s="508" t="s">
        <v>581</v>
      </c>
      <c r="RTN16" s="508" t="s">
        <v>581</v>
      </c>
      <c r="RTO16" s="508" t="s">
        <v>581</v>
      </c>
      <c r="RTP16" s="508" t="s">
        <v>581</v>
      </c>
      <c r="RTQ16" s="508" t="s">
        <v>581</v>
      </c>
      <c r="RTR16" s="508" t="s">
        <v>581</v>
      </c>
      <c r="RTS16" s="508" t="s">
        <v>581</v>
      </c>
      <c r="RTT16" s="508" t="s">
        <v>581</v>
      </c>
      <c r="RTU16" s="508" t="s">
        <v>581</v>
      </c>
      <c r="RTV16" s="508" t="s">
        <v>581</v>
      </c>
      <c r="RTW16" s="508" t="s">
        <v>581</v>
      </c>
      <c r="RTX16" s="508" t="s">
        <v>581</v>
      </c>
      <c r="RTY16" s="508" t="s">
        <v>581</v>
      </c>
      <c r="RTZ16" s="508" t="s">
        <v>581</v>
      </c>
      <c r="RUA16" s="508" t="s">
        <v>581</v>
      </c>
      <c r="RUB16" s="508" t="s">
        <v>581</v>
      </c>
      <c r="RUC16" s="508" t="s">
        <v>581</v>
      </c>
      <c r="RUD16" s="508" t="s">
        <v>581</v>
      </c>
      <c r="RUE16" s="508" t="s">
        <v>581</v>
      </c>
      <c r="RUF16" s="508" t="s">
        <v>581</v>
      </c>
      <c r="RUG16" s="508" t="s">
        <v>581</v>
      </c>
      <c r="RUH16" s="508" t="s">
        <v>581</v>
      </c>
      <c r="RUI16" s="508" t="s">
        <v>581</v>
      </c>
      <c r="RUJ16" s="508" t="s">
        <v>581</v>
      </c>
      <c r="RUK16" s="508" t="s">
        <v>581</v>
      </c>
      <c r="RUL16" s="508" t="s">
        <v>581</v>
      </c>
      <c r="RUM16" s="508" t="s">
        <v>581</v>
      </c>
      <c r="RUN16" s="508" t="s">
        <v>581</v>
      </c>
      <c r="RUO16" s="508" t="s">
        <v>581</v>
      </c>
      <c r="RUP16" s="508" t="s">
        <v>581</v>
      </c>
      <c r="RUQ16" s="508" t="s">
        <v>581</v>
      </c>
      <c r="RUR16" s="508" t="s">
        <v>581</v>
      </c>
      <c r="RUS16" s="508" t="s">
        <v>581</v>
      </c>
      <c r="RUT16" s="508" t="s">
        <v>581</v>
      </c>
      <c r="RUU16" s="508" t="s">
        <v>581</v>
      </c>
      <c r="RUV16" s="508" t="s">
        <v>581</v>
      </c>
      <c r="RUW16" s="508" t="s">
        <v>581</v>
      </c>
      <c r="RUX16" s="508" t="s">
        <v>581</v>
      </c>
      <c r="RUY16" s="508" t="s">
        <v>581</v>
      </c>
      <c r="RUZ16" s="508" t="s">
        <v>581</v>
      </c>
      <c r="RVA16" s="508" t="s">
        <v>581</v>
      </c>
      <c r="RVB16" s="508" t="s">
        <v>581</v>
      </c>
      <c r="RVC16" s="508" t="s">
        <v>581</v>
      </c>
      <c r="RVD16" s="508" t="s">
        <v>581</v>
      </c>
      <c r="RVE16" s="508" t="s">
        <v>581</v>
      </c>
      <c r="RVF16" s="508" t="s">
        <v>581</v>
      </c>
      <c r="RVG16" s="508" t="s">
        <v>581</v>
      </c>
      <c r="RVH16" s="508" t="s">
        <v>581</v>
      </c>
      <c r="RVI16" s="508" t="s">
        <v>581</v>
      </c>
      <c r="RVJ16" s="508" t="s">
        <v>581</v>
      </c>
      <c r="RVK16" s="508" t="s">
        <v>581</v>
      </c>
      <c r="RVL16" s="508" t="s">
        <v>581</v>
      </c>
      <c r="RVM16" s="508" t="s">
        <v>581</v>
      </c>
      <c r="RVN16" s="508" t="s">
        <v>581</v>
      </c>
      <c r="RVO16" s="508" t="s">
        <v>581</v>
      </c>
      <c r="RVP16" s="508" t="s">
        <v>581</v>
      </c>
      <c r="RVQ16" s="508" t="s">
        <v>581</v>
      </c>
      <c r="RVR16" s="508" t="s">
        <v>581</v>
      </c>
      <c r="RVS16" s="508" t="s">
        <v>581</v>
      </c>
      <c r="RVT16" s="508" t="s">
        <v>581</v>
      </c>
      <c r="RVU16" s="508" t="s">
        <v>581</v>
      </c>
      <c r="RVV16" s="508" t="s">
        <v>581</v>
      </c>
      <c r="RVW16" s="508" t="s">
        <v>581</v>
      </c>
      <c r="RVX16" s="508" t="s">
        <v>581</v>
      </c>
      <c r="RVY16" s="508" t="s">
        <v>581</v>
      </c>
      <c r="RVZ16" s="508" t="s">
        <v>581</v>
      </c>
      <c r="RWA16" s="508" t="s">
        <v>581</v>
      </c>
      <c r="RWB16" s="508" t="s">
        <v>581</v>
      </c>
      <c r="RWC16" s="508" t="s">
        <v>581</v>
      </c>
      <c r="RWD16" s="508" t="s">
        <v>581</v>
      </c>
      <c r="RWE16" s="508" t="s">
        <v>581</v>
      </c>
      <c r="RWF16" s="508" t="s">
        <v>581</v>
      </c>
      <c r="RWG16" s="508" t="s">
        <v>581</v>
      </c>
      <c r="RWH16" s="508" t="s">
        <v>581</v>
      </c>
      <c r="RWI16" s="508" t="s">
        <v>581</v>
      </c>
      <c r="RWJ16" s="508" t="s">
        <v>581</v>
      </c>
      <c r="RWK16" s="508" t="s">
        <v>581</v>
      </c>
      <c r="RWL16" s="508" t="s">
        <v>581</v>
      </c>
      <c r="RWM16" s="508" t="s">
        <v>581</v>
      </c>
      <c r="RWN16" s="508" t="s">
        <v>581</v>
      </c>
      <c r="RWO16" s="508" t="s">
        <v>581</v>
      </c>
      <c r="RWP16" s="508" t="s">
        <v>581</v>
      </c>
      <c r="RWQ16" s="508" t="s">
        <v>581</v>
      </c>
      <c r="RWR16" s="508" t="s">
        <v>581</v>
      </c>
      <c r="RWS16" s="508" t="s">
        <v>581</v>
      </c>
      <c r="RWT16" s="508" t="s">
        <v>581</v>
      </c>
      <c r="RWU16" s="508" t="s">
        <v>581</v>
      </c>
      <c r="RWV16" s="508" t="s">
        <v>581</v>
      </c>
      <c r="RWW16" s="508" t="s">
        <v>581</v>
      </c>
      <c r="RWX16" s="508" t="s">
        <v>581</v>
      </c>
      <c r="RWY16" s="508" t="s">
        <v>581</v>
      </c>
      <c r="RWZ16" s="508" t="s">
        <v>581</v>
      </c>
      <c r="RXA16" s="508" t="s">
        <v>581</v>
      </c>
      <c r="RXB16" s="508" t="s">
        <v>581</v>
      </c>
      <c r="RXC16" s="508" t="s">
        <v>581</v>
      </c>
      <c r="RXD16" s="508" t="s">
        <v>581</v>
      </c>
      <c r="RXE16" s="508" t="s">
        <v>581</v>
      </c>
      <c r="RXF16" s="508" t="s">
        <v>581</v>
      </c>
      <c r="RXG16" s="508" t="s">
        <v>581</v>
      </c>
      <c r="RXH16" s="508" t="s">
        <v>581</v>
      </c>
      <c r="RXI16" s="508" t="s">
        <v>581</v>
      </c>
      <c r="RXJ16" s="508" t="s">
        <v>581</v>
      </c>
      <c r="RXK16" s="508" t="s">
        <v>581</v>
      </c>
      <c r="RXL16" s="508" t="s">
        <v>581</v>
      </c>
      <c r="RXM16" s="508" t="s">
        <v>581</v>
      </c>
      <c r="RXN16" s="508" t="s">
        <v>581</v>
      </c>
      <c r="RXO16" s="508" t="s">
        <v>581</v>
      </c>
      <c r="RXP16" s="508" t="s">
        <v>581</v>
      </c>
      <c r="RXQ16" s="508" t="s">
        <v>581</v>
      </c>
      <c r="RXR16" s="508" t="s">
        <v>581</v>
      </c>
      <c r="RXS16" s="508" t="s">
        <v>581</v>
      </c>
      <c r="RXT16" s="508" t="s">
        <v>581</v>
      </c>
      <c r="RXU16" s="508" t="s">
        <v>581</v>
      </c>
      <c r="RXV16" s="508" t="s">
        <v>581</v>
      </c>
      <c r="RXW16" s="508" t="s">
        <v>581</v>
      </c>
      <c r="RXX16" s="508" t="s">
        <v>581</v>
      </c>
      <c r="RXY16" s="508" t="s">
        <v>581</v>
      </c>
      <c r="RXZ16" s="508" t="s">
        <v>581</v>
      </c>
      <c r="RYA16" s="508" t="s">
        <v>581</v>
      </c>
      <c r="RYB16" s="508" t="s">
        <v>581</v>
      </c>
      <c r="RYC16" s="508" t="s">
        <v>581</v>
      </c>
      <c r="RYD16" s="508" t="s">
        <v>581</v>
      </c>
      <c r="RYE16" s="508" t="s">
        <v>581</v>
      </c>
      <c r="RYF16" s="508" t="s">
        <v>581</v>
      </c>
      <c r="RYG16" s="508" t="s">
        <v>581</v>
      </c>
      <c r="RYH16" s="508" t="s">
        <v>581</v>
      </c>
      <c r="RYI16" s="508" t="s">
        <v>581</v>
      </c>
      <c r="RYJ16" s="508" t="s">
        <v>581</v>
      </c>
      <c r="RYK16" s="508" t="s">
        <v>581</v>
      </c>
      <c r="RYL16" s="508" t="s">
        <v>581</v>
      </c>
      <c r="RYM16" s="508" t="s">
        <v>581</v>
      </c>
      <c r="RYN16" s="508" t="s">
        <v>581</v>
      </c>
      <c r="RYO16" s="508" t="s">
        <v>581</v>
      </c>
      <c r="RYP16" s="508" t="s">
        <v>581</v>
      </c>
      <c r="RYQ16" s="508" t="s">
        <v>581</v>
      </c>
      <c r="RYR16" s="508" t="s">
        <v>581</v>
      </c>
      <c r="RYS16" s="508" t="s">
        <v>581</v>
      </c>
      <c r="RYT16" s="508" t="s">
        <v>581</v>
      </c>
      <c r="RYU16" s="508" t="s">
        <v>581</v>
      </c>
      <c r="RYV16" s="508" t="s">
        <v>581</v>
      </c>
      <c r="RYW16" s="508" t="s">
        <v>581</v>
      </c>
      <c r="RYX16" s="508" t="s">
        <v>581</v>
      </c>
      <c r="RYY16" s="508" t="s">
        <v>581</v>
      </c>
      <c r="RYZ16" s="508" t="s">
        <v>581</v>
      </c>
      <c r="RZA16" s="508" t="s">
        <v>581</v>
      </c>
      <c r="RZB16" s="508" t="s">
        <v>581</v>
      </c>
      <c r="RZC16" s="508" t="s">
        <v>581</v>
      </c>
      <c r="RZD16" s="508" t="s">
        <v>581</v>
      </c>
      <c r="RZE16" s="508" t="s">
        <v>581</v>
      </c>
      <c r="RZF16" s="508" t="s">
        <v>581</v>
      </c>
      <c r="RZG16" s="508" t="s">
        <v>581</v>
      </c>
      <c r="RZH16" s="508" t="s">
        <v>581</v>
      </c>
      <c r="RZI16" s="508" t="s">
        <v>581</v>
      </c>
      <c r="RZJ16" s="508" t="s">
        <v>581</v>
      </c>
      <c r="RZK16" s="508" t="s">
        <v>581</v>
      </c>
      <c r="RZL16" s="508" t="s">
        <v>581</v>
      </c>
      <c r="RZM16" s="508" t="s">
        <v>581</v>
      </c>
      <c r="RZN16" s="508" t="s">
        <v>581</v>
      </c>
      <c r="RZO16" s="508" t="s">
        <v>581</v>
      </c>
      <c r="RZP16" s="508" t="s">
        <v>581</v>
      </c>
      <c r="RZQ16" s="508" t="s">
        <v>581</v>
      </c>
      <c r="RZR16" s="508" t="s">
        <v>581</v>
      </c>
      <c r="RZS16" s="508" t="s">
        <v>581</v>
      </c>
      <c r="RZT16" s="508" t="s">
        <v>581</v>
      </c>
      <c r="RZU16" s="508" t="s">
        <v>581</v>
      </c>
      <c r="RZV16" s="508" t="s">
        <v>581</v>
      </c>
      <c r="RZW16" s="508" t="s">
        <v>581</v>
      </c>
      <c r="RZX16" s="508" t="s">
        <v>581</v>
      </c>
      <c r="RZY16" s="508" t="s">
        <v>581</v>
      </c>
      <c r="RZZ16" s="508" t="s">
        <v>581</v>
      </c>
      <c r="SAA16" s="508" t="s">
        <v>581</v>
      </c>
      <c r="SAB16" s="508" t="s">
        <v>581</v>
      </c>
      <c r="SAC16" s="508" t="s">
        <v>581</v>
      </c>
      <c r="SAD16" s="508" t="s">
        <v>581</v>
      </c>
      <c r="SAE16" s="508" t="s">
        <v>581</v>
      </c>
      <c r="SAF16" s="508" t="s">
        <v>581</v>
      </c>
      <c r="SAG16" s="508" t="s">
        <v>581</v>
      </c>
      <c r="SAH16" s="508" t="s">
        <v>581</v>
      </c>
      <c r="SAI16" s="508" t="s">
        <v>581</v>
      </c>
      <c r="SAJ16" s="508" t="s">
        <v>581</v>
      </c>
      <c r="SAK16" s="508" t="s">
        <v>581</v>
      </c>
      <c r="SAL16" s="508" t="s">
        <v>581</v>
      </c>
      <c r="SAM16" s="508" t="s">
        <v>581</v>
      </c>
      <c r="SAN16" s="508" t="s">
        <v>581</v>
      </c>
      <c r="SAO16" s="508" t="s">
        <v>581</v>
      </c>
      <c r="SAP16" s="508" t="s">
        <v>581</v>
      </c>
      <c r="SAQ16" s="508" t="s">
        <v>581</v>
      </c>
      <c r="SAR16" s="508" t="s">
        <v>581</v>
      </c>
      <c r="SAS16" s="508" t="s">
        <v>581</v>
      </c>
      <c r="SAT16" s="508" t="s">
        <v>581</v>
      </c>
      <c r="SAU16" s="508" t="s">
        <v>581</v>
      </c>
      <c r="SAV16" s="508" t="s">
        <v>581</v>
      </c>
      <c r="SAW16" s="508" t="s">
        <v>581</v>
      </c>
      <c r="SAX16" s="508" t="s">
        <v>581</v>
      </c>
      <c r="SAY16" s="508" t="s">
        <v>581</v>
      </c>
      <c r="SAZ16" s="508" t="s">
        <v>581</v>
      </c>
      <c r="SBA16" s="508" t="s">
        <v>581</v>
      </c>
      <c r="SBB16" s="508" t="s">
        <v>581</v>
      </c>
      <c r="SBC16" s="508" t="s">
        <v>581</v>
      </c>
      <c r="SBD16" s="508" t="s">
        <v>581</v>
      </c>
      <c r="SBE16" s="508" t="s">
        <v>581</v>
      </c>
      <c r="SBF16" s="508" t="s">
        <v>581</v>
      </c>
      <c r="SBG16" s="508" t="s">
        <v>581</v>
      </c>
      <c r="SBH16" s="508" t="s">
        <v>581</v>
      </c>
      <c r="SBI16" s="508" t="s">
        <v>581</v>
      </c>
      <c r="SBJ16" s="508" t="s">
        <v>581</v>
      </c>
      <c r="SBK16" s="508" t="s">
        <v>581</v>
      </c>
      <c r="SBL16" s="508" t="s">
        <v>581</v>
      </c>
      <c r="SBM16" s="508" t="s">
        <v>581</v>
      </c>
      <c r="SBN16" s="508" t="s">
        <v>581</v>
      </c>
      <c r="SBO16" s="508" t="s">
        <v>581</v>
      </c>
      <c r="SBP16" s="508" t="s">
        <v>581</v>
      </c>
      <c r="SBQ16" s="508" t="s">
        <v>581</v>
      </c>
      <c r="SBR16" s="508" t="s">
        <v>581</v>
      </c>
      <c r="SBS16" s="508" t="s">
        <v>581</v>
      </c>
      <c r="SBT16" s="508" t="s">
        <v>581</v>
      </c>
      <c r="SBU16" s="508" t="s">
        <v>581</v>
      </c>
      <c r="SBV16" s="508" t="s">
        <v>581</v>
      </c>
      <c r="SBW16" s="508" t="s">
        <v>581</v>
      </c>
      <c r="SBX16" s="508" t="s">
        <v>581</v>
      </c>
      <c r="SBY16" s="508" t="s">
        <v>581</v>
      </c>
      <c r="SBZ16" s="508" t="s">
        <v>581</v>
      </c>
      <c r="SCA16" s="508" t="s">
        <v>581</v>
      </c>
      <c r="SCB16" s="508" t="s">
        <v>581</v>
      </c>
      <c r="SCC16" s="508" t="s">
        <v>581</v>
      </c>
      <c r="SCD16" s="508" t="s">
        <v>581</v>
      </c>
      <c r="SCE16" s="508" t="s">
        <v>581</v>
      </c>
      <c r="SCF16" s="508" t="s">
        <v>581</v>
      </c>
      <c r="SCG16" s="508" t="s">
        <v>581</v>
      </c>
      <c r="SCH16" s="508" t="s">
        <v>581</v>
      </c>
      <c r="SCI16" s="508" t="s">
        <v>581</v>
      </c>
      <c r="SCJ16" s="508" t="s">
        <v>581</v>
      </c>
      <c r="SCK16" s="508" t="s">
        <v>581</v>
      </c>
      <c r="SCL16" s="508" t="s">
        <v>581</v>
      </c>
      <c r="SCM16" s="508" t="s">
        <v>581</v>
      </c>
      <c r="SCN16" s="508" t="s">
        <v>581</v>
      </c>
      <c r="SCO16" s="508" t="s">
        <v>581</v>
      </c>
      <c r="SCP16" s="508" t="s">
        <v>581</v>
      </c>
      <c r="SCQ16" s="508" t="s">
        <v>581</v>
      </c>
      <c r="SCR16" s="508" t="s">
        <v>581</v>
      </c>
      <c r="SCS16" s="508" t="s">
        <v>581</v>
      </c>
      <c r="SCT16" s="508" t="s">
        <v>581</v>
      </c>
      <c r="SCU16" s="508" t="s">
        <v>581</v>
      </c>
      <c r="SCV16" s="508" t="s">
        <v>581</v>
      </c>
      <c r="SCW16" s="508" t="s">
        <v>581</v>
      </c>
      <c r="SCX16" s="508" t="s">
        <v>581</v>
      </c>
      <c r="SCY16" s="508" t="s">
        <v>581</v>
      </c>
      <c r="SCZ16" s="508" t="s">
        <v>581</v>
      </c>
      <c r="SDA16" s="508" t="s">
        <v>581</v>
      </c>
      <c r="SDB16" s="508" t="s">
        <v>581</v>
      </c>
      <c r="SDC16" s="508" t="s">
        <v>581</v>
      </c>
      <c r="SDD16" s="508" t="s">
        <v>581</v>
      </c>
      <c r="SDE16" s="508" t="s">
        <v>581</v>
      </c>
      <c r="SDF16" s="508" t="s">
        <v>581</v>
      </c>
      <c r="SDG16" s="508" t="s">
        <v>581</v>
      </c>
      <c r="SDH16" s="508" t="s">
        <v>581</v>
      </c>
      <c r="SDI16" s="508" t="s">
        <v>581</v>
      </c>
      <c r="SDJ16" s="508" t="s">
        <v>581</v>
      </c>
      <c r="SDK16" s="508" t="s">
        <v>581</v>
      </c>
      <c r="SDL16" s="508" t="s">
        <v>581</v>
      </c>
      <c r="SDM16" s="508" t="s">
        <v>581</v>
      </c>
      <c r="SDN16" s="508" t="s">
        <v>581</v>
      </c>
      <c r="SDO16" s="508" t="s">
        <v>581</v>
      </c>
      <c r="SDP16" s="508" t="s">
        <v>581</v>
      </c>
      <c r="SDQ16" s="508" t="s">
        <v>581</v>
      </c>
      <c r="SDR16" s="508" t="s">
        <v>581</v>
      </c>
      <c r="SDS16" s="508" t="s">
        <v>581</v>
      </c>
      <c r="SDT16" s="508" t="s">
        <v>581</v>
      </c>
      <c r="SDU16" s="508" t="s">
        <v>581</v>
      </c>
      <c r="SDV16" s="508" t="s">
        <v>581</v>
      </c>
      <c r="SDW16" s="508" t="s">
        <v>581</v>
      </c>
      <c r="SDX16" s="508" t="s">
        <v>581</v>
      </c>
      <c r="SDY16" s="508" t="s">
        <v>581</v>
      </c>
      <c r="SDZ16" s="508" t="s">
        <v>581</v>
      </c>
      <c r="SEA16" s="508" t="s">
        <v>581</v>
      </c>
      <c r="SEB16" s="508" t="s">
        <v>581</v>
      </c>
      <c r="SEC16" s="508" t="s">
        <v>581</v>
      </c>
      <c r="SED16" s="508" t="s">
        <v>581</v>
      </c>
      <c r="SEE16" s="508" t="s">
        <v>581</v>
      </c>
      <c r="SEF16" s="508" t="s">
        <v>581</v>
      </c>
      <c r="SEG16" s="508" t="s">
        <v>581</v>
      </c>
      <c r="SEH16" s="508" t="s">
        <v>581</v>
      </c>
      <c r="SEI16" s="508" t="s">
        <v>581</v>
      </c>
      <c r="SEJ16" s="508" t="s">
        <v>581</v>
      </c>
      <c r="SEK16" s="508" t="s">
        <v>581</v>
      </c>
      <c r="SEL16" s="508" t="s">
        <v>581</v>
      </c>
      <c r="SEM16" s="508" t="s">
        <v>581</v>
      </c>
      <c r="SEN16" s="508" t="s">
        <v>581</v>
      </c>
      <c r="SEO16" s="508" t="s">
        <v>581</v>
      </c>
      <c r="SEP16" s="508" t="s">
        <v>581</v>
      </c>
      <c r="SEQ16" s="508" t="s">
        <v>581</v>
      </c>
      <c r="SER16" s="508" t="s">
        <v>581</v>
      </c>
      <c r="SES16" s="508" t="s">
        <v>581</v>
      </c>
      <c r="SET16" s="508" t="s">
        <v>581</v>
      </c>
      <c r="SEU16" s="508" t="s">
        <v>581</v>
      </c>
      <c r="SEV16" s="508" t="s">
        <v>581</v>
      </c>
      <c r="SEW16" s="508" t="s">
        <v>581</v>
      </c>
      <c r="SEX16" s="508" t="s">
        <v>581</v>
      </c>
      <c r="SEY16" s="508" t="s">
        <v>581</v>
      </c>
      <c r="SEZ16" s="508" t="s">
        <v>581</v>
      </c>
      <c r="SFA16" s="508" t="s">
        <v>581</v>
      </c>
      <c r="SFB16" s="508" t="s">
        <v>581</v>
      </c>
      <c r="SFC16" s="508" t="s">
        <v>581</v>
      </c>
      <c r="SFD16" s="508" t="s">
        <v>581</v>
      </c>
      <c r="SFE16" s="508" t="s">
        <v>581</v>
      </c>
      <c r="SFF16" s="508" t="s">
        <v>581</v>
      </c>
      <c r="SFG16" s="508" t="s">
        <v>581</v>
      </c>
      <c r="SFH16" s="508" t="s">
        <v>581</v>
      </c>
      <c r="SFI16" s="508" t="s">
        <v>581</v>
      </c>
      <c r="SFJ16" s="508" t="s">
        <v>581</v>
      </c>
      <c r="SFK16" s="508" t="s">
        <v>581</v>
      </c>
      <c r="SFL16" s="508" t="s">
        <v>581</v>
      </c>
      <c r="SFM16" s="508" t="s">
        <v>581</v>
      </c>
      <c r="SFN16" s="508" t="s">
        <v>581</v>
      </c>
      <c r="SFO16" s="508" t="s">
        <v>581</v>
      </c>
      <c r="SFP16" s="508" t="s">
        <v>581</v>
      </c>
      <c r="SFQ16" s="508" t="s">
        <v>581</v>
      </c>
      <c r="SFR16" s="508" t="s">
        <v>581</v>
      </c>
      <c r="SFS16" s="508" t="s">
        <v>581</v>
      </c>
      <c r="SFT16" s="508" t="s">
        <v>581</v>
      </c>
      <c r="SFU16" s="508" t="s">
        <v>581</v>
      </c>
      <c r="SFV16" s="508" t="s">
        <v>581</v>
      </c>
      <c r="SFW16" s="508" t="s">
        <v>581</v>
      </c>
      <c r="SFX16" s="508" t="s">
        <v>581</v>
      </c>
      <c r="SFY16" s="508" t="s">
        <v>581</v>
      </c>
      <c r="SFZ16" s="508" t="s">
        <v>581</v>
      </c>
      <c r="SGA16" s="508" t="s">
        <v>581</v>
      </c>
      <c r="SGB16" s="508" t="s">
        <v>581</v>
      </c>
      <c r="SGC16" s="508" t="s">
        <v>581</v>
      </c>
      <c r="SGD16" s="508" t="s">
        <v>581</v>
      </c>
      <c r="SGE16" s="508" t="s">
        <v>581</v>
      </c>
      <c r="SGF16" s="508" t="s">
        <v>581</v>
      </c>
      <c r="SGG16" s="508" t="s">
        <v>581</v>
      </c>
      <c r="SGH16" s="508" t="s">
        <v>581</v>
      </c>
      <c r="SGI16" s="508" t="s">
        <v>581</v>
      </c>
      <c r="SGJ16" s="508" t="s">
        <v>581</v>
      </c>
      <c r="SGK16" s="508" t="s">
        <v>581</v>
      </c>
      <c r="SGL16" s="508" t="s">
        <v>581</v>
      </c>
      <c r="SGM16" s="508" t="s">
        <v>581</v>
      </c>
      <c r="SGN16" s="508" t="s">
        <v>581</v>
      </c>
      <c r="SGO16" s="508" t="s">
        <v>581</v>
      </c>
      <c r="SGP16" s="508" t="s">
        <v>581</v>
      </c>
      <c r="SGQ16" s="508" t="s">
        <v>581</v>
      </c>
      <c r="SGR16" s="508" t="s">
        <v>581</v>
      </c>
      <c r="SGS16" s="508" t="s">
        <v>581</v>
      </c>
      <c r="SGT16" s="508" t="s">
        <v>581</v>
      </c>
      <c r="SGU16" s="508" t="s">
        <v>581</v>
      </c>
      <c r="SGV16" s="508" t="s">
        <v>581</v>
      </c>
      <c r="SGW16" s="508" t="s">
        <v>581</v>
      </c>
      <c r="SGX16" s="508" t="s">
        <v>581</v>
      </c>
      <c r="SGY16" s="508" t="s">
        <v>581</v>
      </c>
      <c r="SGZ16" s="508" t="s">
        <v>581</v>
      </c>
      <c r="SHA16" s="508" t="s">
        <v>581</v>
      </c>
      <c r="SHB16" s="508" t="s">
        <v>581</v>
      </c>
      <c r="SHC16" s="508" t="s">
        <v>581</v>
      </c>
      <c r="SHD16" s="508" t="s">
        <v>581</v>
      </c>
      <c r="SHE16" s="508" t="s">
        <v>581</v>
      </c>
      <c r="SHF16" s="508" t="s">
        <v>581</v>
      </c>
      <c r="SHG16" s="508" t="s">
        <v>581</v>
      </c>
      <c r="SHH16" s="508" t="s">
        <v>581</v>
      </c>
      <c r="SHI16" s="508" t="s">
        <v>581</v>
      </c>
      <c r="SHJ16" s="508" t="s">
        <v>581</v>
      </c>
      <c r="SHK16" s="508" t="s">
        <v>581</v>
      </c>
      <c r="SHL16" s="508" t="s">
        <v>581</v>
      </c>
      <c r="SHM16" s="508" t="s">
        <v>581</v>
      </c>
      <c r="SHN16" s="508" t="s">
        <v>581</v>
      </c>
      <c r="SHO16" s="508" t="s">
        <v>581</v>
      </c>
      <c r="SHP16" s="508" t="s">
        <v>581</v>
      </c>
      <c r="SHQ16" s="508" t="s">
        <v>581</v>
      </c>
      <c r="SHR16" s="508" t="s">
        <v>581</v>
      </c>
      <c r="SHS16" s="508" t="s">
        <v>581</v>
      </c>
      <c r="SHT16" s="508" t="s">
        <v>581</v>
      </c>
      <c r="SHU16" s="508" t="s">
        <v>581</v>
      </c>
      <c r="SHV16" s="508" t="s">
        <v>581</v>
      </c>
      <c r="SHW16" s="508" t="s">
        <v>581</v>
      </c>
      <c r="SHX16" s="508" t="s">
        <v>581</v>
      </c>
      <c r="SHY16" s="508" t="s">
        <v>581</v>
      </c>
      <c r="SHZ16" s="508" t="s">
        <v>581</v>
      </c>
      <c r="SIA16" s="508" t="s">
        <v>581</v>
      </c>
      <c r="SIB16" s="508" t="s">
        <v>581</v>
      </c>
      <c r="SIC16" s="508" t="s">
        <v>581</v>
      </c>
      <c r="SID16" s="508" t="s">
        <v>581</v>
      </c>
      <c r="SIE16" s="508" t="s">
        <v>581</v>
      </c>
      <c r="SIF16" s="508" t="s">
        <v>581</v>
      </c>
      <c r="SIG16" s="508" t="s">
        <v>581</v>
      </c>
      <c r="SIH16" s="508" t="s">
        <v>581</v>
      </c>
      <c r="SII16" s="508" t="s">
        <v>581</v>
      </c>
      <c r="SIJ16" s="508" t="s">
        <v>581</v>
      </c>
      <c r="SIK16" s="508" t="s">
        <v>581</v>
      </c>
      <c r="SIL16" s="508" t="s">
        <v>581</v>
      </c>
      <c r="SIM16" s="508" t="s">
        <v>581</v>
      </c>
      <c r="SIN16" s="508" t="s">
        <v>581</v>
      </c>
      <c r="SIO16" s="508" t="s">
        <v>581</v>
      </c>
      <c r="SIP16" s="508" t="s">
        <v>581</v>
      </c>
      <c r="SIQ16" s="508" t="s">
        <v>581</v>
      </c>
      <c r="SIR16" s="508" t="s">
        <v>581</v>
      </c>
      <c r="SIS16" s="508" t="s">
        <v>581</v>
      </c>
      <c r="SIT16" s="508" t="s">
        <v>581</v>
      </c>
      <c r="SIU16" s="508" t="s">
        <v>581</v>
      </c>
      <c r="SIV16" s="508" t="s">
        <v>581</v>
      </c>
      <c r="SIW16" s="508" t="s">
        <v>581</v>
      </c>
      <c r="SIX16" s="508" t="s">
        <v>581</v>
      </c>
      <c r="SIY16" s="508" t="s">
        <v>581</v>
      </c>
      <c r="SIZ16" s="508" t="s">
        <v>581</v>
      </c>
      <c r="SJA16" s="508" t="s">
        <v>581</v>
      </c>
      <c r="SJB16" s="508" t="s">
        <v>581</v>
      </c>
      <c r="SJC16" s="508" t="s">
        <v>581</v>
      </c>
      <c r="SJD16" s="508" t="s">
        <v>581</v>
      </c>
      <c r="SJE16" s="508" t="s">
        <v>581</v>
      </c>
      <c r="SJF16" s="508" t="s">
        <v>581</v>
      </c>
      <c r="SJG16" s="508" t="s">
        <v>581</v>
      </c>
      <c r="SJH16" s="508" t="s">
        <v>581</v>
      </c>
      <c r="SJI16" s="508" t="s">
        <v>581</v>
      </c>
      <c r="SJJ16" s="508" t="s">
        <v>581</v>
      </c>
      <c r="SJK16" s="508" t="s">
        <v>581</v>
      </c>
      <c r="SJL16" s="508" t="s">
        <v>581</v>
      </c>
      <c r="SJM16" s="508" t="s">
        <v>581</v>
      </c>
      <c r="SJN16" s="508" t="s">
        <v>581</v>
      </c>
      <c r="SJO16" s="508" t="s">
        <v>581</v>
      </c>
      <c r="SJP16" s="508" t="s">
        <v>581</v>
      </c>
      <c r="SJQ16" s="508" t="s">
        <v>581</v>
      </c>
      <c r="SJR16" s="508" t="s">
        <v>581</v>
      </c>
      <c r="SJS16" s="508" t="s">
        <v>581</v>
      </c>
      <c r="SJT16" s="508" t="s">
        <v>581</v>
      </c>
      <c r="SJU16" s="508" t="s">
        <v>581</v>
      </c>
      <c r="SJV16" s="508" t="s">
        <v>581</v>
      </c>
      <c r="SJW16" s="508" t="s">
        <v>581</v>
      </c>
      <c r="SJX16" s="508" t="s">
        <v>581</v>
      </c>
      <c r="SJY16" s="508" t="s">
        <v>581</v>
      </c>
      <c r="SJZ16" s="508" t="s">
        <v>581</v>
      </c>
      <c r="SKA16" s="508" t="s">
        <v>581</v>
      </c>
      <c r="SKB16" s="508" t="s">
        <v>581</v>
      </c>
      <c r="SKC16" s="508" t="s">
        <v>581</v>
      </c>
      <c r="SKD16" s="508" t="s">
        <v>581</v>
      </c>
      <c r="SKE16" s="508" t="s">
        <v>581</v>
      </c>
      <c r="SKF16" s="508" t="s">
        <v>581</v>
      </c>
      <c r="SKG16" s="508" t="s">
        <v>581</v>
      </c>
      <c r="SKH16" s="508" t="s">
        <v>581</v>
      </c>
      <c r="SKI16" s="508" t="s">
        <v>581</v>
      </c>
      <c r="SKJ16" s="508" t="s">
        <v>581</v>
      </c>
      <c r="SKK16" s="508" t="s">
        <v>581</v>
      </c>
      <c r="SKL16" s="508" t="s">
        <v>581</v>
      </c>
      <c r="SKM16" s="508" t="s">
        <v>581</v>
      </c>
      <c r="SKN16" s="508" t="s">
        <v>581</v>
      </c>
      <c r="SKO16" s="508" t="s">
        <v>581</v>
      </c>
      <c r="SKP16" s="508" t="s">
        <v>581</v>
      </c>
      <c r="SKQ16" s="508" t="s">
        <v>581</v>
      </c>
      <c r="SKR16" s="508" t="s">
        <v>581</v>
      </c>
      <c r="SKS16" s="508" t="s">
        <v>581</v>
      </c>
      <c r="SKT16" s="508" t="s">
        <v>581</v>
      </c>
      <c r="SKU16" s="508" t="s">
        <v>581</v>
      </c>
      <c r="SKV16" s="508" t="s">
        <v>581</v>
      </c>
      <c r="SKW16" s="508" t="s">
        <v>581</v>
      </c>
      <c r="SKX16" s="508" t="s">
        <v>581</v>
      </c>
      <c r="SKY16" s="508" t="s">
        <v>581</v>
      </c>
      <c r="SKZ16" s="508" t="s">
        <v>581</v>
      </c>
      <c r="SLA16" s="508" t="s">
        <v>581</v>
      </c>
      <c r="SLB16" s="508" t="s">
        <v>581</v>
      </c>
      <c r="SLC16" s="508" t="s">
        <v>581</v>
      </c>
      <c r="SLD16" s="508" t="s">
        <v>581</v>
      </c>
      <c r="SLE16" s="508" t="s">
        <v>581</v>
      </c>
      <c r="SLF16" s="508" t="s">
        <v>581</v>
      </c>
      <c r="SLG16" s="508" t="s">
        <v>581</v>
      </c>
      <c r="SLH16" s="508" t="s">
        <v>581</v>
      </c>
      <c r="SLI16" s="508" t="s">
        <v>581</v>
      </c>
      <c r="SLJ16" s="508" t="s">
        <v>581</v>
      </c>
      <c r="SLK16" s="508" t="s">
        <v>581</v>
      </c>
      <c r="SLL16" s="508" t="s">
        <v>581</v>
      </c>
      <c r="SLM16" s="508" t="s">
        <v>581</v>
      </c>
      <c r="SLN16" s="508" t="s">
        <v>581</v>
      </c>
      <c r="SLO16" s="508" t="s">
        <v>581</v>
      </c>
      <c r="SLP16" s="508" t="s">
        <v>581</v>
      </c>
      <c r="SLQ16" s="508" t="s">
        <v>581</v>
      </c>
      <c r="SLR16" s="508" t="s">
        <v>581</v>
      </c>
      <c r="SLS16" s="508" t="s">
        <v>581</v>
      </c>
      <c r="SLT16" s="508" t="s">
        <v>581</v>
      </c>
      <c r="SLU16" s="508" t="s">
        <v>581</v>
      </c>
      <c r="SLV16" s="508" t="s">
        <v>581</v>
      </c>
      <c r="SLW16" s="508" t="s">
        <v>581</v>
      </c>
      <c r="SLX16" s="508" t="s">
        <v>581</v>
      </c>
      <c r="SLY16" s="508" t="s">
        <v>581</v>
      </c>
      <c r="SLZ16" s="508" t="s">
        <v>581</v>
      </c>
      <c r="SMA16" s="508" t="s">
        <v>581</v>
      </c>
      <c r="SMB16" s="508" t="s">
        <v>581</v>
      </c>
      <c r="SMC16" s="508" t="s">
        <v>581</v>
      </c>
      <c r="SMD16" s="508" t="s">
        <v>581</v>
      </c>
      <c r="SME16" s="508" t="s">
        <v>581</v>
      </c>
      <c r="SMF16" s="508" t="s">
        <v>581</v>
      </c>
      <c r="SMG16" s="508" t="s">
        <v>581</v>
      </c>
      <c r="SMH16" s="508" t="s">
        <v>581</v>
      </c>
      <c r="SMI16" s="508" t="s">
        <v>581</v>
      </c>
      <c r="SMJ16" s="508" t="s">
        <v>581</v>
      </c>
      <c r="SMK16" s="508" t="s">
        <v>581</v>
      </c>
      <c r="SML16" s="508" t="s">
        <v>581</v>
      </c>
      <c r="SMM16" s="508" t="s">
        <v>581</v>
      </c>
      <c r="SMN16" s="508" t="s">
        <v>581</v>
      </c>
      <c r="SMO16" s="508" t="s">
        <v>581</v>
      </c>
      <c r="SMP16" s="508" t="s">
        <v>581</v>
      </c>
      <c r="SMQ16" s="508" t="s">
        <v>581</v>
      </c>
      <c r="SMR16" s="508" t="s">
        <v>581</v>
      </c>
      <c r="SMS16" s="508" t="s">
        <v>581</v>
      </c>
      <c r="SMT16" s="508" t="s">
        <v>581</v>
      </c>
      <c r="SMU16" s="508" t="s">
        <v>581</v>
      </c>
      <c r="SMV16" s="508" t="s">
        <v>581</v>
      </c>
      <c r="SMW16" s="508" t="s">
        <v>581</v>
      </c>
      <c r="SMX16" s="508" t="s">
        <v>581</v>
      </c>
      <c r="SMY16" s="508" t="s">
        <v>581</v>
      </c>
      <c r="SMZ16" s="508" t="s">
        <v>581</v>
      </c>
      <c r="SNA16" s="508" t="s">
        <v>581</v>
      </c>
      <c r="SNB16" s="508" t="s">
        <v>581</v>
      </c>
      <c r="SNC16" s="508" t="s">
        <v>581</v>
      </c>
      <c r="SND16" s="508" t="s">
        <v>581</v>
      </c>
      <c r="SNE16" s="508" t="s">
        <v>581</v>
      </c>
      <c r="SNF16" s="508" t="s">
        <v>581</v>
      </c>
      <c r="SNG16" s="508" t="s">
        <v>581</v>
      </c>
      <c r="SNH16" s="508" t="s">
        <v>581</v>
      </c>
      <c r="SNI16" s="508" t="s">
        <v>581</v>
      </c>
      <c r="SNJ16" s="508" t="s">
        <v>581</v>
      </c>
      <c r="SNK16" s="508" t="s">
        <v>581</v>
      </c>
      <c r="SNL16" s="508" t="s">
        <v>581</v>
      </c>
      <c r="SNM16" s="508" t="s">
        <v>581</v>
      </c>
      <c r="SNN16" s="508" t="s">
        <v>581</v>
      </c>
      <c r="SNO16" s="508" t="s">
        <v>581</v>
      </c>
      <c r="SNP16" s="508" t="s">
        <v>581</v>
      </c>
      <c r="SNQ16" s="508" t="s">
        <v>581</v>
      </c>
      <c r="SNR16" s="508" t="s">
        <v>581</v>
      </c>
      <c r="SNS16" s="508" t="s">
        <v>581</v>
      </c>
      <c r="SNT16" s="508" t="s">
        <v>581</v>
      </c>
      <c r="SNU16" s="508" t="s">
        <v>581</v>
      </c>
      <c r="SNV16" s="508" t="s">
        <v>581</v>
      </c>
      <c r="SNW16" s="508" t="s">
        <v>581</v>
      </c>
      <c r="SNX16" s="508" t="s">
        <v>581</v>
      </c>
      <c r="SNY16" s="508" t="s">
        <v>581</v>
      </c>
      <c r="SNZ16" s="508" t="s">
        <v>581</v>
      </c>
      <c r="SOA16" s="508" t="s">
        <v>581</v>
      </c>
      <c r="SOB16" s="508" t="s">
        <v>581</v>
      </c>
      <c r="SOC16" s="508" t="s">
        <v>581</v>
      </c>
      <c r="SOD16" s="508" t="s">
        <v>581</v>
      </c>
      <c r="SOE16" s="508" t="s">
        <v>581</v>
      </c>
      <c r="SOF16" s="508" t="s">
        <v>581</v>
      </c>
      <c r="SOG16" s="508" t="s">
        <v>581</v>
      </c>
      <c r="SOH16" s="508" t="s">
        <v>581</v>
      </c>
      <c r="SOI16" s="508" t="s">
        <v>581</v>
      </c>
      <c r="SOJ16" s="508" t="s">
        <v>581</v>
      </c>
      <c r="SOK16" s="508" t="s">
        <v>581</v>
      </c>
      <c r="SOL16" s="508" t="s">
        <v>581</v>
      </c>
      <c r="SOM16" s="508" t="s">
        <v>581</v>
      </c>
      <c r="SON16" s="508" t="s">
        <v>581</v>
      </c>
      <c r="SOO16" s="508" t="s">
        <v>581</v>
      </c>
      <c r="SOP16" s="508" t="s">
        <v>581</v>
      </c>
      <c r="SOQ16" s="508" t="s">
        <v>581</v>
      </c>
      <c r="SOR16" s="508" t="s">
        <v>581</v>
      </c>
      <c r="SOS16" s="508" t="s">
        <v>581</v>
      </c>
      <c r="SOT16" s="508" t="s">
        <v>581</v>
      </c>
      <c r="SOU16" s="508" t="s">
        <v>581</v>
      </c>
      <c r="SOV16" s="508" t="s">
        <v>581</v>
      </c>
      <c r="SOW16" s="508" t="s">
        <v>581</v>
      </c>
      <c r="SOX16" s="508" t="s">
        <v>581</v>
      </c>
      <c r="SOY16" s="508" t="s">
        <v>581</v>
      </c>
      <c r="SOZ16" s="508" t="s">
        <v>581</v>
      </c>
      <c r="SPA16" s="508" t="s">
        <v>581</v>
      </c>
      <c r="SPB16" s="508" t="s">
        <v>581</v>
      </c>
      <c r="SPC16" s="508" t="s">
        <v>581</v>
      </c>
      <c r="SPD16" s="508" t="s">
        <v>581</v>
      </c>
      <c r="SPE16" s="508" t="s">
        <v>581</v>
      </c>
      <c r="SPF16" s="508" t="s">
        <v>581</v>
      </c>
      <c r="SPG16" s="508" t="s">
        <v>581</v>
      </c>
      <c r="SPH16" s="508" t="s">
        <v>581</v>
      </c>
      <c r="SPI16" s="508" t="s">
        <v>581</v>
      </c>
      <c r="SPJ16" s="508" t="s">
        <v>581</v>
      </c>
      <c r="SPK16" s="508" t="s">
        <v>581</v>
      </c>
      <c r="SPL16" s="508" t="s">
        <v>581</v>
      </c>
      <c r="SPM16" s="508" t="s">
        <v>581</v>
      </c>
      <c r="SPN16" s="508" t="s">
        <v>581</v>
      </c>
      <c r="SPO16" s="508" t="s">
        <v>581</v>
      </c>
      <c r="SPP16" s="508" t="s">
        <v>581</v>
      </c>
      <c r="SPQ16" s="508" t="s">
        <v>581</v>
      </c>
      <c r="SPR16" s="508" t="s">
        <v>581</v>
      </c>
      <c r="SPS16" s="508" t="s">
        <v>581</v>
      </c>
      <c r="SPT16" s="508" t="s">
        <v>581</v>
      </c>
      <c r="SPU16" s="508" t="s">
        <v>581</v>
      </c>
      <c r="SPV16" s="508" t="s">
        <v>581</v>
      </c>
      <c r="SPW16" s="508" t="s">
        <v>581</v>
      </c>
      <c r="SPX16" s="508" t="s">
        <v>581</v>
      </c>
      <c r="SPY16" s="508" t="s">
        <v>581</v>
      </c>
      <c r="SPZ16" s="508" t="s">
        <v>581</v>
      </c>
      <c r="SQA16" s="508" t="s">
        <v>581</v>
      </c>
      <c r="SQB16" s="508" t="s">
        <v>581</v>
      </c>
      <c r="SQC16" s="508" t="s">
        <v>581</v>
      </c>
      <c r="SQD16" s="508" t="s">
        <v>581</v>
      </c>
      <c r="SQE16" s="508" t="s">
        <v>581</v>
      </c>
      <c r="SQF16" s="508" t="s">
        <v>581</v>
      </c>
      <c r="SQG16" s="508" t="s">
        <v>581</v>
      </c>
      <c r="SQH16" s="508" t="s">
        <v>581</v>
      </c>
      <c r="SQI16" s="508" t="s">
        <v>581</v>
      </c>
      <c r="SQJ16" s="508" t="s">
        <v>581</v>
      </c>
      <c r="SQK16" s="508" t="s">
        <v>581</v>
      </c>
      <c r="SQL16" s="508" t="s">
        <v>581</v>
      </c>
      <c r="SQM16" s="508" t="s">
        <v>581</v>
      </c>
      <c r="SQN16" s="508" t="s">
        <v>581</v>
      </c>
      <c r="SQO16" s="508" t="s">
        <v>581</v>
      </c>
      <c r="SQP16" s="508" t="s">
        <v>581</v>
      </c>
      <c r="SQQ16" s="508" t="s">
        <v>581</v>
      </c>
      <c r="SQR16" s="508" t="s">
        <v>581</v>
      </c>
      <c r="SQS16" s="508" t="s">
        <v>581</v>
      </c>
      <c r="SQT16" s="508" t="s">
        <v>581</v>
      </c>
      <c r="SQU16" s="508" t="s">
        <v>581</v>
      </c>
      <c r="SQV16" s="508" t="s">
        <v>581</v>
      </c>
      <c r="SQW16" s="508" t="s">
        <v>581</v>
      </c>
      <c r="SQX16" s="508" t="s">
        <v>581</v>
      </c>
      <c r="SQY16" s="508" t="s">
        <v>581</v>
      </c>
      <c r="SQZ16" s="508" t="s">
        <v>581</v>
      </c>
      <c r="SRA16" s="508" t="s">
        <v>581</v>
      </c>
      <c r="SRB16" s="508" t="s">
        <v>581</v>
      </c>
      <c r="SRC16" s="508" t="s">
        <v>581</v>
      </c>
      <c r="SRD16" s="508" t="s">
        <v>581</v>
      </c>
      <c r="SRE16" s="508" t="s">
        <v>581</v>
      </c>
      <c r="SRF16" s="508" t="s">
        <v>581</v>
      </c>
      <c r="SRG16" s="508" t="s">
        <v>581</v>
      </c>
      <c r="SRH16" s="508" t="s">
        <v>581</v>
      </c>
      <c r="SRI16" s="508" t="s">
        <v>581</v>
      </c>
      <c r="SRJ16" s="508" t="s">
        <v>581</v>
      </c>
      <c r="SRK16" s="508" t="s">
        <v>581</v>
      </c>
      <c r="SRL16" s="508" t="s">
        <v>581</v>
      </c>
      <c r="SRM16" s="508" t="s">
        <v>581</v>
      </c>
      <c r="SRN16" s="508" t="s">
        <v>581</v>
      </c>
      <c r="SRO16" s="508" t="s">
        <v>581</v>
      </c>
      <c r="SRP16" s="508" t="s">
        <v>581</v>
      </c>
      <c r="SRQ16" s="508" t="s">
        <v>581</v>
      </c>
      <c r="SRR16" s="508" t="s">
        <v>581</v>
      </c>
      <c r="SRS16" s="508" t="s">
        <v>581</v>
      </c>
      <c r="SRT16" s="508" t="s">
        <v>581</v>
      </c>
      <c r="SRU16" s="508" t="s">
        <v>581</v>
      </c>
      <c r="SRV16" s="508" t="s">
        <v>581</v>
      </c>
      <c r="SRW16" s="508" t="s">
        <v>581</v>
      </c>
      <c r="SRX16" s="508" t="s">
        <v>581</v>
      </c>
      <c r="SRY16" s="508" t="s">
        <v>581</v>
      </c>
      <c r="SRZ16" s="508" t="s">
        <v>581</v>
      </c>
      <c r="SSA16" s="508" t="s">
        <v>581</v>
      </c>
      <c r="SSB16" s="508" t="s">
        <v>581</v>
      </c>
      <c r="SSC16" s="508" t="s">
        <v>581</v>
      </c>
      <c r="SSD16" s="508" t="s">
        <v>581</v>
      </c>
      <c r="SSE16" s="508" t="s">
        <v>581</v>
      </c>
      <c r="SSF16" s="508" t="s">
        <v>581</v>
      </c>
      <c r="SSG16" s="508" t="s">
        <v>581</v>
      </c>
      <c r="SSH16" s="508" t="s">
        <v>581</v>
      </c>
      <c r="SSI16" s="508" t="s">
        <v>581</v>
      </c>
      <c r="SSJ16" s="508" t="s">
        <v>581</v>
      </c>
      <c r="SSK16" s="508" t="s">
        <v>581</v>
      </c>
      <c r="SSL16" s="508" t="s">
        <v>581</v>
      </c>
      <c r="SSM16" s="508" t="s">
        <v>581</v>
      </c>
      <c r="SSN16" s="508" t="s">
        <v>581</v>
      </c>
      <c r="SSO16" s="508" t="s">
        <v>581</v>
      </c>
      <c r="SSP16" s="508" t="s">
        <v>581</v>
      </c>
      <c r="SSQ16" s="508" t="s">
        <v>581</v>
      </c>
      <c r="SSR16" s="508" t="s">
        <v>581</v>
      </c>
      <c r="SSS16" s="508" t="s">
        <v>581</v>
      </c>
      <c r="SST16" s="508" t="s">
        <v>581</v>
      </c>
      <c r="SSU16" s="508" t="s">
        <v>581</v>
      </c>
      <c r="SSV16" s="508" t="s">
        <v>581</v>
      </c>
      <c r="SSW16" s="508" t="s">
        <v>581</v>
      </c>
      <c r="SSX16" s="508" t="s">
        <v>581</v>
      </c>
      <c r="SSY16" s="508" t="s">
        <v>581</v>
      </c>
      <c r="SSZ16" s="508" t="s">
        <v>581</v>
      </c>
      <c r="STA16" s="508" t="s">
        <v>581</v>
      </c>
      <c r="STB16" s="508" t="s">
        <v>581</v>
      </c>
      <c r="STC16" s="508" t="s">
        <v>581</v>
      </c>
      <c r="STD16" s="508" t="s">
        <v>581</v>
      </c>
      <c r="STE16" s="508" t="s">
        <v>581</v>
      </c>
      <c r="STF16" s="508" t="s">
        <v>581</v>
      </c>
      <c r="STG16" s="508" t="s">
        <v>581</v>
      </c>
      <c r="STH16" s="508" t="s">
        <v>581</v>
      </c>
      <c r="STI16" s="508" t="s">
        <v>581</v>
      </c>
      <c r="STJ16" s="508" t="s">
        <v>581</v>
      </c>
      <c r="STK16" s="508" t="s">
        <v>581</v>
      </c>
      <c r="STL16" s="508" t="s">
        <v>581</v>
      </c>
      <c r="STM16" s="508" t="s">
        <v>581</v>
      </c>
      <c r="STN16" s="508" t="s">
        <v>581</v>
      </c>
      <c r="STO16" s="508" t="s">
        <v>581</v>
      </c>
      <c r="STP16" s="508" t="s">
        <v>581</v>
      </c>
      <c r="STQ16" s="508" t="s">
        <v>581</v>
      </c>
      <c r="STR16" s="508" t="s">
        <v>581</v>
      </c>
      <c r="STS16" s="508" t="s">
        <v>581</v>
      </c>
      <c r="STT16" s="508" t="s">
        <v>581</v>
      </c>
      <c r="STU16" s="508" t="s">
        <v>581</v>
      </c>
      <c r="STV16" s="508" t="s">
        <v>581</v>
      </c>
      <c r="STW16" s="508" t="s">
        <v>581</v>
      </c>
      <c r="STX16" s="508" t="s">
        <v>581</v>
      </c>
      <c r="STY16" s="508" t="s">
        <v>581</v>
      </c>
      <c r="STZ16" s="508" t="s">
        <v>581</v>
      </c>
      <c r="SUA16" s="508" t="s">
        <v>581</v>
      </c>
      <c r="SUB16" s="508" t="s">
        <v>581</v>
      </c>
      <c r="SUC16" s="508" t="s">
        <v>581</v>
      </c>
      <c r="SUD16" s="508" t="s">
        <v>581</v>
      </c>
      <c r="SUE16" s="508" t="s">
        <v>581</v>
      </c>
      <c r="SUF16" s="508" t="s">
        <v>581</v>
      </c>
      <c r="SUG16" s="508" t="s">
        <v>581</v>
      </c>
      <c r="SUH16" s="508" t="s">
        <v>581</v>
      </c>
      <c r="SUI16" s="508" t="s">
        <v>581</v>
      </c>
      <c r="SUJ16" s="508" t="s">
        <v>581</v>
      </c>
      <c r="SUK16" s="508" t="s">
        <v>581</v>
      </c>
      <c r="SUL16" s="508" t="s">
        <v>581</v>
      </c>
      <c r="SUM16" s="508" t="s">
        <v>581</v>
      </c>
      <c r="SUN16" s="508" t="s">
        <v>581</v>
      </c>
      <c r="SUO16" s="508" t="s">
        <v>581</v>
      </c>
      <c r="SUP16" s="508" t="s">
        <v>581</v>
      </c>
      <c r="SUQ16" s="508" t="s">
        <v>581</v>
      </c>
      <c r="SUR16" s="508" t="s">
        <v>581</v>
      </c>
      <c r="SUS16" s="508" t="s">
        <v>581</v>
      </c>
      <c r="SUT16" s="508" t="s">
        <v>581</v>
      </c>
      <c r="SUU16" s="508" t="s">
        <v>581</v>
      </c>
      <c r="SUV16" s="508" t="s">
        <v>581</v>
      </c>
      <c r="SUW16" s="508" t="s">
        <v>581</v>
      </c>
      <c r="SUX16" s="508" t="s">
        <v>581</v>
      </c>
      <c r="SUY16" s="508" t="s">
        <v>581</v>
      </c>
      <c r="SUZ16" s="508" t="s">
        <v>581</v>
      </c>
      <c r="SVA16" s="508" t="s">
        <v>581</v>
      </c>
      <c r="SVB16" s="508" t="s">
        <v>581</v>
      </c>
      <c r="SVC16" s="508" t="s">
        <v>581</v>
      </c>
      <c r="SVD16" s="508" t="s">
        <v>581</v>
      </c>
      <c r="SVE16" s="508" t="s">
        <v>581</v>
      </c>
      <c r="SVF16" s="508" t="s">
        <v>581</v>
      </c>
      <c r="SVG16" s="508" t="s">
        <v>581</v>
      </c>
      <c r="SVH16" s="508" t="s">
        <v>581</v>
      </c>
      <c r="SVI16" s="508" t="s">
        <v>581</v>
      </c>
      <c r="SVJ16" s="508" t="s">
        <v>581</v>
      </c>
      <c r="SVK16" s="508" t="s">
        <v>581</v>
      </c>
      <c r="SVL16" s="508" t="s">
        <v>581</v>
      </c>
      <c r="SVM16" s="508" t="s">
        <v>581</v>
      </c>
      <c r="SVN16" s="508" t="s">
        <v>581</v>
      </c>
      <c r="SVO16" s="508" t="s">
        <v>581</v>
      </c>
      <c r="SVP16" s="508" t="s">
        <v>581</v>
      </c>
      <c r="SVQ16" s="508" t="s">
        <v>581</v>
      </c>
      <c r="SVR16" s="508" t="s">
        <v>581</v>
      </c>
      <c r="SVS16" s="508" t="s">
        <v>581</v>
      </c>
      <c r="SVT16" s="508" t="s">
        <v>581</v>
      </c>
      <c r="SVU16" s="508" t="s">
        <v>581</v>
      </c>
      <c r="SVV16" s="508" t="s">
        <v>581</v>
      </c>
      <c r="SVW16" s="508" t="s">
        <v>581</v>
      </c>
      <c r="SVX16" s="508" t="s">
        <v>581</v>
      </c>
      <c r="SVY16" s="508" t="s">
        <v>581</v>
      </c>
      <c r="SVZ16" s="508" t="s">
        <v>581</v>
      </c>
      <c r="SWA16" s="508" t="s">
        <v>581</v>
      </c>
      <c r="SWB16" s="508" t="s">
        <v>581</v>
      </c>
      <c r="SWC16" s="508" t="s">
        <v>581</v>
      </c>
      <c r="SWD16" s="508" t="s">
        <v>581</v>
      </c>
      <c r="SWE16" s="508" t="s">
        <v>581</v>
      </c>
      <c r="SWF16" s="508" t="s">
        <v>581</v>
      </c>
      <c r="SWG16" s="508" t="s">
        <v>581</v>
      </c>
      <c r="SWH16" s="508" t="s">
        <v>581</v>
      </c>
      <c r="SWI16" s="508" t="s">
        <v>581</v>
      </c>
      <c r="SWJ16" s="508" t="s">
        <v>581</v>
      </c>
      <c r="SWK16" s="508" t="s">
        <v>581</v>
      </c>
      <c r="SWL16" s="508" t="s">
        <v>581</v>
      </c>
      <c r="SWM16" s="508" t="s">
        <v>581</v>
      </c>
      <c r="SWN16" s="508" t="s">
        <v>581</v>
      </c>
      <c r="SWO16" s="508" t="s">
        <v>581</v>
      </c>
      <c r="SWP16" s="508" t="s">
        <v>581</v>
      </c>
      <c r="SWQ16" s="508" t="s">
        <v>581</v>
      </c>
      <c r="SWR16" s="508" t="s">
        <v>581</v>
      </c>
      <c r="SWS16" s="508" t="s">
        <v>581</v>
      </c>
      <c r="SWT16" s="508" t="s">
        <v>581</v>
      </c>
      <c r="SWU16" s="508" t="s">
        <v>581</v>
      </c>
      <c r="SWV16" s="508" t="s">
        <v>581</v>
      </c>
      <c r="SWW16" s="508" t="s">
        <v>581</v>
      </c>
      <c r="SWX16" s="508" t="s">
        <v>581</v>
      </c>
      <c r="SWY16" s="508" t="s">
        <v>581</v>
      </c>
      <c r="SWZ16" s="508" t="s">
        <v>581</v>
      </c>
      <c r="SXA16" s="508" t="s">
        <v>581</v>
      </c>
      <c r="SXB16" s="508" t="s">
        <v>581</v>
      </c>
      <c r="SXC16" s="508" t="s">
        <v>581</v>
      </c>
      <c r="SXD16" s="508" t="s">
        <v>581</v>
      </c>
      <c r="SXE16" s="508" t="s">
        <v>581</v>
      </c>
      <c r="SXF16" s="508" t="s">
        <v>581</v>
      </c>
      <c r="SXG16" s="508" t="s">
        <v>581</v>
      </c>
      <c r="SXH16" s="508" t="s">
        <v>581</v>
      </c>
      <c r="SXI16" s="508" t="s">
        <v>581</v>
      </c>
      <c r="SXJ16" s="508" t="s">
        <v>581</v>
      </c>
      <c r="SXK16" s="508" t="s">
        <v>581</v>
      </c>
      <c r="SXL16" s="508" t="s">
        <v>581</v>
      </c>
      <c r="SXM16" s="508" t="s">
        <v>581</v>
      </c>
      <c r="SXN16" s="508" t="s">
        <v>581</v>
      </c>
      <c r="SXO16" s="508" t="s">
        <v>581</v>
      </c>
      <c r="SXP16" s="508" t="s">
        <v>581</v>
      </c>
      <c r="SXQ16" s="508" t="s">
        <v>581</v>
      </c>
      <c r="SXR16" s="508" t="s">
        <v>581</v>
      </c>
      <c r="SXS16" s="508" t="s">
        <v>581</v>
      </c>
      <c r="SXT16" s="508" t="s">
        <v>581</v>
      </c>
      <c r="SXU16" s="508" t="s">
        <v>581</v>
      </c>
      <c r="SXV16" s="508" t="s">
        <v>581</v>
      </c>
      <c r="SXW16" s="508" t="s">
        <v>581</v>
      </c>
      <c r="SXX16" s="508" t="s">
        <v>581</v>
      </c>
      <c r="SXY16" s="508" t="s">
        <v>581</v>
      </c>
      <c r="SXZ16" s="508" t="s">
        <v>581</v>
      </c>
      <c r="SYA16" s="508" t="s">
        <v>581</v>
      </c>
      <c r="SYB16" s="508" t="s">
        <v>581</v>
      </c>
      <c r="SYC16" s="508" t="s">
        <v>581</v>
      </c>
      <c r="SYD16" s="508" t="s">
        <v>581</v>
      </c>
      <c r="SYE16" s="508" t="s">
        <v>581</v>
      </c>
      <c r="SYF16" s="508" t="s">
        <v>581</v>
      </c>
      <c r="SYG16" s="508" t="s">
        <v>581</v>
      </c>
      <c r="SYH16" s="508" t="s">
        <v>581</v>
      </c>
      <c r="SYI16" s="508" t="s">
        <v>581</v>
      </c>
      <c r="SYJ16" s="508" t="s">
        <v>581</v>
      </c>
      <c r="SYK16" s="508" t="s">
        <v>581</v>
      </c>
      <c r="SYL16" s="508" t="s">
        <v>581</v>
      </c>
      <c r="SYM16" s="508" t="s">
        <v>581</v>
      </c>
      <c r="SYN16" s="508" t="s">
        <v>581</v>
      </c>
      <c r="SYO16" s="508" t="s">
        <v>581</v>
      </c>
      <c r="SYP16" s="508" t="s">
        <v>581</v>
      </c>
      <c r="SYQ16" s="508" t="s">
        <v>581</v>
      </c>
      <c r="SYR16" s="508" t="s">
        <v>581</v>
      </c>
      <c r="SYS16" s="508" t="s">
        <v>581</v>
      </c>
      <c r="SYT16" s="508" t="s">
        <v>581</v>
      </c>
      <c r="SYU16" s="508" t="s">
        <v>581</v>
      </c>
      <c r="SYV16" s="508" t="s">
        <v>581</v>
      </c>
      <c r="SYW16" s="508" t="s">
        <v>581</v>
      </c>
      <c r="SYX16" s="508" t="s">
        <v>581</v>
      </c>
      <c r="SYY16" s="508" t="s">
        <v>581</v>
      </c>
      <c r="SYZ16" s="508" t="s">
        <v>581</v>
      </c>
      <c r="SZA16" s="508" t="s">
        <v>581</v>
      </c>
      <c r="SZB16" s="508" t="s">
        <v>581</v>
      </c>
      <c r="SZC16" s="508" t="s">
        <v>581</v>
      </c>
      <c r="SZD16" s="508" t="s">
        <v>581</v>
      </c>
      <c r="SZE16" s="508" t="s">
        <v>581</v>
      </c>
      <c r="SZF16" s="508" t="s">
        <v>581</v>
      </c>
      <c r="SZG16" s="508" t="s">
        <v>581</v>
      </c>
      <c r="SZH16" s="508" t="s">
        <v>581</v>
      </c>
      <c r="SZI16" s="508" t="s">
        <v>581</v>
      </c>
      <c r="SZJ16" s="508" t="s">
        <v>581</v>
      </c>
      <c r="SZK16" s="508" t="s">
        <v>581</v>
      </c>
      <c r="SZL16" s="508" t="s">
        <v>581</v>
      </c>
      <c r="SZM16" s="508" t="s">
        <v>581</v>
      </c>
      <c r="SZN16" s="508" t="s">
        <v>581</v>
      </c>
      <c r="SZO16" s="508" t="s">
        <v>581</v>
      </c>
      <c r="SZP16" s="508" t="s">
        <v>581</v>
      </c>
      <c r="SZQ16" s="508" t="s">
        <v>581</v>
      </c>
      <c r="SZR16" s="508" t="s">
        <v>581</v>
      </c>
      <c r="SZS16" s="508" t="s">
        <v>581</v>
      </c>
      <c r="SZT16" s="508" t="s">
        <v>581</v>
      </c>
      <c r="SZU16" s="508" t="s">
        <v>581</v>
      </c>
      <c r="SZV16" s="508" t="s">
        <v>581</v>
      </c>
      <c r="SZW16" s="508" t="s">
        <v>581</v>
      </c>
      <c r="SZX16" s="508" t="s">
        <v>581</v>
      </c>
      <c r="SZY16" s="508" t="s">
        <v>581</v>
      </c>
      <c r="SZZ16" s="508" t="s">
        <v>581</v>
      </c>
      <c r="TAA16" s="508" t="s">
        <v>581</v>
      </c>
      <c r="TAB16" s="508" t="s">
        <v>581</v>
      </c>
      <c r="TAC16" s="508" t="s">
        <v>581</v>
      </c>
      <c r="TAD16" s="508" t="s">
        <v>581</v>
      </c>
      <c r="TAE16" s="508" t="s">
        <v>581</v>
      </c>
      <c r="TAF16" s="508" t="s">
        <v>581</v>
      </c>
      <c r="TAG16" s="508" t="s">
        <v>581</v>
      </c>
      <c r="TAH16" s="508" t="s">
        <v>581</v>
      </c>
      <c r="TAI16" s="508" t="s">
        <v>581</v>
      </c>
      <c r="TAJ16" s="508" t="s">
        <v>581</v>
      </c>
      <c r="TAK16" s="508" t="s">
        <v>581</v>
      </c>
      <c r="TAL16" s="508" t="s">
        <v>581</v>
      </c>
      <c r="TAM16" s="508" t="s">
        <v>581</v>
      </c>
      <c r="TAN16" s="508" t="s">
        <v>581</v>
      </c>
      <c r="TAO16" s="508" t="s">
        <v>581</v>
      </c>
      <c r="TAP16" s="508" t="s">
        <v>581</v>
      </c>
      <c r="TAQ16" s="508" t="s">
        <v>581</v>
      </c>
      <c r="TAR16" s="508" t="s">
        <v>581</v>
      </c>
      <c r="TAS16" s="508" t="s">
        <v>581</v>
      </c>
      <c r="TAT16" s="508" t="s">
        <v>581</v>
      </c>
      <c r="TAU16" s="508" t="s">
        <v>581</v>
      </c>
      <c r="TAV16" s="508" t="s">
        <v>581</v>
      </c>
      <c r="TAW16" s="508" t="s">
        <v>581</v>
      </c>
      <c r="TAX16" s="508" t="s">
        <v>581</v>
      </c>
      <c r="TAY16" s="508" t="s">
        <v>581</v>
      </c>
      <c r="TAZ16" s="508" t="s">
        <v>581</v>
      </c>
      <c r="TBA16" s="508" t="s">
        <v>581</v>
      </c>
      <c r="TBB16" s="508" t="s">
        <v>581</v>
      </c>
      <c r="TBC16" s="508" t="s">
        <v>581</v>
      </c>
      <c r="TBD16" s="508" t="s">
        <v>581</v>
      </c>
      <c r="TBE16" s="508" t="s">
        <v>581</v>
      </c>
      <c r="TBF16" s="508" t="s">
        <v>581</v>
      </c>
      <c r="TBG16" s="508" t="s">
        <v>581</v>
      </c>
      <c r="TBH16" s="508" t="s">
        <v>581</v>
      </c>
      <c r="TBI16" s="508" t="s">
        <v>581</v>
      </c>
      <c r="TBJ16" s="508" t="s">
        <v>581</v>
      </c>
      <c r="TBK16" s="508" t="s">
        <v>581</v>
      </c>
      <c r="TBL16" s="508" t="s">
        <v>581</v>
      </c>
      <c r="TBM16" s="508" t="s">
        <v>581</v>
      </c>
      <c r="TBN16" s="508" t="s">
        <v>581</v>
      </c>
      <c r="TBO16" s="508" t="s">
        <v>581</v>
      </c>
      <c r="TBP16" s="508" t="s">
        <v>581</v>
      </c>
      <c r="TBQ16" s="508" t="s">
        <v>581</v>
      </c>
      <c r="TBR16" s="508" t="s">
        <v>581</v>
      </c>
      <c r="TBS16" s="508" t="s">
        <v>581</v>
      </c>
      <c r="TBT16" s="508" t="s">
        <v>581</v>
      </c>
      <c r="TBU16" s="508" t="s">
        <v>581</v>
      </c>
      <c r="TBV16" s="508" t="s">
        <v>581</v>
      </c>
      <c r="TBW16" s="508" t="s">
        <v>581</v>
      </c>
      <c r="TBX16" s="508" t="s">
        <v>581</v>
      </c>
      <c r="TBY16" s="508" t="s">
        <v>581</v>
      </c>
      <c r="TBZ16" s="508" t="s">
        <v>581</v>
      </c>
      <c r="TCA16" s="508" t="s">
        <v>581</v>
      </c>
      <c r="TCB16" s="508" t="s">
        <v>581</v>
      </c>
      <c r="TCC16" s="508" t="s">
        <v>581</v>
      </c>
      <c r="TCD16" s="508" t="s">
        <v>581</v>
      </c>
      <c r="TCE16" s="508" t="s">
        <v>581</v>
      </c>
      <c r="TCF16" s="508" t="s">
        <v>581</v>
      </c>
      <c r="TCG16" s="508" t="s">
        <v>581</v>
      </c>
      <c r="TCH16" s="508" t="s">
        <v>581</v>
      </c>
      <c r="TCI16" s="508" t="s">
        <v>581</v>
      </c>
      <c r="TCJ16" s="508" t="s">
        <v>581</v>
      </c>
      <c r="TCK16" s="508" t="s">
        <v>581</v>
      </c>
      <c r="TCL16" s="508" t="s">
        <v>581</v>
      </c>
      <c r="TCM16" s="508" t="s">
        <v>581</v>
      </c>
      <c r="TCN16" s="508" t="s">
        <v>581</v>
      </c>
      <c r="TCO16" s="508" t="s">
        <v>581</v>
      </c>
      <c r="TCP16" s="508" t="s">
        <v>581</v>
      </c>
      <c r="TCQ16" s="508" t="s">
        <v>581</v>
      </c>
      <c r="TCR16" s="508" t="s">
        <v>581</v>
      </c>
      <c r="TCS16" s="508" t="s">
        <v>581</v>
      </c>
      <c r="TCT16" s="508" t="s">
        <v>581</v>
      </c>
      <c r="TCU16" s="508" t="s">
        <v>581</v>
      </c>
      <c r="TCV16" s="508" t="s">
        <v>581</v>
      </c>
      <c r="TCW16" s="508" t="s">
        <v>581</v>
      </c>
      <c r="TCX16" s="508" t="s">
        <v>581</v>
      </c>
      <c r="TCY16" s="508" t="s">
        <v>581</v>
      </c>
      <c r="TCZ16" s="508" t="s">
        <v>581</v>
      </c>
      <c r="TDA16" s="508" t="s">
        <v>581</v>
      </c>
      <c r="TDB16" s="508" t="s">
        <v>581</v>
      </c>
      <c r="TDC16" s="508" t="s">
        <v>581</v>
      </c>
      <c r="TDD16" s="508" t="s">
        <v>581</v>
      </c>
      <c r="TDE16" s="508" t="s">
        <v>581</v>
      </c>
      <c r="TDF16" s="508" t="s">
        <v>581</v>
      </c>
      <c r="TDG16" s="508" t="s">
        <v>581</v>
      </c>
      <c r="TDH16" s="508" t="s">
        <v>581</v>
      </c>
      <c r="TDI16" s="508" t="s">
        <v>581</v>
      </c>
      <c r="TDJ16" s="508" t="s">
        <v>581</v>
      </c>
      <c r="TDK16" s="508" t="s">
        <v>581</v>
      </c>
      <c r="TDL16" s="508" t="s">
        <v>581</v>
      </c>
      <c r="TDM16" s="508" t="s">
        <v>581</v>
      </c>
      <c r="TDN16" s="508" t="s">
        <v>581</v>
      </c>
      <c r="TDO16" s="508" t="s">
        <v>581</v>
      </c>
      <c r="TDP16" s="508" t="s">
        <v>581</v>
      </c>
      <c r="TDQ16" s="508" t="s">
        <v>581</v>
      </c>
      <c r="TDR16" s="508" t="s">
        <v>581</v>
      </c>
      <c r="TDS16" s="508" t="s">
        <v>581</v>
      </c>
      <c r="TDT16" s="508" t="s">
        <v>581</v>
      </c>
      <c r="TDU16" s="508" t="s">
        <v>581</v>
      </c>
      <c r="TDV16" s="508" t="s">
        <v>581</v>
      </c>
      <c r="TDW16" s="508" t="s">
        <v>581</v>
      </c>
      <c r="TDX16" s="508" t="s">
        <v>581</v>
      </c>
      <c r="TDY16" s="508" t="s">
        <v>581</v>
      </c>
      <c r="TDZ16" s="508" t="s">
        <v>581</v>
      </c>
      <c r="TEA16" s="508" t="s">
        <v>581</v>
      </c>
      <c r="TEB16" s="508" t="s">
        <v>581</v>
      </c>
      <c r="TEC16" s="508" t="s">
        <v>581</v>
      </c>
      <c r="TED16" s="508" t="s">
        <v>581</v>
      </c>
      <c r="TEE16" s="508" t="s">
        <v>581</v>
      </c>
      <c r="TEF16" s="508" t="s">
        <v>581</v>
      </c>
      <c r="TEG16" s="508" t="s">
        <v>581</v>
      </c>
      <c r="TEH16" s="508" t="s">
        <v>581</v>
      </c>
      <c r="TEI16" s="508" t="s">
        <v>581</v>
      </c>
      <c r="TEJ16" s="508" t="s">
        <v>581</v>
      </c>
      <c r="TEK16" s="508" t="s">
        <v>581</v>
      </c>
      <c r="TEL16" s="508" t="s">
        <v>581</v>
      </c>
      <c r="TEM16" s="508" t="s">
        <v>581</v>
      </c>
      <c r="TEN16" s="508" t="s">
        <v>581</v>
      </c>
      <c r="TEO16" s="508" t="s">
        <v>581</v>
      </c>
      <c r="TEP16" s="508" t="s">
        <v>581</v>
      </c>
      <c r="TEQ16" s="508" t="s">
        <v>581</v>
      </c>
      <c r="TER16" s="508" t="s">
        <v>581</v>
      </c>
      <c r="TES16" s="508" t="s">
        <v>581</v>
      </c>
      <c r="TET16" s="508" t="s">
        <v>581</v>
      </c>
      <c r="TEU16" s="508" t="s">
        <v>581</v>
      </c>
      <c r="TEV16" s="508" t="s">
        <v>581</v>
      </c>
      <c r="TEW16" s="508" t="s">
        <v>581</v>
      </c>
      <c r="TEX16" s="508" t="s">
        <v>581</v>
      </c>
      <c r="TEY16" s="508" t="s">
        <v>581</v>
      </c>
      <c r="TEZ16" s="508" t="s">
        <v>581</v>
      </c>
      <c r="TFA16" s="508" t="s">
        <v>581</v>
      </c>
      <c r="TFB16" s="508" t="s">
        <v>581</v>
      </c>
      <c r="TFC16" s="508" t="s">
        <v>581</v>
      </c>
      <c r="TFD16" s="508" t="s">
        <v>581</v>
      </c>
      <c r="TFE16" s="508" t="s">
        <v>581</v>
      </c>
      <c r="TFF16" s="508" t="s">
        <v>581</v>
      </c>
      <c r="TFG16" s="508" t="s">
        <v>581</v>
      </c>
      <c r="TFH16" s="508" t="s">
        <v>581</v>
      </c>
      <c r="TFI16" s="508" t="s">
        <v>581</v>
      </c>
      <c r="TFJ16" s="508" t="s">
        <v>581</v>
      </c>
      <c r="TFK16" s="508" t="s">
        <v>581</v>
      </c>
      <c r="TFL16" s="508" t="s">
        <v>581</v>
      </c>
      <c r="TFM16" s="508" t="s">
        <v>581</v>
      </c>
      <c r="TFN16" s="508" t="s">
        <v>581</v>
      </c>
      <c r="TFO16" s="508" t="s">
        <v>581</v>
      </c>
      <c r="TFP16" s="508" t="s">
        <v>581</v>
      </c>
      <c r="TFQ16" s="508" t="s">
        <v>581</v>
      </c>
      <c r="TFR16" s="508" t="s">
        <v>581</v>
      </c>
      <c r="TFS16" s="508" t="s">
        <v>581</v>
      </c>
      <c r="TFT16" s="508" t="s">
        <v>581</v>
      </c>
      <c r="TFU16" s="508" t="s">
        <v>581</v>
      </c>
      <c r="TFV16" s="508" t="s">
        <v>581</v>
      </c>
      <c r="TFW16" s="508" t="s">
        <v>581</v>
      </c>
      <c r="TFX16" s="508" t="s">
        <v>581</v>
      </c>
      <c r="TFY16" s="508" t="s">
        <v>581</v>
      </c>
      <c r="TFZ16" s="508" t="s">
        <v>581</v>
      </c>
      <c r="TGA16" s="508" t="s">
        <v>581</v>
      </c>
      <c r="TGB16" s="508" t="s">
        <v>581</v>
      </c>
      <c r="TGC16" s="508" t="s">
        <v>581</v>
      </c>
      <c r="TGD16" s="508" t="s">
        <v>581</v>
      </c>
      <c r="TGE16" s="508" t="s">
        <v>581</v>
      </c>
      <c r="TGF16" s="508" t="s">
        <v>581</v>
      </c>
      <c r="TGG16" s="508" t="s">
        <v>581</v>
      </c>
      <c r="TGH16" s="508" t="s">
        <v>581</v>
      </c>
      <c r="TGI16" s="508" t="s">
        <v>581</v>
      </c>
      <c r="TGJ16" s="508" t="s">
        <v>581</v>
      </c>
      <c r="TGK16" s="508" t="s">
        <v>581</v>
      </c>
      <c r="TGL16" s="508" t="s">
        <v>581</v>
      </c>
      <c r="TGM16" s="508" t="s">
        <v>581</v>
      </c>
      <c r="TGN16" s="508" t="s">
        <v>581</v>
      </c>
      <c r="TGO16" s="508" t="s">
        <v>581</v>
      </c>
      <c r="TGP16" s="508" t="s">
        <v>581</v>
      </c>
      <c r="TGQ16" s="508" t="s">
        <v>581</v>
      </c>
      <c r="TGR16" s="508" t="s">
        <v>581</v>
      </c>
      <c r="TGS16" s="508" t="s">
        <v>581</v>
      </c>
      <c r="TGT16" s="508" t="s">
        <v>581</v>
      </c>
      <c r="TGU16" s="508" t="s">
        <v>581</v>
      </c>
      <c r="TGV16" s="508" t="s">
        <v>581</v>
      </c>
      <c r="TGW16" s="508" t="s">
        <v>581</v>
      </c>
      <c r="TGX16" s="508" t="s">
        <v>581</v>
      </c>
      <c r="TGY16" s="508" t="s">
        <v>581</v>
      </c>
      <c r="TGZ16" s="508" t="s">
        <v>581</v>
      </c>
      <c r="THA16" s="508" t="s">
        <v>581</v>
      </c>
      <c r="THB16" s="508" t="s">
        <v>581</v>
      </c>
      <c r="THC16" s="508" t="s">
        <v>581</v>
      </c>
      <c r="THD16" s="508" t="s">
        <v>581</v>
      </c>
      <c r="THE16" s="508" t="s">
        <v>581</v>
      </c>
      <c r="THF16" s="508" t="s">
        <v>581</v>
      </c>
      <c r="THG16" s="508" t="s">
        <v>581</v>
      </c>
      <c r="THH16" s="508" t="s">
        <v>581</v>
      </c>
      <c r="THI16" s="508" t="s">
        <v>581</v>
      </c>
      <c r="THJ16" s="508" t="s">
        <v>581</v>
      </c>
      <c r="THK16" s="508" t="s">
        <v>581</v>
      </c>
      <c r="THL16" s="508" t="s">
        <v>581</v>
      </c>
      <c r="THM16" s="508" t="s">
        <v>581</v>
      </c>
      <c r="THN16" s="508" t="s">
        <v>581</v>
      </c>
      <c r="THO16" s="508" t="s">
        <v>581</v>
      </c>
      <c r="THP16" s="508" t="s">
        <v>581</v>
      </c>
      <c r="THQ16" s="508" t="s">
        <v>581</v>
      </c>
      <c r="THR16" s="508" t="s">
        <v>581</v>
      </c>
      <c r="THS16" s="508" t="s">
        <v>581</v>
      </c>
      <c r="THT16" s="508" t="s">
        <v>581</v>
      </c>
      <c r="THU16" s="508" t="s">
        <v>581</v>
      </c>
      <c r="THV16" s="508" t="s">
        <v>581</v>
      </c>
      <c r="THW16" s="508" t="s">
        <v>581</v>
      </c>
      <c r="THX16" s="508" t="s">
        <v>581</v>
      </c>
      <c r="THY16" s="508" t="s">
        <v>581</v>
      </c>
      <c r="THZ16" s="508" t="s">
        <v>581</v>
      </c>
      <c r="TIA16" s="508" t="s">
        <v>581</v>
      </c>
      <c r="TIB16" s="508" t="s">
        <v>581</v>
      </c>
      <c r="TIC16" s="508" t="s">
        <v>581</v>
      </c>
      <c r="TID16" s="508" t="s">
        <v>581</v>
      </c>
      <c r="TIE16" s="508" t="s">
        <v>581</v>
      </c>
      <c r="TIF16" s="508" t="s">
        <v>581</v>
      </c>
      <c r="TIG16" s="508" t="s">
        <v>581</v>
      </c>
      <c r="TIH16" s="508" t="s">
        <v>581</v>
      </c>
      <c r="TII16" s="508" t="s">
        <v>581</v>
      </c>
      <c r="TIJ16" s="508" t="s">
        <v>581</v>
      </c>
      <c r="TIK16" s="508" t="s">
        <v>581</v>
      </c>
      <c r="TIL16" s="508" t="s">
        <v>581</v>
      </c>
      <c r="TIM16" s="508" t="s">
        <v>581</v>
      </c>
      <c r="TIN16" s="508" t="s">
        <v>581</v>
      </c>
      <c r="TIO16" s="508" t="s">
        <v>581</v>
      </c>
      <c r="TIP16" s="508" t="s">
        <v>581</v>
      </c>
      <c r="TIQ16" s="508" t="s">
        <v>581</v>
      </c>
      <c r="TIR16" s="508" t="s">
        <v>581</v>
      </c>
      <c r="TIS16" s="508" t="s">
        <v>581</v>
      </c>
      <c r="TIT16" s="508" t="s">
        <v>581</v>
      </c>
      <c r="TIU16" s="508" t="s">
        <v>581</v>
      </c>
      <c r="TIV16" s="508" t="s">
        <v>581</v>
      </c>
      <c r="TIW16" s="508" t="s">
        <v>581</v>
      </c>
      <c r="TIX16" s="508" t="s">
        <v>581</v>
      </c>
      <c r="TIY16" s="508" t="s">
        <v>581</v>
      </c>
      <c r="TIZ16" s="508" t="s">
        <v>581</v>
      </c>
      <c r="TJA16" s="508" t="s">
        <v>581</v>
      </c>
      <c r="TJB16" s="508" t="s">
        <v>581</v>
      </c>
      <c r="TJC16" s="508" t="s">
        <v>581</v>
      </c>
      <c r="TJD16" s="508" t="s">
        <v>581</v>
      </c>
      <c r="TJE16" s="508" t="s">
        <v>581</v>
      </c>
      <c r="TJF16" s="508" t="s">
        <v>581</v>
      </c>
      <c r="TJG16" s="508" t="s">
        <v>581</v>
      </c>
      <c r="TJH16" s="508" t="s">
        <v>581</v>
      </c>
      <c r="TJI16" s="508" t="s">
        <v>581</v>
      </c>
      <c r="TJJ16" s="508" t="s">
        <v>581</v>
      </c>
      <c r="TJK16" s="508" t="s">
        <v>581</v>
      </c>
      <c r="TJL16" s="508" t="s">
        <v>581</v>
      </c>
      <c r="TJM16" s="508" t="s">
        <v>581</v>
      </c>
      <c r="TJN16" s="508" t="s">
        <v>581</v>
      </c>
      <c r="TJO16" s="508" t="s">
        <v>581</v>
      </c>
      <c r="TJP16" s="508" t="s">
        <v>581</v>
      </c>
      <c r="TJQ16" s="508" t="s">
        <v>581</v>
      </c>
      <c r="TJR16" s="508" t="s">
        <v>581</v>
      </c>
      <c r="TJS16" s="508" t="s">
        <v>581</v>
      </c>
      <c r="TJT16" s="508" t="s">
        <v>581</v>
      </c>
      <c r="TJU16" s="508" t="s">
        <v>581</v>
      </c>
      <c r="TJV16" s="508" t="s">
        <v>581</v>
      </c>
      <c r="TJW16" s="508" t="s">
        <v>581</v>
      </c>
      <c r="TJX16" s="508" t="s">
        <v>581</v>
      </c>
      <c r="TJY16" s="508" t="s">
        <v>581</v>
      </c>
      <c r="TJZ16" s="508" t="s">
        <v>581</v>
      </c>
      <c r="TKA16" s="508" t="s">
        <v>581</v>
      </c>
      <c r="TKB16" s="508" t="s">
        <v>581</v>
      </c>
      <c r="TKC16" s="508" t="s">
        <v>581</v>
      </c>
      <c r="TKD16" s="508" t="s">
        <v>581</v>
      </c>
      <c r="TKE16" s="508" t="s">
        <v>581</v>
      </c>
      <c r="TKF16" s="508" t="s">
        <v>581</v>
      </c>
      <c r="TKG16" s="508" t="s">
        <v>581</v>
      </c>
      <c r="TKH16" s="508" t="s">
        <v>581</v>
      </c>
      <c r="TKI16" s="508" t="s">
        <v>581</v>
      </c>
      <c r="TKJ16" s="508" t="s">
        <v>581</v>
      </c>
      <c r="TKK16" s="508" t="s">
        <v>581</v>
      </c>
      <c r="TKL16" s="508" t="s">
        <v>581</v>
      </c>
      <c r="TKM16" s="508" t="s">
        <v>581</v>
      </c>
      <c r="TKN16" s="508" t="s">
        <v>581</v>
      </c>
      <c r="TKO16" s="508" t="s">
        <v>581</v>
      </c>
      <c r="TKP16" s="508" t="s">
        <v>581</v>
      </c>
      <c r="TKQ16" s="508" t="s">
        <v>581</v>
      </c>
      <c r="TKR16" s="508" t="s">
        <v>581</v>
      </c>
      <c r="TKS16" s="508" t="s">
        <v>581</v>
      </c>
      <c r="TKT16" s="508" t="s">
        <v>581</v>
      </c>
      <c r="TKU16" s="508" t="s">
        <v>581</v>
      </c>
      <c r="TKV16" s="508" t="s">
        <v>581</v>
      </c>
      <c r="TKW16" s="508" t="s">
        <v>581</v>
      </c>
      <c r="TKX16" s="508" t="s">
        <v>581</v>
      </c>
      <c r="TKY16" s="508" t="s">
        <v>581</v>
      </c>
      <c r="TKZ16" s="508" t="s">
        <v>581</v>
      </c>
      <c r="TLA16" s="508" t="s">
        <v>581</v>
      </c>
      <c r="TLB16" s="508" t="s">
        <v>581</v>
      </c>
      <c r="TLC16" s="508" t="s">
        <v>581</v>
      </c>
      <c r="TLD16" s="508" t="s">
        <v>581</v>
      </c>
      <c r="TLE16" s="508" t="s">
        <v>581</v>
      </c>
      <c r="TLF16" s="508" t="s">
        <v>581</v>
      </c>
      <c r="TLG16" s="508" t="s">
        <v>581</v>
      </c>
      <c r="TLH16" s="508" t="s">
        <v>581</v>
      </c>
      <c r="TLI16" s="508" t="s">
        <v>581</v>
      </c>
      <c r="TLJ16" s="508" t="s">
        <v>581</v>
      </c>
      <c r="TLK16" s="508" t="s">
        <v>581</v>
      </c>
      <c r="TLL16" s="508" t="s">
        <v>581</v>
      </c>
      <c r="TLM16" s="508" t="s">
        <v>581</v>
      </c>
      <c r="TLN16" s="508" t="s">
        <v>581</v>
      </c>
      <c r="TLO16" s="508" t="s">
        <v>581</v>
      </c>
      <c r="TLP16" s="508" t="s">
        <v>581</v>
      </c>
      <c r="TLQ16" s="508" t="s">
        <v>581</v>
      </c>
      <c r="TLR16" s="508" t="s">
        <v>581</v>
      </c>
      <c r="TLS16" s="508" t="s">
        <v>581</v>
      </c>
      <c r="TLT16" s="508" t="s">
        <v>581</v>
      </c>
      <c r="TLU16" s="508" t="s">
        <v>581</v>
      </c>
      <c r="TLV16" s="508" t="s">
        <v>581</v>
      </c>
      <c r="TLW16" s="508" t="s">
        <v>581</v>
      </c>
      <c r="TLX16" s="508" t="s">
        <v>581</v>
      </c>
      <c r="TLY16" s="508" t="s">
        <v>581</v>
      </c>
      <c r="TLZ16" s="508" t="s">
        <v>581</v>
      </c>
      <c r="TMA16" s="508" t="s">
        <v>581</v>
      </c>
      <c r="TMB16" s="508" t="s">
        <v>581</v>
      </c>
      <c r="TMC16" s="508" t="s">
        <v>581</v>
      </c>
      <c r="TMD16" s="508" t="s">
        <v>581</v>
      </c>
      <c r="TME16" s="508" t="s">
        <v>581</v>
      </c>
      <c r="TMF16" s="508" t="s">
        <v>581</v>
      </c>
      <c r="TMG16" s="508" t="s">
        <v>581</v>
      </c>
      <c r="TMH16" s="508" t="s">
        <v>581</v>
      </c>
      <c r="TMI16" s="508" t="s">
        <v>581</v>
      </c>
      <c r="TMJ16" s="508" t="s">
        <v>581</v>
      </c>
      <c r="TMK16" s="508" t="s">
        <v>581</v>
      </c>
      <c r="TML16" s="508" t="s">
        <v>581</v>
      </c>
      <c r="TMM16" s="508" t="s">
        <v>581</v>
      </c>
      <c r="TMN16" s="508" t="s">
        <v>581</v>
      </c>
      <c r="TMO16" s="508" t="s">
        <v>581</v>
      </c>
      <c r="TMP16" s="508" t="s">
        <v>581</v>
      </c>
      <c r="TMQ16" s="508" t="s">
        <v>581</v>
      </c>
      <c r="TMR16" s="508" t="s">
        <v>581</v>
      </c>
      <c r="TMS16" s="508" t="s">
        <v>581</v>
      </c>
      <c r="TMT16" s="508" t="s">
        <v>581</v>
      </c>
      <c r="TMU16" s="508" t="s">
        <v>581</v>
      </c>
      <c r="TMV16" s="508" t="s">
        <v>581</v>
      </c>
      <c r="TMW16" s="508" t="s">
        <v>581</v>
      </c>
      <c r="TMX16" s="508" t="s">
        <v>581</v>
      </c>
      <c r="TMY16" s="508" t="s">
        <v>581</v>
      </c>
      <c r="TMZ16" s="508" t="s">
        <v>581</v>
      </c>
      <c r="TNA16" s="508" t="s">
        <v>581</v>
      </c>
      <c r="TNB16" s="508" t="s">
        <v>581</v>
      </c>
      <c r="TNC16" s="508" t="s">
        <v>581</v>
      </c>
      <c r="TND16" s="508" t="s">
        <v>581</v>
      </c>
      <c r="TNE16" s="508" t="s">
        <v>581</v>
      </c>
      <c r="TNF16" s="508" t="s">
        <v>581</v>
      </c>
      <c r="TNG16" s="508" t="s">
        <v>581</v>
      </c>
      <c r="TNH16" s="508" t="s">
        <v>581</v>
      </c>
      <c r="TNI16" s="508" t="s">
        <v>581</v>
      </c>
      <c r="TNJ16" s="508" t="s">
        <v>581</v>
      </c>
      <c r="TNK16" s="508" t="s">
        <v>581</v>
      </c>
      <c r="TNL16" s="508" t="s">
        <v>581</v>
      </c>
      <c r="TNM16" s="508" t="s">
        <v>581</v>
      </c>
      <c r="TNN16" s="508" t="s">
        <v>581</v>
      </c>
      <c r="TNO16" s="508" t="s">
        <v>581</v>
      </c>
      <c r="TNP16" s="508" t="s">
        <v>581</v>
      </c>
      <c r="TNQ16" s="508" t="s">
        <v>581</v>
      </c>
      <c r="TNR16" s="508" t="s">
        <v>581</v>
      </c>
      <c r="TNS16" s="508" t="s">
        <v>581</v>
      </c>
      <c r="TNT16" s="508" t="s">
        <v>581</v>
      </c>
      <c r="TNU16" s="508" t="s">
        <v>581</v>
      </c>
      <c r="TNV16" s="508" t="s">
        <v>581</v>
      </c>
      <c r="TNW16" s="508" t="s">
        <v>581</v>
      </c>
      <c r="TNX16" s="508" t="s">
        <v>581</v>
      </c>
      <c r="TNY16" s="508" t="s">
        <v>581</v>
      </c>
      <c r="TNZ16" s="508" t="s">
        <v>581</v>
      </c>
      <c r="TOA16" s="508" t="s">
        <v>581</v>
      </c>
      <c r="TOB16" s="508" t="s">
        <v>581</v>
      </c>
      <c r="TOC16" s="508" t="s">
        <v>581</v>
      </c>
      <c r="TOD16" s="508" t="s">
        <v>581</v>
      </c>
      <c r="TOE16" s="508" t="s">
        <v>581</v>
      </c>
      <c r="TOF16" s="508" t="s">
        <v>581</v>
      </c>
      <c r="TOG16" s="508" t="s">
        <v>581</v>
      </c>
      <c r="TOH16" s="508" t="s">
        <v>581</v>
      </c>
      <c r="TOI16" s="508" t="s">
        <v>581</v>
      </c>
      <c r="TOJ16" s="508" t="s">
        <v>581</v>
      </c>
      <c r="TOK16" s="508" t="s">
        <v>581</v>
      </c>
      <c r="TOL16" s="508" t="s">
        <v>581</v>
      </c>
      <c r="TOM16" s="508" t="s">
        <v>581</v>
      </c>
      <c r="TON16" s="508" t="s">
        <v>581</v>
      </c>
      <c r="TOO16" s="508" t="s">
        <v>581</v>
      </c>
      <c r="TOP16" s="508" t="s">
        <v>581</v>
      </c>
      <c r="TOQ16" s="508" t="s">
        <v>581</v>
      </c>
      <c r="TOR16" s="508" t="s">
        <v>581</v>
      </c>
      <c r="TOS16" s="508" t="s">
        <v>581</v>
      </c>
      <c r="TOT16" s="508" t="s">
        <v>581</v>
      </c>
      <c r="TOU16" s="508" t="s">
        <v>581</v>
      </c>
      <c r="TOV16" s="508" t="s">
        <v>581</v>
      </c>
      <c r="TOW16" s="508" t="s">
        <v>581</v>
      </c>
      <c r="TOX16" s="508" t="s">
        <v>581</v>
      </c>
      <c r="TOY16" s="508" t="s">
        <v>581</v>
      </c>
      <c r="TOZ16" s="508" t="s">
        <v>581</v>
      </c>
      <c r="TPA16" s="508" t="s">
        <v>581</v>
      </c>
      <c r="TPB16" s="508" t="s">
        <v>581</v>
      </c>
      <c r="TPC16" s="508" t="s">
        <v>581</v>
      </c>
      <c r="TPD16" s="508" t="s">
        <v>581</v>
      </c>
      <c r="TPE16" s="508" t="s">
        <v>581</v>
      </c>
      <c r="TPF16" s="508" t="s">
        <v>581</v>
      </c>
      <c r="TPG16" s="508" t="s">
        <v>581</v>
      </c>
      <c r="TPH16" s="508" t="s">
        <v>581</v>
      </c>
      <c r="TPI16" s="508" t="s">
        <v>581</v>
      </c>
      <c r="TPJ16" s="508" t="s">
        <v>581</v>
      </c>
      <c r="TPK16" s="508" t="s">
        <v>581</v>
      </c>
      <c r="TPL16" s="508" t="s">
        <v>581</v>
      </c>
      <c r="TPM16" s="508" t="s">
        <v>581</v>
      </c>
      <c r="TPN16" s="508" t="s">
        <v>581</v>
      </c>
      <c r="TPO16" s="508" t="s">
        <v>581</v>
      </c>
      <c r="TPP16" s="508" t="s">
        <v>581</v>
      </c>
      <c r="TPQ16" s="508" t="s">
        <v>581</v>
      </c>
      <c r="TPR16" s="508" t="s">
        <v>581</v>
      </c>
      <c r="TPS16" s="508" t="s">
        <v>581</v>
      </c>
      <c r="TPT16" s="508" t="s">
        <v>581</v>
      </c>
      <c r="TPU16" s="508" t="s">
        <v>581</v>
      </c>
      <c r="TPV16" s="508" t="s">
        <v>581</v>
      </c>
      <c r="TPW16" s="508" t="s">
        <v>581</v>
      </c>
      <c r="TPX16" s="508" t="s">
        <v>581</v>
      </c>
      <c r="TPY16" s="508" t="s">
        <v>581</v>
      </c>
      <c r="TPZ16" s="508" t="s">
        <v>581</v>
      </c>
      <c r="TQA16" s="508" t="s">
        <v>581</v>
      </c>
      <c r="TQB16" s="508" t="s">
        <v>581</v>
      </c>
      <c r="TQC16" s="508" t="s">
        <v>581</v>
      </c>
      <c r="TQD16" s="508" t="s">
        <v>581</v>
      </c>
      <c r="TQE16" s="508" t="s">
        <v>581</v>
      </c>
      <c r="TQF16" s="508" t="s">
        <v>581</v>
      </c>
      <c r="TQG16" s="508" t="s">
        <v>581</v>
      </c>
      <c r="TQH16" s="508" t="s">
        <v>581</v>
      </c>
      <c r="TQI16" s="508" t="s">
        <v>581</v>
      </c>
      <c r="TQJ16" s="508" t="s">
        <v>581</v>
      </c>
      <c r="TQK16" s="508" t="s">
        <v>581</v>
      </c>
      <c r="TQL16" s="508" t="s">
        <v>581</v>
      </c>
      <c r="TQM16" s="508" t="s">
        <v>581</v>
      </c>
      <c r="TQN16" s="508" t="s">
        <v>581</v>
      </c>
      <c r="TQO16" s="508" t="s">
        <v>581</v>
      </c>
      <c r="TQP16" s="508" t="s">
        <v>581</v>
      </c>
      <c r="TQQ16" s="508" t="s">
        <v>581</v>
      </c>
      <c r="TQR16" s="508" t="s">
        <v>581</v>
      </c>
      <c r="TQS16" s="508" t="s">
        <v>581</v>
      </c>
      <c r="TQT16" s="508" t="s">
        <v>581</v>
      </c>
      <c r="TQU16" s="508" t="s">
        <v>581</v>
      </c>
      <c r="TQV16" s="508" t="s">
        <v>581</v>
      </c>
      <c r="TQW16" s="508" t="s">
        <v>581</v>
      </c>
      <c r="TQX16" s="508" t="s">
        <v>581</v>
      </c>
      <c r="TQY16" s="508" t="s">
        <v>581</v>
      </c>
      <c r="TQZ16" s="508" t="s">
        <v>581</v>
      </c>
      <c r="TRA16" s="508" t="s">
        <v>581</v>
      </c>
      <c r="TRB16" s="508" t="s">
        <v>581</v>
      </c>
      <c r="TRC16" s="508" t="s">
        <v>581</v>
      </c>
      <c r="TRD16" s="508" t="s">
        <v>581</v>
      </c>
      <c r="TRE16" s="508" t="s">
        <v>581</v>
      </c>
      <c r="TRF16" s="508" t="s">
        <v>581</v>
      </c>
      <c r="TRG16" s="508" t="s">
        <v>581</v>
      </c>
      <c r="TRH16" s="508" t="s">
        <v>581</v>
      </c>
      <c r="TRI16" s="508" t="s">
        <v>581</v>
      </c>
      <c r="TRJ16" s="508" t="s">
        <v>581</v>
      </c>
      <c r="TRK16" s="508" t="s">
        <v>581</v>
      </c>
      <c r="TRL16" s="508" t="s">
        <v>581</v>
      </c>
      <c r="TRM16" s="508" t="s">
        <v>581</v>
      </c>
      <c r="TRN16" s="508" t="s">
        <v>581</v>
      </c>
      <c r="TRO16" s="508" t="s">
        <v>581</v>
      </c>
      <c r="TRP16" s="508" t="s">
        <v>581</v>
      </c>
      <c r="TRQ16" s="508" t="s">
        <v>581</v>
      </c>
      <c r="TRR16" s="508" t="s">
        <v>581</v>
      </c>
      <c r="TRS16" s="508" t="s">
        <v>581</v>
      </c>
      <c r="TRT16" s="508" t="s">
        <v>581</v>
      </c>
      <c r="TRU16" s="508" t="s">
        <v>581</v>
      </c>
      <c r="TRV16" s="508" t="s">
        <v>581</v>
      </c>
      <c r="TRW16" s="508" t="s">
        <v>581</v>
      </c>
      <c r="TRX16" s="508" t="s">
        <v>581</v>
      </c>
      <c r="TRY16" s="508" t="s">
        <v>581</v>
      </c>
      <c r="TRZ16" s="508" t="s">
        <v>581</v>
      </c>
      <c r="TSA16" s="508" t="s">
        <v>581</v>
      </c>
      <c r="TSB16" s="508" t="s">
        <v>581</v>
      </c>
      <c r="TSC16" s="508" t="s">
        <v>581</v>
      </c>
      <c r="TSD16" s="508" t="s">
        <v>581</v>
      </c>
      <c r="TSE16" s="508" t="s">
        <v>581</v>
      </c>
      <c r="TSF16" s="508" t="s">
        <v>581</v>
      </c>
      <c r="TSG16" s="508" t="s">
        <v>581</v>
      </c>
      <c r="TSH16" s="508" t="s">
        <v>581</v>
      </c>
      <c r="TSI16" s="508" t="s">
        <v>581</v>
      </c>
      <c r="TSJ16" s="508" t="s">
        <v>581</v>
      </c>
      <c r="TSK16" s="508" t="s">
        <v>581</v>
      </c>
      <c r="TSL16" s="508" t="s">
        <v>581</v>
      </c>
      <c r="TSM16" s="508" t="s">
        <v>581</v>
      </c>
      <c r="TSN16" s="508" t="s">
        <v>581</v>
      </c>
      <c r="TSO16" s="508" t="s">
        <v>581</v>
      </c>
      <c r="TSP16" s="508" t="s">
        <v>581</v>
      </c>
      <c r="TSQ16" s="508" t="s">
        <v>581</v>
      </c>
      <c r="TSR16" s="508" t="s">
        <v>581</v>
      </c>
      <c r="TSS16" s="508" t="s">
        <v>581</v>
      </c>
      <c r="TST16" s="508" t="s">
        <v>581</v>
      </c>
      <c r="TSU16" s="508" t="s">
        <v>581</v>
      </c>
      <c r="TSV16" s="508" t="s">
        <v>581</v>
      </c>
      <c r="TSW16" s="508" t="s">
        <v>581</v>
      </c>
      <c r="TSX16" s="508" t="s">
        <v>581</v>
      </c>
      <c r="TSY16" s="508" t="s">
        <v>581</v>
      </c>
      <c r="TSZ16" s="508" t="s">
        <v>581</v>
      </c>
      <c r="TTA16" s="508" t="s">
        <v>581</v>
      </c>
      <c r="TTB16" s="508" t="s">
        <v>581</v>
      </c>
      <c r="TTC16" s="508" t="s">
        <v>581</v>
      </c>
      <c r="TTD16" s="508" t="s">
        <v>581</v>
      </c>
      <c r="TTE16" s="508" t="s">
        <v>581</v>
      </c>
      <c r="TTF16" s="508" t="s">
        <v>581</v>
      </c>
      <c r="TTG16" s="508" t="s">
        <v>581</v>
      </c>
      <c r="TTH16" s="508" t="s">
        <v>581</v>
      </c>
      <c r="TTI16" s="508" t="s">
        <v>581</v>
      </c>
      <c r="TTJ16" s="508" t="s">
        <v>581</v>
      </c>
      <c r="TTK16" s="508" t="s">
        <v>581</v>
      </c>
      <c r="TTL16" s="508" t="s">
        <v>581</v>
      </c>
      <c r="TTM16" s="508" t="s">
        <v>581</v>
      </c>
      <c r="TTN16" s="508" t="s">
        <v>581</v>
      </c>
      <c r="TTO16" s="508" t="s">
        <v>581</v>
      </c>
      <c r="TTP16" s="508" t="s">
        <v>581</v>
      </c>
      <c r="TTQ16" s="508" t="s">
        <v>581</v>
      </c>
      <c r="TTR16" s="508" t="s">
        <v>581</v>
      </c>
      <c r="TTS16" s="508" t="s">
        <v>581</v>
      </c>
      <c r="TTT16" s="508" t="s">
        <v>581</v>
      </c>
      <c r="TTU16" s="508" t="s">
        <v>581</v>
      </c>
      <c r="TTV16" s="508" t="s">
        <v>581</v>
      </c>
      <c r="TTW16" s="508" t="s">
        <v>581</v>
      </c>
      <c r="TTX16" s="508" t="s">
        <v>581</v>
      </c>
      <c r="TTY16" s="508" t="s">
        <v>581</v>
      </c>
      <c r="TTZ16" s="508" t="s">
        <v>581</v>
      </c>
      <c r="TUA16" s="508" t="s">
        <v>581</v>
      </c>
      <c r="TUB16" s="508" t="s">
        <v>581</v>
      </c>
      <c r="TUC16" s="508" t="s">
        <v>581</v>
      </c>
      <c r="TUD16" s="508" t="s">
        <v>581</v>
      </c>
      <c r="TUE16" s="508" t="s">
        <v>581</v>
      </c>
      <c r="TUF16" s="508" t="s">
        <v>581</v>
      </c>
      <c r="TUG16" s="508" t="s">
        <v>581</v>
      </c>
      <c r="TUH16" s="508" t="s">
        <v>581</v>
      </c>
      <c r="TUI16" s="508" t="s">
        <v>581</v>
      </c>
      <c r="TUJ16" s="508" t="s">
        <v>581</v>
      </c>
      <c r="TUK16" s="508" t="s">
        <v>581</v>
      </c>
      <c r="TUL16" s="508" t="s">
        <v>581</v>
      </c>
      <c r="TUM16" s="508" t="s">
        <v>581</v>
      </c>
      <c r="TUN16" s="508" t="s">
        <v>581</v>
      </c>
      <c r="TUO16" s="508" t="s">
        <v>581</v>
      </c>
      <c r="TUP16" s="508" t="s">
        <v>581</v>
      </c>
      <c r="TUQ16" s="508" t="s">
        <v>581</v>
      </c>
      <c r="TUR16" s="508" t="s">
        <v>581</v>
      </c>
      <c r="TUS16" s="508" t="s">
        <v>581</v>
      </c>
      <c r="TUT16" s="508" t="s">
        <v>581</v>
      </c>
      <c r="TUU16" s="508" t="s">
        <v>581</v>
      </c>
      <c r="TUV16" s="508" t="s">
        <v>581</v>
      </c>
      <c r="TUW16" s="508" t="s">
        <v>581</v>
      </c>
      <c r="TUX16" s="508" t="s">
        <v>581</v>
      </c>
      <c r="TUY16" s="508" t="s">
        <v>581</v>
      </c>
      <c r="TUZ16" s="508" t="s">
        <v>581</v>
      </c>
      <c r="TVA16" s="508" t="s">
        <v>581</v>
      </c>
      <c r="TVB16" s="508" t="s">
        <v>581</v>
      </c>
      <c r="TVC16" s="508" t="s">
        <v>581</v>
      </c>
      <c r="TVD16" s="508" t="s">
        <v>581</v>
      </c>
      <c r="TVE16" s="508" t="s">
        <v>581</v>
      </c>
      <c r="TVF16" s="508" t="s">
        <v>581</v>
      </c>
      <c r="TVG16" s="508" t="s">
        <v>581</v>
      </c>
      <c r="TVH16" s="508" t="s">
        <v>581</v>
      </c>
      <c r="TVI16" s="508" t="s">
        <v>581</v>
      </c>
      <c r="TVJ16" s="508" t="s">
        <v>581</v>
      </c>
      <c r="TVK16" s="508" t="s">
        <v>581</v>
      </c>
      <c r="TVL16" s="508" t="s">
        <v>581</v>
      </c>
      <c r="TVM16" s="508" t="s">
        <v>581</v>
      </c>
      <c r="TVN16" s="508" t="s">
        <v>581</v>
      </c>
      <c r="TVO16" s="508" t="s">
        <v>581</v>
      </c>
      <c r="TVP16" s="508" t="s">
        <v>581</v>
      </c>
      <c r="TVQ16" s="508" t="s">
        <v>581</v>
      </c>
      <c r="TVR16" s="508" t="s">
        <v>581</v>
      </c>
      <c r="TVS16" s="508" t="s">
        <v>581</v>
      </c>
      <c r="TVT16" s="508" t="s">
        <v>581</v>
      </c>
      <c r="TVU16" s="508" t="s">
        <v>581</v>
      </c>
      <c r="TVV16" s="508" t="s">
        <v>581</v>
      </c>
      <c r="TVW16" s="508" t="s">
        <v>581</v>
      </c>
      <c r="TVX16" s="508" t="s">
        <v>581</v>
      </c>
      <c r="TVY16" s="508" t="s">
        <v>581</v>
      </c>
      <c r="TVZ16" s="508" t="s">
        <v>581</v>
      </c>
      <c r="TWA16" s="508" t="s">
        <v>581</v>
      </c>
      <c r="TWB16" s="508" t="s">
        <v>581</v>
      </c>
      <c r="TWC16" s="508" t="s">
        <v>581</v>
      </c>
      <c r="TWD16" s="508" t="s">
        <v>581</v>
      </c>
      <c r="TWE16" s="508" t="s">
        <v>581</v>
      </c>
      <c r="TWF16" s="508" t="s">
        <v>581</v>
      </c>
      <c r="TWG16" s="508" t="s">
        <v>581</v>
      </c>
      <c r="TWH16" s="508" t="s">
        <v>581</v>
      </c>
      <c r="TWI16" s="508" t="s">
        <v>581</v>
      </c>
      <c r="TWJ16" s="508" t="s">
        <v>581</v>
      </c>
      <c r="TWK16" s="508" t="s">
        <v>581</v>
      </c>
      <c r="TWL16" s="508" t="s">
        <v>581</v>
      </c>
      <c r="TWM16" s="508" t="s">
        <v>581</v>
      </c>
      <c r="TWN16" s="508" t="s">
        <v>581</v>
      </c>
      <c r="TWO16" s="508" t="s">
        <v>581</v>
      </c>
      <c r="TWP16" s="508" t="s">
        <v>581</v>
      </c>
      <c r="TWQ16" s="508" t="s">
        <v>581</v>
      </c>
      <c r="TWR16" s="508" t="s">
        <v>581</v>
      </c>
      <c r="TWS16" s="508" t="s">
        <v>581</v>
      </c>
      <c r="TWT16" s="508" t="s">
        <v>581</v>
      </c>
      <c r="TWU16" s="508" t="s">
        <v>581</v>
      </c>
      <c r="TWV16" s="508" t="s">
        <v>581</v>
      </c>
      <c r="TWW16" s="508" t="s">
        <v>581</v>
      </c>
      <c r="TWX16" s="508" t="s">
        <v>581</v>
      </c>
      <c r="TWY16" s="508" t="s">
        <v>581</v>
      </c>
      <c r="TWZ16" s="508" t="s">
        <v>581</v>
      </c>
      <c r="TXA16" s="508" t="s">
        <v>581</v>
      </c>
      <c r="TXB16" s="508" t="s">
        <v>581</v>
      </c>
      <c r="TXC16" s="508" t="s">
        <v>581</v>
      </c>
      <c r="TXD16" s="508" t="s">
        <v>581</v>
      </c>
      <c r="TXE16" s="508" t="s">
        <v>581</v>
      </c>
      <c r="TXF16" s="508" t="s">
        <v>581</v>
      </c>
      <c r="TXG16" s="508" t="s">
        <v>581</v>
      </c>
      <c r="TXH16" s="508" t="s">
        <v>581</v>
      </c>
      <c r="TXI16" s="508" t="s">
        <v>581</v>
      </c>
      <c r="TXJ16" s="508" t="s">
        <v>581</v>
      </c>
      <c r="TXK16" s="508" t="s">
        <v>581</v>
      </c>
      <c r="TXL16" s="508" t="s">
        <v>581</v>
      </c>
      <c r="TXM16" s="508" t="s">
        <v>581</v>
      </c>
      <c r="TXN16" s="508" t="s">
        <v>581</v>
      </c>
      <c r="TXO16" s="508" t="s">
        <v>581</v>
      </c>
      <c r="TXP16" s="508" t="s">
        <v>581</v>
      </c>
      <c r="TXQ16" s="508" t="s">
        <v>581</v>
      </c>
      <c r="TXR16" s="508" t="s">
        <v>581</v>
      </c>
      <c r="TXS16" s="508" t="s">
        <v>581</v>
      </c>
      <c r="TXT16" s="508" t="s">
        <v>581</v>
      </c>
      <c r="TXU16" s="508" t="s">
        <v>581</v>
      </c>
      <c r="TXV16" s="508" t="s">
        <v>581</v>
      </c>
      <c r="TXW16" s="508" t="s">
        <v>581</v>
      </c>
      <c r="TXX16" s="508" t="s">
        <v>581</v>
      </c>
      <c r="TXY16" s="508" t="s">
        <v>581</v>
      </c>
      <c r="TXZ16" s="508" t="s">
        <v>581</v>
      </c>
      <c r="TYA16" s="508" t="s">
        <v>581</v>
      </c>
      <c r="TYB16" s="508" t="s">
        <v>581</v>
      </c>
      <c r="TYC16" s="508" t="s">
        <v>581</v>
      </c>
      <c r="TYD16" s="508" t="s">
        <v>581</v>
      </c>
      <c r="TYE16" s="508" t="s">
        <v>581</v>
      </c>
      <c r="TYF16" s="508" t="s">
        <v>581</v>
      </c>
      <c r="TYG16" s="508" t="s">
        <v>581</v>
      </c>
      <c r="TYH16" s="508" t="s">
        <v>581</v>
      </c>
      <c r="TYI16" s="508" t="s">
        <v>581</v>
      </c>
      <c r="TYJ16" s="508" t="s">
        <v>581</v>
      </c>
      <c r="TYK16" s="508" t="s">
        <v>581</v>
      </c>
      <c r="TYL16" s="508" t="s">
        <v>581</v>
      </c>
      <c r="TYM16" s="508" t="s">
        <v>581</v>
      </c>
      <c r="TYN16" s="508" t="s">
        <v>581</v>
      </c>
      <c r="TYO16" s="508" t="s">
        <v>581</v>
      </c>
      <c r="TYP16" s="508" t="s">
        <v>581</v>
      </c>
      <c r="TYQ16" s="508" t="s">
        <v>581</v>
      </c>
      <c r="TYR16" s="508" t="s">
        <v>581</v>
      </c>
      <c r="TYS16" s="508" t="s">
        <v>581</v>
      </c>
      <c r="TYT16" s="508" t="s">
        <v>581</v>
      </c>
      <c r="TYU16" s="508" t="s">
        <v>581</v>
      </c>
      <c r="TYV16" s="508" t="s">
        <v>581</v>
      </c>
      <c r="TYW16" s="508" t="s">
        <v>581</v>
      </c>
      <c r="TYX16" s="508" t="s">
        <v>581</v>
      </c>
      <c r="TYY16" s="508" t="s">
        <v>581</v>
      </c>
      <c r="TYZ16" s="508" t="s">
        <v>581</v>
      </c>
      <c r="TZA16" s="508" t="s">
        <v>581</v>
      </c>
      <c r="TZB16" s="508" t="s">
        <v>581</v>
      </c>
      <c r="TZC16" s="508" t="s">
        <v>581</v>
      </c>
      <c r="TZD16" s="508" t="s">
        <v>581</v>
      </c>
      <c r="TZE16" s="508" t="s">
        <v>581</v>
      </c>
      <c r="TZF16" s="508" t="s">
        <v>581</v>
      </c>
      <c r="TZG16" s="508" t="s">
        <v>581</v>
      </c>
      <c r="TZH16" s="508" t="s">
        <v>581</v>
      </c>
      <c r="TZI16" s="508" t="s">
        <v>581</v>
      </c>
      <c r="TZJ16" s="508" t="s">
        <v>581</v>
      </c>
      <c r="TZK16" s="508" t="s">
        <v>581</v>
      </c>
      <c r="TZL16" s="508" t="s">
        <v>581</v>
      </c>
      <c r="TZM16" s="508" t="s">
        <v>581</v>
      </c>
      <c r="TZN16" s="508" t="s">
        <v>581</v>
      </c>
      <c r="TZO16" s="508" t="s">
        <v>581</v>
      </c>
      <c r="TZP16" s="508" t="s">
        <v>581</v>
      </c>
      <c r="TZQ16" s="508" t="s">
        <v>581</v>
      </c>
      <c r="TZR16" s="508" t="s">
        <v>581</v>
      </c>
      <c r="TZS16" s="508" t="s">
        <v>581</v>
      </c>
      <c r="TZT16" s="508" t="s">
        <v>581</v>
      </c>
      <c r="TZU16" s="508" t="s">
        <v>581</v>
      </c>
      <c r="TZV16" s="508" t="s">
        <v>581</v>
      </c>
      <c r="TZW16" s="508" t="s">
        <v>581</v>
      </c>
      <c r="TZX16" s="508" t="s">
        <v>581</v>
      </c>
      <c r="TZY16" s="508" t="s">
        <v>581</v>
      </c>
      <c r="TZZ16" s="508" t="s">
        <v>581</v>
      </c>
      <c r="UAA16" s="508" t="s">
        <v>581</v>
      </c>
      <c r="UAB16" s="508" t="s">
        <v>581</v>
      </c>
      <c r="UAC16" s="508" t="s">
        <v>581</v>
      </c>
      <c r="UAD16" s="508" t="s">
        <v>581</v>
      </c>
      <c r="UAE16" s="508" t="s">
        <v>581</v>
      </c>
      <c r="UAF16" s="508" t="s">
        <v>581</v>
      </c>
      <c r="UAG16" s="508" t="s">
        <v>581</v>
      </c>
      <c r="UAH16" s="508" t="s">
        <v>581</v>
      </c>
      <c r="UAI16" s="508" t="s">
        <v>581</v>
      </c>
      <c r="UAJ16" s="508" t="s">
        <v>581</v>
      </c>
      <c r="UAK16" s="508" t="s">
        <v>581</v>
      </c>
      <c r="UAL16" s="508" t="s">
        <v>581</v>
      </c>
      <c r="UAM16" s="508" t="s">
        <v>581</v>
      </c>
      <c r="UAN16" s="508" t="s">
        <v>581</v>
      </c>
      <c r="UAO16" s="508" t="s">
        <v>581</v>
      </c>
      <c r="UAP16" s="508" t="s">
        <v>581</v>
      </c>
      <c r="UAQ16" s="508" t="s">
        <v>581</v>
      </c>
      <c r="UAR16" s="508" t="s">
        <v>581</v>
      </c>
      <c r="UAS16" s="508" t="s">
        <v>581</v>
      </c>
      <c r="UAT16" s="508" t="s">
        <v>581</v>
      </c>
      <c r="UAU16" s="508" t="s">
        <v>581</v>
      </c>
      <c r="UAV16" s="508" t="s">
        <v>581</v>
      </c>
      <c r="UAW16" s="508" t="s">
        <v>581</v>
      </c>
      <c r="UAX16" s="508" t="s">
        <v>581</v>
      </c>
      <c r="UAY16" s="508" t="s">
        <v>581</v>
      </c>
      <c r="UAZ16" s="508" t="s">
        <v>581</v>
      </c>
      <c r="UBA16" s="508" t="s">
        <v>581</v>
      </c>
      <c r="UBB16" s="508" t="s">
        <v>581</v>
      </c>
      <c r="UBC16" s="508" t="s">
        <v>581</v>
      </c>
      <c r="UBD16" s="508" t="s">
        <v>581</v>
      </c>
      <c r="UBE16" s="508" t="s">
        <v>581</v>
      </c>
      <c r="UBF16" s="508" t="s">
        <v>581</v>
      </c>
      <c r="UBG16" s="508" t="s">
        <v>581</v>
      </c>
      <c r="UBH16" s="508" t="s">
        <v>581</v>
      </c>
      <c r="UBI16" s="508" t="s">
        <v>581</v>
      </c>
      <c r="UBJ16" s="508" t="s">
        <v>581</v>
      </c>
      <c r="UBK16" s="508" t="s">
        <v>581</v>
      </c>
      <c r="UBL16" s="508" t="s">
        <v>581</v>
      </c>
      <c r="UBM16" s="508" t="s">
        <v>581</v>
      </c>
      <c r="UBN16" s="508" t="s">
        <v>581</v>
      </c>
      <c r="UBO16" s="508" t="s">
        <v>581</v>
      </c>
      <c r="UBP16" s="508" t="s">
        <v>581</v>
      </c>
      <c r="UBQ16" s="508" t="s">
        <v>581</v>
      </c>
      <c r="UBR16" s="508" t="s">
        <v>581</v>
      </c>
      <c r="UBS16" s="508" t="s">
        <v>581</v>
      </c>
      <c r="UBT16" s="508" t="s">
        <v>581</v>
      </c>
      <c r="UBU16" s="508" t="s">
        <v>581</v>
      </c>
      <c r="UBV16" s="508" t="s">
        <v>581</v>
      </c>
      <c r="UBW16" s="508" t="s">
        <v>581</v>
      </c>
      <c r="UBX16" s="508" t="s">
        <v>581</v>
      </c>
      <c r="UBY16" s="508" t="s">
        <v>581</v>
      </c>
      <c r="UBZ16" s="508" t="s">
        <v>581</v>
      </c>
      <c r="UCA16" s="508" t="s">
        <v>581</v>
      </c>
      <c r="UCB16" s="508" t="s">
        <v>581</v>
      </c>
      <c r="UCC16" s="508" t="s">
        <v>581</v>
      </c>
      <c r="UCD16" s="508" t="s">
        <v>581</v>
      </c>
      <c r="UCE16" s="508" t="s">
        <v>581</v>
      </c>
      <c r="UCF16" s="508" t="s">
        <v>581</v>
      </c>
      <c r="UCG16" s="508" t="s">
        <v>581</v>
      </c>
      <c r="UCH16" s="508" t="s">
        <v>581</v>
      </c>
      <c r="UCI16" s="508" t="s">
        <v>581</v>
      </c>
      <c r="UCJ16" s="508" t="s">
        <v>581</v>
      </c>
      <c r="UCK16" s="508" t="s">
        <v>581</v>
      </c>
      <c r="UCL16" s="508" t="s">
        <v>581</v>
      </c>
      <c r="UCM16" s="508" t="s">
        <v>581</v>
      </c>
      <c r="UCN16" s="508" t="s">
        <v>581</v>
      </c>
      <c r="UCO16" s="508" t="s">
        <v>581</v>
      </c>
      <c r="UCP16" s="508" t="s">
        <v>581</v>
      </c>
      <c r="UCQ16" s="508" t="s">
        <v>581</v>
      </c>
      <c r="UCR16" s="508" t="s">
        <v>581</v>
      </c>
      <c r="UCS16" s="508" t="s">
        <v>581</v>
      </c>
      <c r="UCT16" s="508" t="s">
        <v>581</v>
      </c>
      <c r="UCU16" s="508" t="s">
        <v>581</v>
      </c>
      <c r="UCV16" s="508" t="s">
        <v>581</v>
      </c>
      <c r="UCW16" s="508" t="s">
        <v>581</v>
      </c>
      <c r="UCX16" s="508" t="s">
        <v>581</v>
      </c>
      <c r="UCY16" s="508" t="s">
        <v>581</v>
      </c>
      <c r="UCZ16" s="508" t="s">
        <v>581</v>
      </c>
      <c r="UDA16" s="508" t="s">
        <v>581</v>
      </c>
      <c r="UDB16" s="508" t="s">
        <v>581</v>
      </c>
      <c r="UDC16" s="508" t="s">
        <v>581</v>
      </c>
      <c r="UDD16" s="508" t="s">
        <v>581</v>
      </c>
      <c r="UDE16" s="508" t="s">
        <v>581</v>
      </c>
      <c r="UDF16" s="508" t="s">
        <v>581</v>
      </c>
      <c r="UDG16" s="508" t="s">
        <v>581</v>
      </c>
      <c r="UDH16" s="508" t="s">
        <v>581</v>
      </c>
      <c r="UDI16" s="508" t="s">
        <v>581</v>
      </c>
      <c r="UDJ16" s="508" t="s">
        <v>581</v>
      </c>
      <c r="UDK16" s="508" t="s">
        <v>581</v>
      </c>
      <c r="UDL16" s="508" t="s">
        <v>581</v>
      </c>
      <c r="UDM16" s="508" t="s">
        <v>581</v>
      </c>
      <c r="UDN16" s="508" t="s">
        <v>581</v>
      </c>
      <c r="UDO16" s="508" t="s">
        <v>581</v>
      </c>
      <c r="UDP16" s="508" t="s">
        <v>581</v>
      </c>
      <c r="UDQ16" s="508" t="s">
        <v>581</v>
      </c>
      <c r="UDR16" s="508" t="s">
        <v>581</v>
      </c>
      <c r="UDS16" s="508" t="s">
        <v>581</v>
      </c>
      <c r="UDT16" s="508" t="s">
        <v>581</v>
      </c>
      <c r="UDU16" s="508" t="s">
        <v>581</v>
      </c>
      <c r="UDV16" s="508" t="s">
        <v>581</v>
      </c>
      <c r="UDW16" s="508" t="s">
        <v>581</v>
      </c>
      <c r="UDX16" s="508" t="s">
        <v>581</v>
      </c>
      <c r="UDY16" s="508" t="s">
        <v>581</v>
      </c>
      <c r="UDZ16" s="508" t="s">
        <v>581</v>
      </c>
      <c r="UEA16" s="508" t="s">
        <v>581</v>
      </c>
      <c r="UEB16" s="508" t="s">
        <v>581</v>
      </c>
      <c r="UEC16" s="508" t="s">
        <v>581</v>
      </c>
      <c r="UED16" s="508" t="s">
        <v>581</v>
      </c>
      <c r="UEE16" s="508" t="s">
        <v>581</v>
      </c>
      <c r="UEF16" s="508" t="s">
        <v>581</v>
      </c>
      <c r="UEG16" s="508" t="s">
        <v>581</v>
      </c>
      <c r="UEH16" s="508" t="s">
        <v>581</v>
      </c>
      <c r="UEI16" s="508" t="s">
        <v>581</v>
      </c>
      <c r="UEJ16" s="508" t="s">
        <v>581</v>
      </c>
      <c r="UEK16" s="508" t="s">
        <v>581</v>
      </c>
      <c r="UEL16" s="508" t="s">
        <v>581</v>
      </c>
      <c r="UEM16" s="508" t="s">
        <v>581</v>
      </c>
      <c r="UEN16" s="508" t="s">
        <v>581</v>
      </c>
      <c r="UEO16" s="508" t="s">
        <v>581</v>
      </c>
      <c r="UEP16" s="508" t="s">
        <v>581</v>
      </c>
      <c r="UEQ16" s="508" t="s">
        <v>581</v>
      </c>
      <c r="UER16" s="508" t="s">
        <v>581</v>
      </c>
      <c r="UES16" s="508" t="s">
        <v>581</v>
      </c>
      <c r="UET16" s="508" t="s">
        <v>581</v>
      </c>
      <c r="UEU16" s="508" t="s">
        <v>581</v>
      </c>
      <c r="UEV16" s="508" t="s">
        <v>581</v>
      </c>
      <c r="UEW16" s="508" t="s">
        <v>581</v>
      </c>
      <c r="UEX16" s="508" t="s">
        <v>581</v>
      </c>
      <c r="UEY16" s="508" t="s">
        <v>581</v>
      </c>
      <c r="UEZ16" s="508" t="s">
        <v>581</v>
      </c>
      <c r="UFA16" s="508" t="s">
        <v>581</v>
      </c>
      <c r="UFB16" s="508" t="s">
        <v>581</v>
      </c>
      <c r="UFC16" s="508" t="s">
        <v>581</v>
      </c>
      <c r="UFD16" s="508" t="s">
        <v>581</v>
      </c>
      <c r="UFE16" s="508" t="s">
        <v>581</v>
      </c>
      <c r="UFF16" s="508" t="s">
        <v>581</v>
      </c>
      <c r="UFG16" s="508" t="s">
        <v>581</v>
      </c>
      <c r="UFH16" s="508" t="s">
        <v>581</v>
      </c>
      <c r="UFI16" s="508" t="s">
        <v>581</v>
      </c>
      <c r="UFJ16" s="508" t="s">
        <v>581</v>
      </c>
      <c r="UFK16" s="508" t="s">
        <v>581</v>
      </c>
      <c r="UFL16" s="508" t="s">
        <v>581</v>
      </c>
      <c r="UFM16" s="508" t="s">
        <v>581</v>
      </c>
      <c r="UFN16" s="508" t="s">
        <v>581</v>
      </c>
      <c r="UFO16" s="508" t="s">
        <v>581</v>
      </c>
      <c r="UFP16" s="508" t="s">
        <v>581</v>
      </c>
      <c r="UFQ16" s="508" t="s">
        <v>581</v>
      </c>
      <c r="UFR16" s="508" t="s">
        <v>581</v>
      </c>
      <c r="UFS16" s="508" t="s">
        <v>581</v>
      </c>
      <c r="UFT16" s="508" t="s">
        <v>581</v>
      </c>
      <c r="UFU16" s="508" t="s">
        <v>581</v>
      </c>
      <c r="UFV16" s="508" t="s">
        <v>581</v>
      </c>
      <c r="UFW16" s="508" t="s">
        <v>581</v>
      </c>
      <c r="UFX16" s="508" t="s">
        <v>581</v>
      </c>
      <c r="UFY16" s="508" t="s">
        <v>581</v>
      </c>
      <c r="UFZ16" s="508" t="s">
        <v>581</v>
      </c>
      <c r="UGA16" s="508" t="s">
        <v>581</v>
      </c>
      <c r="UGB16" s="508" t="s">
        <v>581</v>
      </c>
      <c r="UGC16" s="508" t="s">
        <v>581</v>
      </c>
      <c r="UGD16" s="508" t="s">
        <v>581</v>
      </c>
      <c r="UGE16" s="508" t="s">
        <v>581</v>
      </c>
      <c r="UGF16" s="508" t="s">
        <v>581</v>
      </c>
      <c r="UGG16" s="508" t="s">
        <v>581</v>
      </c>
      <c r="UGH16" s="508" t="s">
        <v>581</v>
      </c>
      <c r="UGI16" s="508" t="s">
        <v>581</v>
      </c>
      <c r="UGJ16" s="508" t="s">
        <v>581</v>
      </c>
      <c r="UGK16" s="508" t="s">
        <v>581</v>
      </c>
      <c r="UGL16" s="508" t="s">
        <v>581</v>
      </c>
      <c r="UGM16" s="508" t="s">
        <v>581</v>
      </c>
      <c r="UGN16" s="508" t="s">
        <v>581</v>
      </c>
      <c r="UGO16" s="508" t="s">
        <v>581</v>
      </c>
      <c r="UGP16" s="508" t="s">
        <v>581</v>
      </c>
      <c r="UGQ16" s="508" t="s">
        <v>581</v>
      </c>
      <c r="UGR16" s="508" t="s">
        <v>581</v>
      </c>
      <c r="UGS16" s="508" t="s">
        <v>581</v>
      </c>
      <c r="UGT16" s="508" t="s">
        <v>581</v>
      </c>
      <c r="UGU16" s="508" t="s">
        <v>581</v>
      </c>
      <c r="UGV16" s="508" t="s">
        <v>581</v>
      </c>
      <c r="UGW16" s="508" t="s">
        <v>581</v>
      </c>
      <c r="UGX16" s="508" t="s">
        <v>581</v>
      </c>
      <c r="UGY16" s="508" t="s">
        <v>581</v>
      </c>
      <c r="UGZ16" s="508" t="s">
        <v>581</v>
      </c>
      <c r="UHA16" s="508" t="s">
        <v>581</v>
      </c>
      <c r="UHB16" s="508" t="s">
        <v>581</v>
      </c>
      <c r="UHC16" s="508" t="s">
        <v>581</v>
      </c>
      <c r="UHD16" s="508" t="s">
        <v>581</v>
      </c>
      <c r="UHE16" s="508" t="s">
        <v>581</v>
      </c>
      <c r="UHF16" s="508" t="s">
        <v>581</v>
      </c>
      <c r="UHG16" s="508" t="s">
        <v>581</v>
      </c>
      <c r="UHH16" s="508" t="s">
        <v>581</v>
      </c>
      <c r="UHI16" s="508" t="s">
        <v>581</v>
      </c>
      <c r="UHJ16" s="508" t="s">
        <v>581</v>
      </c>
      <c r="UHK16" s="508" t="s">
        <v>581</v>
      </c>
      <c r="UHL16" s="508" t="s">
        <v>581</v>
      </c>
      <c r="UHM16" s="508" t="s">
        <v>581</v>
      </c>
      <c r="UHN16" s="508" t="s">
        <v>581</v>
      </c>
      <c r="UHO16" s="508" t="s">
        <v>581</v>
      </c>
      <c r="UHP16" s="508" t="s">
        <v>581</v>
      </c>
      <c r="UHQ16" s="508" t="s">
        <v>581</v>
      </c>
      <c r="UHR16" s="508" t="s">
        <v>581</v>
      </c>
      <c r="UHS16" s="508" t="s">
        <v>581</v>
      </c>
      <c r="UHT16" s="508" t="s">
        <v>581</v>
      </c>
      <c r="UHU16" s="508" t="s">
        <v>581</v>
      </c>
      <c r="UHV16" s="508" t="s">
        <v>581</v>
      </c>
      <c r="UHW16" s="508" t="s">
        <v>581</v>
      </c>
      <c r="UHX16" s="508" t="s">
        <v>581</v>
      </c>
      <c r="UHY16" s="508" t="s">
        <v>581</v>
      </c>
      <c r="UHZ16" s="508" t="s">
        <v>581</v>
      </c>
      <c r="UIA16" s="508" t="s">
        <v>581</v>
      </c>
      <c r="UIB16" s="508" t="s">
        <v>581</v>
      </c>
      <c r="UIC16" s="508" t="s">
        <v>581</v>
      </c>
      <c r="UID16" s="508" t="s">
        <v>581</v>
      </c>
      <c r="UIE16" s="508" t="s">
        <v>581</v>
      </c>
      <c r="UIF16" s="508" t="s">
        <v>581</v>
      </c>
      <c r="UIG16" s="508" t="s">
        <v>581</v>
      </c>
      <c r="UIH16" s="508" t="s">
        <v>581</v>
      </c>
      <c r="UII16" s="508" t="s">
        <v>581</v>
      </c>
      <c r="UIJ16" s="508" t="s">
        <v>581</v>
      </c>
      <c r="UIK16" s="508" t="s">
        <v>581</v>
      </c>
      <c r="UIL16" s="508" t="s">
        <v>581</v>
      </c>
      <c r="UIM16" s="508" t="s">
        <v>581</v>
      </c>
      <c r="UIN16" s="508" t="s">
        <v>581</v>
      </c>
      <c r="UIO16" s="508" t="s">
        <v>581</v>
      </c>
      <c r="UIP16" s="508" t="s">
        <v>581</v>
      </c>
      <c r="UIQ16" s="508" t="s">
        <v>581</v>
      </c>
      <c r="UIR16" s="508" t="s">
        <v>581</v>
      </c>
      <c r="UIS16" s="508" t="s">
        <v>581</v>
      </c>
      <c r="UIT16" s="508" t="s">
        <v>581</v>
      </c>
      <c r="UIU16" s="508" t="s">
        <v>581</v>
      </c>
      <c r="UIV16" s="508" t="s">
        <v>581</v>
      </c>
      <c r="UIW16" s="508" t="s">
        <v>581</v>
      </c>
      <c r="UIX16" s="508" t="s">
        <v>581</v>
      </c>
      <c r="UIY16" s="508" t="s">
        <v>581</v>
      </c>
      <c r="UIZ16" s="508" t="s">
        <v>581</v>
      </c>
      <c r="UJA16" s="508" t="s">
        <v>581</v>
      </c>
      <c r="UJB16" s="508" t="s">
        <v>581</v>
      </c>
      <c r="UJC16" s="508" t="s">
        <v>581</v>
      </c>
      <c r="UJD16" s="508" t="s">
        <v>581</v>
      </c>
      <c r="UJE16" s="508" t="s">
        <v>581</v>
      </c>
      <c r="UJF16" s="508" t="s">
        <v>581</v>
      </c>
      <c r="UJG16" s="508" t="s">
        <v>581</v>
      </c>
      <c r="UJH16" s="508" t="s">
        <v>581</v>
      </c>
      <c r="UJI16" s="508" t="s">
        <v>581</v>
      </c>
      <c r="UJJ16" s="508" t="s">
        <v>581</v>
      </c>
      <c r="UJK16" s="508" t="s">
        <v>581</v>
      </c>
      <c r="UJL16" s="508" t="s">
        <v>581</v>
      </c>
      <c r="UJM16" s="508" t="s">
        <v>581</v>
      </c>
      <c r="UJN16" s="508" t="s">
        <v>581</v>
      </c>
      <c r="UJO16" s="508" t="s">
        <v>581</v>
      </c>
      <c r="UJP16" s="508" t="s">
        <v>581</v>
      </c>
      <c r="UJQ16" s="508" t="s">
        <v>581</v>
      </c>
      <c r="UJR16" s="508" t="s">
        <v>581</v>
      </c>
      <c r="UJS16" s="508" t="s">
        <v>581</v>
      </c>
      <c r="UJT16" s="508" t="s">
        <v>581</v>
      </c>
      <c r="UJU16" s="508" t="s">
        <v>581</v>
      </c>
      <c r="UJV16" s="508" t="s">
        <v>581</v>
      </c>
      <c r="UJW16" s="508" t="s">
        <v>581</v>
      </c>
      <c r="UJX16" s="508" t="s">
        <v>581</v>
      </c>
      <c r="UJY16" s="508" t="s">
        <v>581</v>
      </c>
      <c r="UJZ16" s="508" t="s">
        <v>581</v>
      </c>
      <c r="UKA16" s="508" t="s">
        <v>581</v>
      </c>
      <c r="UKB16" s="508" t="s">
        <v>581</v>
      </c>
      <c r="UKC16" s="508" t="s">
        <v>581</v>
      </c>
      <c r="UKD16" s="508" t="s">
        <v>581</v>
      </c>
      <c r="UKE16" s="508" t="s">
        <v>581</v>
      </c>
      <c r="UKF16" s="508" t="s">
        <v>581</v>
      </c>
      <c r="UKG16" s="508" t="s">
        <v>581</v>
      </c>
      <c r="UKH16" s="508" t="s">
        <v>581</v>
      </c>
      <c r="UKI16" s="508" t="s">
        <v>581</v>
      </c>
      <c r="UKJ16" s="508" t="s">
        <v>581</v>
      </c>
      <c r="UKK16" s="508" t="s">
        <v>581</v>
      </c>
      <c r="UKL16" s="508" t="s">
        <v>581</v>
      </c>
      <c r="UKM16" s="508" t="s">
        <v>581</v>
      </c>
      <c r="UKN16" s="508" t="s">
        <v>581</v>
      </c>
      <c r="UKO16" s="508" t="s">
        <v>581</v>
      </c>
      <c r="UKP16" s="508" t="s">
        <v>581</v>
      </c>
      <c r="UKQ16" s="508" t="s">
        <v>581</v>
      </c>
      <c r="UKR16" s="508" t="s">
        <v>581</v>
      </c>
      <c r="UKS16" s="508" t="s">
        <v>581</v>
      </c>
      <c r="UKT16" s="508" t="s">
        <v>581</v>
      </c>
      <c r="UKU16" s="508" t="s">
        <v>581</v>
      </c>
      <c r="UKV16" s="508" t="s">
        <v>581</v>
      </c>
      <c r="UKW16" s="508" t="s">
        <v>581</v>
      </c>
      <c r="UKX16" s="508" t="s">
        <v>581</v>
      </c>
      <c r="UKY16" s="508" t="s">
        <v>581</v>
      </c>
      <c r="UKZ16" s="508" t="s">
        <v>581</v>
      </c>
      <c r="ULA16" s="508" t="s">
        <v>581</v>
      </c>
      <c r="ULB16" s="508" t="s">
        <v>581</v>
      </c>
      <c r="ULC16" s="508" t="s">
        <v>581</v>
      </c>
      <c r="ULD16" s="508" t="s">
        <v>581</v>
      </c>
      <c r="ULE16" s="508" t="s">
        <v>581</v>
      </c>
      <c r="ULF16" s="508" t="s">
        <v>581</v>
      </c>
      <c r="ULG16" s="508" t="s">
        <v>581</v>
      </c>
      <c r="ULH16" s="508" t="s">
        <v>581</v>
      </c>
      <c r="ULI16" s="508" t="s">
        <v>581</v>
      </c>
      <c r="ULJ16" s="508" t="s">
        <v>581</v>
      </c>
      <c r="ULK16" s="508" t="s">
        <v>581</v>
      </c>
      <c r="ULL16" s="508" t="s">
        <v>581</v>
      </c>
      <c r="ULM16" s="508" t="s">
        <v>581</v>
      </c>
      <c r="ULN16" s="508" t="s">
        <v>581</v>
      </c>
      <c r="ULO16" s="508" t="s">
        <v>581</v>
      </c>
      <c r="ULP16" s="508" t="s">
        <v>581</v>
      </c>
      <c r="ULQ16" s="508" t="s">
        <v>581</v>
      </c>
      <c r="ULR16" s="508" t="s">
        <v>581</v>
      </c>
      <c r="ULS16" s="508" t="s">
        <v>581</v>
      </c>
      <c r="ULT16" s="508" t="s">
        <v>581</v>
      </c>
      <c r="ULU16" s="508" t="s">
        <v>581</v>
      </c>
      <c r="ULV16" s="508" t="s">
        <v>581</v>
      </c>
      <c r="ULW16" s="508" t="s">
        <v>581</v>
      </c>
      <c r="ULX16" s="508" t="s">
        <v>581</v>
      </c>
      <c r="ULY16" s="508" t="s">
        <v>581</v>
      </c>
      <c r="ULZ16" s="508" t="s">
        <v>581</v>
      </c>
      <c r="UMA16" s="508" t="s">
        <v>581</v>
      </c>
      <c r="UMB16" s="508" t="s">
        <v>581</v>
      </c>
      <c r="UMC16" s="508" t="s">
        <v>581</v>
      </c>
      <c r="UMD16" s="508" t="s">
        <v>581</v>
      </c>
      <c r="UME16" s="508" t="s">
        <v>581</v>
      </c>
      <c r="UMF16" s="508" t="s">
        <v>581</v>
      </c>
      <c r="UMG16" s="508" t="s">
        <v>581</v>
      </c>
      <c r="UMH16" s="508" t="s">
        <v>581</v>
      </c>
      <c r="UMI16" s="508" t="s">
        <v>581</v>
      </c>
      <c r="UMJ16" s="508" t="s">
        <v>581</v>
      </c>
      <c r="UMK16" s="508" t="s">
        <v>581</v>
      </c>
      <c r="UML16" s="508" t="s">
        <v>581</v>
      </c>
      <c r="UMM16" s="508" t="s">
        <v>581</v>
      </c>
      <c r="UMN16" s="508" t="s">
        <v>581</v>
      </c>
      <c r="UMO16" s="508" t="s">
        <v>581</v>
      </c>
      <c r="UMP16" s="508" t="s">
        <v>581</v>
      </c>
      <c r="UMQ16" s="508" t="s">
        <v>581</v>
      </c>
      <c r="UMR16" s="508" t="s">
        <v>581</v>
      </c>
      <c r="UMS16" s="508" t="s">
        <v>581</v>
      </c>
      <c r="UMT16" s="508" t="s">
        <v>581</v>
      </c>
      <c r="UMU16" s="508" t="s">
        <v>581</v>
      </c>
      <c r="UMV16" s="508" t="s">
        <v>581</v>
      </c>
      <c r="UMW16" s="508" t="s">
        <v>581</v>
      </c>
      <c r="UMX16" s="508" t="s">
        <v>581</v>
      </c>
      <c r="UMY16" s="508" t="s">
        <v>581</v>
      </c>
      <c r="UMZ16" s="508" t="s">
        <v>581</v>
      </c>
      <c r="UNA16" s="508" t="s">
        <v>581</v>
      </c>
      <c r="UNB16" s="508" t="s">
        <v>581</v>
      </c>
      <c r="UNC16" s="508" t="s">
        <v>581</v>
      </c>
      <c r="UND16" s="508" t="s">
        <v>581</v>
      </c>
      <c r="UNE16" s="508" t="s">
        <v>581</v>
      </c>
      <c r="UNF16" s="508" t="s">
        <v>581</v>
      </c>
      <c r="UNG16" s="508" t="s">
        <v>581</v>
      </c>
      <c r="UNH16" s="508" t="s">
        <v>581</v>
      </c>
      <c r="UNI16" s="508" t="s">
        <v>581</v>
      </c>
      <c r="UNJ16" s="508" t="s">
        <v>581</v>
      </c>
      <c r="UNK16" s="508" t="s">
        <v>581</v>
      </c>
      <c r="UNL16" s="508" t="s">
        <v>581</v>
      </c>
      <c r="UNM16" s="508" t="s">
        <v>581</v>
      </c>
      <c r="UNN16" s="508" t="s">
        <v>581</v>
      </c>
      <c r="UNO16" s="508" t="s">
        <v>581</v>
      </c>
      <c r="UNP16" s="508" t="s">
        <v>581</v>
      </c>
      <c r="UNQ16" s="508" t="s">
        <v>581</v>
      </c>
      <c r="UNR16" s="508" t="s">
        <v>581</v>
      </c>
      <c r="UNS16" s="508" t="s">
        <v>581</v>
      </c>
      <c r="UNT16" s="508" t="s">
        <v>581</v>
      </c>
      <c r="UNU16" s="508" t="s">
        <v>581</v>
      </c>
      <c r="UNV16" s="508" t="s">
        <v>581</v>
      </c>
      <c r="UNW16" s="508" t="s">
        <v>581</v>
      </c>
      <c r="UNX16" s="508" t="s">
        <v>581</v>
      </c>
      <c r="UNY16" s="508" t="s">
        <v>581</v>
      </c>
      <c r="UNZ16" s="508" t="s">
        <v>581</v>
      </c>
      <c r="UOA16" s="508" t="s">
        <v>581</v>
      </c>
      <c r="UOB16" s="508" t="s">
        <v>581</v>
      </c>
      <c r="UOC16" s="508" t="s">
        <v>581</v>
      </c>
      <c r="UOD16" s="508" t="s">
        <v>581</v>
      </c>
      <c r="UOE16" s="508" t="s">
        <v>581</v>
      </c>
      <c r="UOF16" s="508" t="s">
        <v>581</v>
      </c>
      <c r="UOG16" s="508" t="s">
        <v>581</v>
      </c>
      <c r="UOH16" s="508" t="s">
        <v>581</v>
      </c>
      <c r="UOI16" s="508" t="s">
        <v>581</v>
      </c>
      <c r="UOJ16" s="508" t="s">
        <v>581</v>
      </c>
      <c r="UOK16" s="508" t="s">
        <v>581</v>
      </c>
      <c r="UOL16" s="508" t="s">
        <v>581</v>
      </c>
      <c r="UOM16" s="508" t="s">
        <v>581</v>
      </c>
      <c r="UON16" s="508" t="s">
        <v>581</v>
      </c>
      <c r="UOO16" s="508" t="s">
        <v>581</v>
      </c>
      <c r="UOP16" s="508" t="s">
        <v>581</v>
      </c>
      <c r="UOQ16" s="508" t="s">
        <v>581</v>
      </c>
      <c r="UOR16" s="508" t="s">
        <v>581</v>
      </c>
      <c r="UOS16" s="508" t="s">
        <v>581</v>
      </c>
      <c r="UOT16" s="508" t="s">
        <v>581</v>
      </c>
      <c r="UOU16" s="508" t="s">
        <v>581</v>
      </c>
      <c r="UOV16" s="508" t="s">
        <v>581</v>
      </c>
      <c r="UOW16" s="508" t="s">
        <v>581</v>
      </c>
      <c r="UOX16" s="508" t="s">
        <v>581</v>
      </c>
      <c r="UOY16" s="508" t="s">
        <v>581</v>
      </c>
      <c r="UOZ16" s="508" t="s">
        <v>581</v>
      </c>
      <c r="UPA16" s="508" t="s">
        <v>581</v>
      </c>
      <c r="UPB16" s="508" t="s">
        <v>581</v>
      </c>
      <c r="UPC16" s="508" t="s">
        <v>581</v>
      </c>
      <c r="UPD16" s="508" t="s">
        <v>581</v>
      </c>
      <c r="UPE16" s="508" t="s">
        <v>581</v>
      </c>
      <c r="UPF16" s="508" t="s">
        <v>581</v>
      </c>
      <c r="UPG16" s="508" t="s">
        <v>581</v>
      </c>
      <c r="UPH16" s="508" t="s">
        <v>581</v>
      </c>
      <c r="UPI16" s="508" t="s">
        <v>581</v>
      </c>
      <c r="UPJ16" s="508" t="s">
        <v>581</v>
      </c>
      <c r="UPK16" s="508" t="s">
        <v>581</v>
      </c>
      <c r="UPL16" s="508" t="s">
        <v>581</v>
      </c>
      <c r="UPM16" s="508" t="s">
        <v>581</v>
      </c>
      <c r="UPN16" s="508" t="s">
        <v>581</v>
      </c>
      <c r="UPO16" s="508" t="s">
        <v>581</v>
      </c>
      <c r="UPP16" s="508" t="s">
        <v>581</v>
      </c>
      <c r="UPQ16" s="508" t="s">
        <v>581</v>
      </c>
      <c r="UPR16" s="508" t="s">
        <v>581</v>
      </c>
      <c r="UPS16" s="508" t="s">
        <v>581</v>
      </c>
      <c r="UPT16" s="508" t="s">
        <v>581</v>
      </c>
      <c r="UPU16" s="508" t="s">
        <v>581</v>
      </c>
      <c r="UPV16" s="508" t="s">
        <v>581</v>
      </c>
      <c r="UPW16" s="508" t="s">
        <v>581</v>
      </c>
      <c r="UPX16" s="508" t="s">
        <v>581</v>
      </c>
      <c r="UPY16" s="508" t="s">
        <v>581</v>
      </c>
      <c r="UPZ16" s="508" t="s">
        <v>581</v>
      </c>
      <c r="UQA16" s="508" t="s">
        <v>581</v>
      </c>
      <c r="UQB16" s="508" t="s">
        <v>581</v>
      </c>
      <c r="UQC16" s="508" t="s">
        <v>581</v>
      </c>
      <c r="UQD16" s="508" t="s">
        <v>581</v>
      </c>
      <c r="UQE16" s="508" t="s">
        <v>581</v>
      </c>
      <c r="UQF16" s="508" t="s">
        <v>581</v>
      </c>
      <c r="UQG16" s="508" t="s">
        <v>581</v>
      </c>
      <c r="UQH16" s="508" t="s">
        <v>581</v>
      </c>
      <c r="UQI16" s="508" t="s">
        <v>581</v>
      </c>
      <c r="UQJ16" s="508" t="s">
        <v>581</v>
      </c>
      <c r="UQK16" s="508" t="s">
        <v>581</v>
      </c>
      <c r="UQL16" s="508" t="s">
        <v>581</v>
      </c>
      <c r="UQM16" s="508" t="s">
        <v>581</v>
      </c>
      <c r="UQN16" s="508" t="s">
        <v>581</v>
      </c>
      <c r="UQO16" s="508" t="s">
        <v>581</v>
      </c>
      <c r="UQP16" s="508" t="s">
        <v>581</v>
      </c>
      <c r="UQQ16" s="508" t="s">
        <v>581</v>
      </c>
      <c r="UQR16" s="508" t="s">
        <v>581</v>
      </c>
      <c r="UQS16" s="508" t="s">
        <v>581</v>
      </c>
      <c r="UQT16" s="508" t="s">
        <v>581</v>
      </c>
      <c r="UQU16" s="508" t="s">
        <v>581</v>
      </c>
      <c r="UQV16" s="508" t="s">
        <v>581</v>
      </c>
      <c r="UQW16" s="508" t="s">
        <v>581</v>
      </c>
      <c r="UQX16" s="508" t="s">
        <v>581</v>
      </c>
      <c r="UQY16" s="508" t="s">
        <v>581</v>
      </c>
      <c r="UQZ16" s="508" t="s">
        <v>581</v>
      </c>
      <c r="URA16" s="508" t="s">
        <v>581</v>
      </c>
      <c r="URB16" s="508" t="s">
        <v>581</v>
      </c>
      <c r="URC16" s="508" t="s">
        <v>581</v>
      </c>
      <c r="URD16" s="508" t="s">
        <v>581</v>
      </c>
      <c r="URE16" s="508" t="s">
        <v>581</v>
      </c>
      <c r="URF16" s="508" t="s">
        <v>581</v>
      </c>
      <c r="URG16" s="508" t="s">
        <v>581</v>
      </c>
      <c r="URH16" s="508" t="s">
        <v>581</v>
      </c>
      <c r="URI16" s="508" t="s">
        <v>581</v>
      </c>
      <c r="URJ16" s="508" t="s">
        <v>581</v>
      </c>
      <c r="URK16" s="508" t="s">
        <v>581</v>
      </c>
      <c r="URL16" s="508" t="s">
        <v>581</v>
      </c>
      <c r="URM16" s="508" t="s">
        <v>581</v>
      </c>
      <c r="URN16" s="508" t="s">
        <v>581</v>
      </c>
      <c r="URO16" s="508" t="s">
        <v>581</v>
      </c>
      <c r="URP16" s="508" t="s">
        <v>581</v>
      </c>
      <c r="URQ16" s="508" t="s">
        <v>581</v>
      </c>
      <c r="URR16" s="508" t="s">
        <v>581</v>
      </c>
      <c r="URS16" s="508" t="s">
        <v>581</v>
      </c>
      <c r="URT16" s="508" t="s">
        <v>581</v>
      </c>
      <c r="URU16" s="508" t="s">
        <v>581</v>
      </c>
      <c r="URV16" s="508" t="s">
        <v>581</v>
      </c>
      <c r="URW16" s="508" t="s">
        <v>581</v>
      </c>
      <c r="URX16" s="508" t="s">
        <v>581</v>
      </c>
      <c r="URY16" s="508" t="s">
        <v>581</v>
      </c>
      <c r="URZ16" s="508" t="s">
        <v>581</v>
      </c>
      <c r="USA16" s="508" t="s">
        <v>581</v>
      </c>
      <c r="USB16" s="508" t="s">
        <v>581</v>
      </c>
      <c r="USC16" s="508" t="s">
        <v>581</v>
      </c>
      <c r="USD16" s="508" t="s">
        <v>581</v>
      </c>
      <c r="USE16" s="508" t="s">
        <v>581</v>
      </c>
      <c r="USF16" s="508" t="s">
        <v>581</v>
      </c>
      <c r="USG16" s="508" t="s">
        <v>581</v>
      </c>
      <c r="USH16" s="508" t="s">
        <v>581</v>
      </c>
      <c r="USI16" s="508" t="s">
        <v>581</v>
      </c>
      <c r="USJ16" s="508" t="s">
        <v>581</v>
      </c>
      <c r="USK16" s="508" t="s">
        <v>581</v>
      </c>
      <c r="USL16" s="508" t="s">
        <v>581</v>
      </c>
      <c r="USM16" s="508" t="s">
        <v>581</v>
      </c>
      <c r="USN16" s="508" t="s">
        <v>581</v>
      </c>
      <c r="USO16" s="508" t="s">
        <v>581</v>
      </c>
      <c r="USP16" s="508" t="s">
        <v>581</v>
      </c>
      <c r="USQ16" s="508" t="s">
        <v>581</v>
      </c>
      <c r="USR16" s="508" t="s">
        <v>581</v>
      </c>
      <c r="USS16" s="508" t="s">
        <v>581</v>
      </c>
      <c r="UST16" s="508" t="s">
        <v>581</v>
      </c>
      <c r="USU16" s="508" t="s">
        <v>581</v>
      </c>
      <c r="USV16" s="508" t="s">
        <v>581</v>
      </c>
      <c r="USW16" s="508" t="s">
        <v>581</v>
      </c>
      <c r="USX16" s="508" t="s">
        <v>581</v>
      </c>
      <c r="USY16" s="508" t="s">
        <v>581</v>
      </c>
      <c r="USZ16" s="508" t="s">
        <v>581</v>
      </c>
      <c r="UTA16" s="508" t="s">
        <v>581</v>
      </c>
      <c r="UTB16" s="508" t="s">
        <v>581</v>
      </c>
      <c r="UTC16" s="508" t="s">
        <v>581</v>
      </c>
      <c r="UTD16" s="508" t="s">
        <v>581</v>
      </c>
      <c r="UTE16" s="508" t="s">
        <v>581</v>
      </c>
      <c r="UTF16" s="508" t="s">
        <v>581</v>
      </c>
      <c r="UTG16" s="508" t="s">
        <v>581</v>
      </c>
      <c r="UTH16" s="508" t="s">
        <v>581</v>
      </c>
      <c r="UTI16" s="508" t="s">
        <v>581</v>
      </c>
      <c r="UTJ16" s="508" t="s">
        <v>581</v>
      </c>
      <c r="UTK16" s="508" t="s">
        <v>581</v>
      </c>
      <c r="UTL16" s="508" t="s">
        <v>581</v>
      </c>
      <c r="UTM16" s="508" t="s">
        <v>581</v>
      </c>
      <c r="UTN16" s="508" t="s">
        <v>581</v>
      </c>
      <c r="UTO16" s="508" t="s">
        <v>581</v>
      </c>
      <c r="UTP16" s="508" t="s">
        <v>581</v>
      </c>
      <c r="UTQ16" s="508" t="s">
        <v>581</v>
      </c>
      <c r="UTR16" s="508" t="s">
        <v>581</v>
      </c>
      <c r="UTS16" s="508" t="s">
        <v>581</v>
      </c>
      <c r="UTT16" s="508" t="s">
        <v>581</v>
      </c>
      <c r="UTU16" s="508" t="s">
        <v>581</v>
      </c>
      <c r="UTV16" s="508" t="s">
        <v>581</v>
      </c>
      <c r="UTW16" s="508" t="s">
        <v>581</v>
      </c>
      <c r="UTX16" s="508" t="s">
        <v>581</v>
      </c>
      <c r="UTY16" s="508" t="s">
        <v>581</v>
      </c>
      <c r="UTZ16" s="508" t="s">
        <v>581</v>
      </c>
      <c r="UUA16" s="508" t="s">
        <v>581</v>
      </c>
      <c r="UUB16" s="508" t="s">
        <v>581</v>
      </c>
      <c r="UUC16" s="508" t="s">
        <v>581</v>
      </c>
      <c r="UUD16" s="508" t="s">
        <v>581</v>
      </c>
      <c r="UUE16" s="508" t="s">
        <v>581</v>
      </c>
      <c r="UUF16" s="508" t="s">
        <v>581</v>
      </c>
      <c r="UUG16" s="508" t="s">
        <v>581</v>
      </c>
      <c r="UUH16" s="508" t="s">
        <v>581</v>
      </c>
      <c r="UUI16" s="508" t="s">
        <v>581</v>
      </c>
      <c r="UUJ16" s="508" t="s">
        <v>581</v>
      </c>
      <c r="UUK16" s="508" t="s">
        <v>581</v>
      </c>
      <c r="UUL16" s="508" t="s">
        <v>581</v>
      </c>
      <c r="UUM16" s="508" t="s">
        <v>581</v>
      </c>
      <c r="UUN16" s="508" t="s">
        <v>581</v>
      </c>
      <c r="UUO16" s="508" t="s">
        <v>581</v>
      </c>
      <c r="UUP16" s="508" t="s">
        <v>581</v>
      </c>
      <c r="UUQ16" s="508" t="s">
        <v>581</v>
      </c>
      <c r="UUR16" s="508" t="s">
        <v>581</v>
      </c>
      <c r="UUS16" s="508" t="s">
        <v>581</v>
      </c>
      <c r="UUT16" s="508" t="s">
        <v>581</v>
      </c>
      <c r="UUU16" s="508" t="s">
        <v>581</v>
      </c>
      <c r="UUV16" s="508" t="s">
        <v>581</v>
      </c>
      <c r="UUW16" s="508" t="s">
        <v>581</v>
      </c>
      <c r="UUX16" s="508" t="s">
        <v>581</v>
      </c>
      <c r="UUY16" s="508" t="s">
        <v>581</v>
      </c>
      <c r="UUZ16" s="508" t="s">
        <v>581</v>
      </c>
      <c r="UVA16" s="508" t="s">
        <v>581</v>
      </c>
      <c r="UVB16" s="508" t="s">
        <v>581</v>
      </c>
      <c r="UVC16" s="508" t="s">
        <v>581</v>
      </c>
      <c r="UVD16" s="508" t="s">
        <v>581</v>
      </c>
      <c r="UVE16" s="508" t="s">
        <v>581</v>
      </c>
      <c r="UVF16" s="508" t="s">
        <v>581</v>
      </c>
      <c r="UVG16" s="508" t="s">
        <v>581</v>
      </c>
      <c r="UVH16" s="508" t="s">
        <v>581</v>
      </c>
      <c r="UVI16" s="508" t="s">
        <v>581</v>
      </c>
      <c r="UVJ16" s="508" t="s">
        <v>581</v>
      </c>
      <c r="UVK16" s="508" t="s">
        <v>581</v>
      </c>
      <c r="UVL16" s="508" t="s">
        <v>581</v>
      </c>
      <c r="UVM16" s="508" t="s">
        <v>581</v>
      </c>
      <c r="UVN16" s="508" t="s">
        <v>581</v>
      </c>
      <c r="UVO16" s="508" t="s">
        <v>581</v>
      </c>
      <c r="UVP16" s="508" t="s">
        <v>581</v>
      </c>
      <c r="UVQ16" s="508" t="s">
        <v>581</v>
      </c>
      <c r="UVR16" s="508" t="s">
        <v>581</v>
      </c>
      <c r="UVS16" s="508" t="s">
        <v>581</v>
      </c>
      <c r="UVT16" s="508" t="s">
        <v>581</v>
      </c>
      <c r="UVU16" s="508" t="s">
        <v>581</v>
      </c>
      <c r="UVV16" s="508" t="s">
        <v>581</v>
      </c>
      <c r="UVW16" s="508" t="s">
        <v>581</v>
      </c>
      <c r="UVX16" s="508" t="s">
        <v>581</v>
      </c>
      <c r="UVY16" s="508" t="s">
        <v>581</v>
      </c>
      <c r="UVZ16" s="508" t="s">
        <v>581</v>
      </c>
      <c r="UWA16" s="508" t="s">
        <v>581</v>
      </c>
      <c r="UWB16" s="508" t="s">
        <v>581</v>
      </c>
      <c r="UWC16" s="508" t="s">
        <v>581</v>
      </c>
      <c r="UWD16" s="508" t="s">
        <v>581</v>
      </c>
      <c r="UWE16" s="508" t="s">
        <v>581</v>
      </c>
      <c r="UWF16" s="508" t="s">
        <v>581</v>
      </c>
      <c r="UWG16" s="508" t="s">
        <v>581</v>
      </c>
      <c r="UWH16" s="508" t="s">
        <v>581</v>
      </c>
      <c r="UWI16" s="508" t="s">
        <v>581</v>
      </c>
      <c r="UWJ16" s="508" t="s">
        <v>581</v>
      </c>
      <c r="UWK16" s="508" t="s">
        <v>581</v>
      </c>
      <c r="UWL16" s="508" t="s">
        <v>581</v>
      </c>
      <c r="UWM16" s="508" t="s">
        <v>581</v>
      </c>
      <c r="UWN16" s="508" t="s">
        <v>581</v>
      </c>
      <c r="UWO16" s="508" t="s">
        <v>581</v>
      </c>
      <c r="UWP16" s="508" t="s">
        <v>581</v>
      </c>
      <c r="UWQ16" s="508" t="s">
        <v>581</v>
      </c>
      <c r="UWR16" s="508" t="s">
        <v>581</v>
      </c>
      <c r="UWS16" s="508" t="s">
        <v>581</v>
      </c>
      <c r="UWT16" s="508" t="s">
        <v>581</v>
      </c>
      <c r="UWU16" s="508" t="s">
        <v>581</v>
      </c>
      <c r="UWV16" s="508" t="s">
        <v>581</v>
      </c>
      <c r="UWW16" s="508" t="s">
        <v>581</v>
      </c>
      <c r="UWX16" s="508" t="s">
        <v>581</v>
      </c>
      <c r="UWY16" s="508" t="s">
        <v>581</v>
      </c>
      <c r="UWZ16" s="508" t="s">
        <v>581</v>
      </c>
      <c r="UXA16" s="508" t="s">
        <v>581</v>
      </c>
      <c r="UXB16" s="508" t="s">
        <v>581</v>
      </c>
      <c r="UXC16" s="508" t="s">
        <v>581</v>
      </c>
      <c r="UXD16" s="508" t="s">
        <v>581</v>
      </c>
      <c r="UXE16" s="508" t="s">
        <v>581</v>
      </c>
      <c r="UXF16" s="508" t="s">
        <v>581</v>
      </c>
      <c r="UXG16" s="508" t="s">
        <v>581</v>
      </c>
      <c r="UXH16" s="508" t="s">
        <v>581</v>
      </c>
      <c r="UXI16" s="508" t="s">
        <v>581</v>
      </c>
      <c r="UXJ16" s="508" t="s">
        <v>581</v>
      </c>
      <c r="UXK16" s="508" t="s">
        <v>581</v>
      </c>
      <c r="UXL16" s="508" t="s">
        <v>581</v>
      </c>
      <c r="UXM16" s="508" t="s">
        <v>581</v>
      </c>
      <c r="UXN16" s="508" t="s">
        <v>581</v>
      </c>
      <c r="UXO16" s="508" t="s">
        <v>581</v>
      </c>
      <c r="UXP16" s="508" t="s">
        <v>581</v>
      </c>
      <c r="UXQ16" s="508" t="s">
        <v>581</v>
      </c>
      <c r="UXR16" s="508" t="s">
        <v>581</v>
      </c>
      <c r="UXS16" s="508" t="s">
        <v>581</v>
      </c>
      <c r="UXT16" s="508" t="s">
        <v>581</v>
      </c>
      <c r="UXU16" s="508" t="s">
        <v>581</v>
      </c>
      <c r="UXV16" s="508" t="s">
        <v>581</v>
      </c>
      <c r="UXW16" s="508" t="s">
        <v>581</v>
      </c>
      <c r="UXX16" s="508" t="s">
        <v>581</v>
      </c>
      <c r="UXY16" s="508" t="s">
        <v>581</v>
      </c>
      <c r="UXZ16" s="508" t="s">
        <v>581</v>
      </c>
      <c r="UYA16" s="508" t="s">
        <v>581</v>
      </c>
      <c r="UYB16" s="508" t="s">
        <v>581</v>
      </c>
      <c r="UYC16" s="508" t="s">
        <v>581</v>
      </c>
      <c r="UYD16" s="508" t="s">
        <v>581</v>
      </c>
      <c r="UYE16" s="508" t="s">
        <v>581</v>
      </c>
      <c r="UYF16" s="508" t="s">
        <v>581</v>
      </c>
      <c r="UYG16" s="508" t="s">
        <v>581</v>
      </c>
      <c r="UYH16" s="508" t="s">
        <v>581</v>
      </c>
      <c r="UYI16" s="508" t="s">
        <v>581</v>
      </c>
      <c r="UYJ16" s="508" t="s">
        <v>581</v>
      </c>
      <c r="UYK16" s="508" t="s">
        <v>581</v>
      </c>
      <c r="UYL16" s="508" t="s">
        <v>581</v>
      </c>
      <c r="UYM16" s="508" t="s">
        <v>581</v>
      </c>
      <c r="UYN16" s="508" t="s">
        <v>581</v>
      </c>
      <c r="UYO16" s="508" t="s">
        <v>581</v>
      </c>
      <c r="UYP16" s="508" t="s">
        <v>581</v>
      </c>
      <c r="UYQ16" s="508" t="s">
        <v>581</v>
      </c>
      <c r="UYR16" s="508" t="s">
        <v>581</v>
      </c>
      <c r="UYS16" s="508" t="s">
        <v>581</v>
      </c>
      <c r="UYT16" s="508" t="s">
        <v>581</v>
      </c>
      <c r="UYU16" s="508" t="s">
        <v>581</v>
      </c>
      <c r="UYV16" s="508" t="s">
        <v>581</v>
      </c>
      <c r="UYW16" s="508" t="s">
        <v>581</v>
      </c>
      <c r="UYX16" s="508" t="s">
        <v>581</v>
      </c>
      <c r="UYY16" s="508" t="s">
        <v>581</v>
      </c>
      <c r="UYZ16" s="508" t="s">
        <v>581</v>
      </c>
      <c r="UZA16" s="508" t="s">
        <v>581</v>
      </c>
      <c r="UZB16" s="508" t="s">
        <v>581</v>
      </c>
      <c r="UZC16" s="508" t="s">
        <v>581</v>
      </c>
      <c r="UZD16" s="508" t="s">
        <v>581</v>
      </c>
      <c r="UZE16" s="508" t="s">
        <v>581</v>
      </c>
      <c r="UZF16" s="508" t="s">
        <v>581</v>
      </c>
      <c r="UZG16" s="508" t="s">
        <v>581</v>
      </c>
      <c r="UZH16" s="508" t="s">
        <v>581</v>
      </c>
      <c r="UZI16" s="508" t="s">
        <v>581</v>
      </c>
      <c r="UZJ16" s="508" t="s">
        <v>581</v>
      </c>
      <c r="UZK16" s="508" t="s">
        <v>581</v>
      </c>
      <c r="UZL16" s="508" t="s">
        <v>581</v>
      </c>
      <c r="UZM16" s="508" t="s">
        <v>581</v>
      </c>
      <c r="UZN16" s="508" t="s">
        <v>581</v>
      </c>
      <c r="UZO16" s="508" t="s">
        <v>581</v>
      </c>
      <c r="UZP16" s="508" t="s">
        <v>581</v>
      </c>
      <c r="UZQ16" s="508" t="s">
        <v>581</v>
      </c>
      <c r="UZR16" s="508" t="s">
        <v>581</v>
      </c>
      <c r="UZS16" s="508" t="s">
        <v>581</v>
      </c>
      <c r="UZT16" s="508" t="s">
        <v>581</v>
      </c>
      <c r="UZU16" s="508" t="s">
        <v>581</v>
      </c>
      <c r="UZV16" s="508" t="s">
        <v>581</v>
      </c>
      <c r="UZW16" s="508" t="s">
        <v>581</v>
      </c>
      <c r="UZX16" s="508" t="s">
        <v>581</v>
      </c>
      <c r="UZY16" s="508" t="s">
        <v>581</v>
      </c>
      <c r="UZZ16" s="508" t="s">
        <v>581</v>
      </c>
      <c r="VAA16" s="508" t="s">
        <v>581</v>
      </c>
      <c r="VAB16" s="508" t="s">
        <v>581</v>
      </c>
      <c r="VAC16" s="508" t="s">
        <v>581</v>
      </c>
      <c r="VAD16" s="508" t="s">
        <v>581</v>
      </c>
      <c r="VAE16" s="508" t="s">
        <v>581</v>
      </c>
      <c r="VAF16" s="508" t="s">
        <v>581</v>
      </c>
      <c r="VAG16" s="508" t="s">
        <v>581</v>
      </c>
      <c r="VAH16" s="508" t="s">
        <v>581</v>
      </c>
      <c r="VAI16" s="508" t="s">
        <v>581</v>
      </c>
      <c r="VAJ16" s="508" t="s">
        <v>581</v>
      </c>
      <c r="VAK16" s="508" t="s">
        <v>581</v>
      </c>
      <c r="VAL16" s="508" t="s">
        <v>581</v>
      </c>
      <c r="VAM16" s="508" t="s">
        <v>581</v>
      </c>
      <c r="VAN16" s="508" t="s">
        <v>581</v>
      </c>
      <c r="VAO16" s="508" t="s">
        <v>581</v>
      </c>
      <c r="VAP16" s="508" t="s">
        <v>581</v>
      </c>
      <c r="VAQ16" s="508" t="s">
        <v>581</v>
      </c>
      <c r="VAR16" s="508" t="s">
        <v>581</v>
      </c>
      <c r="VAS16" s="508" t="s">
        <v>581</v>
      </c>
      <c r="VAT16" s="508" t="s">
        <v>581</v>
      </c>
      <c r="VAU16" s="508" t="s">
        <v>581</v>
      </c>
      <c r="VAV16" s="508" t="s">
        <v>581</v>
      </c>
      <c r="VAW16" s="508" t="s">
        <v>581</v>
      </c>
      <c r="VAX16" s="508" t="s">
        <v>581</v>
      </c>
      <c r="VAY16" s="508" t="s">
        <v>581</v>
      </c>
      <c r="VAZ16" s="508" t="s">
        <v>581</v>
      </c>
      <c r="VBA16" s="508" t="s">
        <v>581</v>
      </c>
      <c r="VBB16" s="508" t="s">
        <v>581</v>
      </c>
      <c r="VBC16" s="508" t="s">
        <v>581</v>
      </c>
      <c r="VBD16" s="508" t="s">
        <v>581</v>
      </c>
      <c r="VBE16" s="508" t="s">
        <v>581</v>
      </c>
      <c r="VBF16" s="508" t="s">
        <v>581</v>
      </c>
      <c r="VBG16" s="508" t="s">
        <v>581</v>
      </c>
      <c r="VBH16" s="508" t="s">
        <v>581</v>
      </c>
      <c r="VBI16" s="508" t="s">
        <v>581</v>
      </c>
      <c r="VBJ16" s="508" t="s">
        <v>581</v>
      </c>
      <c r="VBK16" s="508" t="s">
        <v>581</v>
      </c>
      <c r="VBL16" s="508" t="s">
        <v>581</v>
      </c>
      <c r="VBM16" s="508" t="s">
        <v>581</v>
      </c>
      <c r="VBN16" s="508" t="s">
        <v>581</v>
      </c>
      <c r="VBO16" s="508" t="s">
        <v>581</v>
      </c>
      <c r="VBP16" s="508" t="s">
        <v>581</v>
      </c>
      <c r="VBQ16" s="508" t="s">
        <v>581</v>
      </c>
      <c r="VBR16" s="508" t="s">
        <v>581</v>
      </c>
      <c r="VBS16" s="508" t="s">
        <v>581</v>
      </c>
      <c r="VBT16" s="508" t="s">
        <v>581</v>
      </c>
      <c r="VBU16" s="508" t="s">
        <v>581</v>
      </c>
      <c r="VBV16" s="508" t="s">
        <v>581</v>
      </c>
      <c r="VBW16" s="508" t="s">
        <v>581</v>
      </c>
      <c r="VBX16" s="508" t="s">
        <v>581</v>
      </c>
      <c r="VBY16" s="508" t="s">
        <v>581</v>
      </c>
      <c r="VBZ16" s="508" t="s">
        <v>581</v>
      </c>
      <c r="VCA16" s="508" t="s">
        <v>581</v>
      </c>
      <c r="VCB16" s="508" t="s">
        <v>581</v>
      </c>
      <c r="VCC16" s="508" t="s">
        <v>581</v>
      </c>
      <c r="VCD16" s="508" t="s">
        <v>581</v>
      </c>
      <c r="VCE16" s="508" t="s">
        <v>581</v>
      </c>
      <c r="VCF16" s="508" t="s">
        <v>581</v>
      </c>
      <c r="VCG16" s="508" t="s">
        <v>581</v>
      </c>
      <c r="VCH16" s="508" t="s">
        <v>581</v>
      </c>
      <c r="VCI16" s="508" t="s">
        <v>581</v>
      </c>
      <c r="VCJ16" s="508" t="s">
        <v>581</v>
      </c>
      <c r="VCK16" s="508" t="s">
        <v>581</v>
      </c>
      <c r="VCL16" s="508" t="s">
        <v>581</v>
      </c>
      <c r="VCM16" s="508" t="s">
        <v>581</v>
      </c>
      <c r="VCN16" s="508" t="s">
        <v>581</v>
      </c>
      <c r="VCO16" s="508" t="s">
        <v>581</v>
      </c>
      <c r="VCP16" s="508" t="s">
        <v>581</v>
      </c>
      <c r="VCQ16" s="508" t="s">
        <v>581</v>
      </c>
      <c r="VCR16" s="508" t="s">
        <v>581</v>
      </c>
      <c r="VCS16" s="508" t="s">
        <v>581</v>
      </c>
      <c r="VCT16" s="508" t="s">
        <v>581</v>
      </c>
      <c r="VCU16" s="508" t="s">
        <v>581</v>
      </c>
      <c r="VCV16" s="508" t="s">
        <v>581</v>
      </c>
      <c r="VCW16" s="508" t="s">
        <v>581</v>
      </c>
      <c r="VCX16" s="508" t="s">
        <v>581</v>
      </c>
      <c r="VCY16" s="508" t="s">
        <v>581</v>
      </c>
      <c r="VCZ16" s="508" t="s">
        <v>581</v>
      </c>
      <c r="VDA16" s="508" t="s">
        <v>581</v>
      </c>
      <c r="VDB16" s="508" t="s">
        <v>581</v>
      </c>
      <c r="VDC16" s="508" t="s">
        <v>581</v>
      </c>
      <c r="VDD16" s="508" t="s">
        <v>581</v>
      </c>
      <c r="VDE16" s="508" t="s">
        <v>581</v>
      </c>
      <c r="VDF16" s="508" t="s">
        <v>581</v>
      </c>
      <c r="VDG16" s="508" t="s">
        <v>581</v>
      </c>
      <c r="VDH16" s="508" t="s">
        <v>581</v>
      </c>
      <c r="VDI16" s="508" t="s">
        <v>581</v>
      </c>
      <c r="VDJ16" s="508" t="s">
        <v>581</v>
      </c>
      <c r="VDK16" s="508" t="s">
        <v>581</v>
      </c>
      <c r="VDL16" s="508" t="s">
        <v>581</v>
      </c>
      <c r="VDM16" s="508" t="s">
        <v>581</v>
      </c>
      <c r="VDN16" s="508" t="s">
        <v>581</v>
      </c>
      <c r="VDO16" s="508" t="s">
        <v>581</v>
      </c>
      <c r="VDP16" s="508" t="s">
        <v>581</v>
      </c>
      <c r="VDQ16" s="508" t="s">
        <v>581</v>
      </c>
      <c r="VDR16" s="508" t="s">
        <v>581</v>
      </c>
      <c r="VDS16" s="508" t="s">
        <v>581</v>
      </c>
      <c r="VDT16" s="508" t="s">
        <v>581</v>
      </c>
      <c r="VDU16" s="508" t="s">
        <v>581</v>
      </c>
      <c r="VDV16" s="508" t="s">
        <v>581</v>
      </c>
      <c r="VDW16" s="508" t="s">
        <v>581</v>
      </c>
      <c r="VDX16" s="508" t="s">
        <v>581</v>
      </c>
      <c r="VDY16" s="508" t="s">
        <v>581</v>
      </c>
      <c r="VDZ16" s="508" t="s">
        <v>581</v>
      </c>
      <c r="VEA16" s="508" t="s">
        <v>581</v>
      </c>
      <c r="VEB16" s="508" t="s">
        <v>581</v>
      </c>
      <c r="VEC16" s="508" t="s">
        <v>581</v>
      </c>
      <c r="VED16" s="508" t="s">
        <v>581</v>
      </c>
      <c r="VEE16" s="508" t="s">
        <v>581</v>
      </c>
      <c r="VEF16" s="508" t="s">
        <v>581</v>
      </c>
      <c r="VEG16" s="508" t="s">
        <v>581</v>
      </c>
      <c r="VEH16" s="508" t="s">
        <v>581</v>
      </c>
      <c r="VEI16" s="508" t="s">
        <v>581</v>
      </c>
      <c r="VEJ16" s="508" t="s">
        <v>581</v>
      </c>
      <c r="VEK16" s="508" t="s">
        <v>581</v>
      </c>
      <c r="VEL16" s="508" t="s">
        <v>581</v>
      </c>
      <c r="VEM16" s="508" t="s">
        <v>581</v>
      </c>
      <c r="VEN16" s="508" t="s">
        <v>581</v>
      </c>
      <c r="VEO16" s="508" t="s">
        <v>581</v>
      </c>
      <c r="VEP16" s="508" t="s">
        <v>581</v>
      </c>
      <c r="VEQ16" s="508" t="s">
        <v>581</v>
      </c>
      <c r="VER16" s="508" t="s">
        <v>581</v>
      </c>
      <c r="VES16" s="508" t="s">
        <v>581</v>
      </c>
      <c r="VET16" s="508" t="s">
        <v>581</v>
      </c>
      <c r="VEU16" s="508" t="s">
        <v>581</v>
      </c>
      <c r="VEV16" s="508" t="s">
        <v>581</v>
      </c>
      <c r="VEW16" s="508" t="s">
        <v>581</v>
      </c>
      <c r="VEX16" s="508" t="s">
        <v>581</v>
      </c>
      <c r="VEY16" s="508" t="s">
        <v>581</v>
      </c>
      <c r="VEZ16" s="508" t="s">
        <v>581</v>
      </c>
      <c r="VFA16" s="508" t="s">
        <v>581</v>
      </c>
      <c r="VFB16" s="508" t="s">
        <v>581</v>
      </c>
      <c r="VFC16" s="508" t="s">
        <v>581</v>
      </c>
      <c r="VFD16" s="508" t="s">
        <v>581</v>
      </c>
      <c r="VFE16" s="508" t="s">
        <v>581</v>
      </c>
      <c r="VFF16" s="508" t="s">
        <v>581</v>
      </c>
      <c r="VFG16" s="508" t="s">
        <v>581</v>
      </c>
      <c r="VFH16" s="508" t="s">
        <v>581</v>
      </c>
      <c r="VFI16" s="508" t="s">
        <v>581</v>
      </c>
      <c r="VFJ16" s="508" t="s">
        <v>581</v>
      </c>
      <c r="VFK16" s="508" t="s">
        <v>581</v>
      </c>
      <c r="VFL16" s="508" t="s">
        <v>581</v>
      </c>
      <c r="VFM16" s="508" t="s">
        <v>581</v>
      </c>
      <c r="VFN16" s="508" t="s">
        <v>581</v>
      </c>
      <c r="VFO16" s="508" t="s">
        <v>581</v>
      </c>
      <c r="VFP16" s="508" t="s">
        <v>581</v>
      </c>
      <c r="VFQ16" s="508" t="s">
        <v>581</v>
      </c>
      <c r="VFR16" s="508" t="s">
        <v>581</v>
      </c>
      <c r="VFS16" s="508" t="s">
        <v>581</v>
      </c>
      <c r="VFT16" s="508" t="s">
        <v>581</v>
      </c>
      <c r="VFU16" s="508" t="s">
        <v>581</v>
      </c>
      <c r="VFV16" s="508" t="s">
        <v>581</v>
      </c>
      <c r="VFW16" s="508" t="s">
        <v>581</v>
      </c>
      <c r="VFX16" s="508" t="s">
        <v>581</v>
      </c>
      <c r="VFY16" s="508" t="s">
        <v>581</v>
      </c>
      <c r="VFZ16" s="508" t="s">
        <v>581</v>
      </c>
      <c r="VGA16" s="508" t="s">
        <v>581</v>
      </c>
      <c r="VGB16" s="508" t="s">
        <v>581</v>
      </c>
      <c r="VGC16" s="508" t="s">
        <v>581</v>
      </c>
      <c r="VGD16" s="508" t="s">
        <v>581</v>
      </c>
      <c r="VGE16" s="508" t="s">
        <v>581</v>
      </c>
      <c r="VGF16" s="508" t="s">
        <v>581</v>
      </c>
      <c r="VGG16" s="508" t="s">
        <v>581</v>
      </c>
      <c r="VGH16" s="508" t="s">
        <v>581</v>
      </c>
      <c r="VGI16" s="508" t="s">
        <v>581</v>
      </c>
      <c r="VGJ16" s="508" t="s">
        <v>581</v>
      </c>
      <c r="VGK16" s="508" t="s">
        <v>581</v>
      </c>
      <c r="VGL16" s="508" t="s">
        <v>581</v>
      </c>
      <c r="VGM16" s="508" t="s">
        <v>581</v>
      </c>
      <c r="VGN16" s="508" t="s">
        <v>581</v>
      </c>
      <c r="VGO16" s="508" t="s">
        <v>581</v>
      </c>
      <c r="VGP16" s="508" t="s">
        <v>581</v>
      </c>
      <c r="VGQ16" s="508" t="s">
        <v>581</v>
      </c>
      <c r="VGR16" s="508" t="s">
        <v>581</v>
      </c>
      <c r="VGS16" s="508" t="s">
        <v>581</v>
      </c>
      <c r="VGT16" s="508" t="s">
        <v>581</v>
      </c>
      <c r="VGU16" s="508" t="s">
        <v>581</v>
      </c>
      <c r="VGV16" s="508" t="s">
        <v>581</v>
      </c>
      <c r="VGW16" s="508" t="s">
        <v>581</v>
      </c>
      <c r="VGX16" s="508" t="s">
        <v>581</v>
      </c>
      <c r="VGY16" s="508" t="s">
        <v>581</v>
      </c>
      <c r="VGZ16" s="508" t="s">
        <v>581</v>
      </c>
      <c r="VHA16" s="508" t="s">
        <v>581</v>
      </c>
      <c r="VHB16" s="508" t="s">
        <v>581</v>
      </c>
      <c r="VHC16" s="508" t="s">
        <v>581</v>
      </c>
      <c r="VHD16" s="508" t="s">
        <v>581</v>
      </c>
      <c r="VHE16" s="508" t="s">
        <v>581</v>
      </c>
      <c r="VHF16" s="508" t="s">
        <v>581</v>
      </c>
      <c r="VHG16" s="508" t="s">
        <v>581</v>
      </c>
      <c r="VHH16" s="508" t="s">
        <v>581</v>
      </c>
      <c r="VHI16" s="508" t="s">
        <v>581</v>
      </c>
      <c r="VHJ16" s="508" t="s">
        <v>581</v>
      </c>
      <c r="VHK16" s="508" t="s">
        <v>581</v>
      </c>
      <c r="VHL16" s="508" t="s">
        <v>581</v>
      </c>
      <c r="VHM16" s="508" t="s">
        <v>581</v>
      </c>
      <c r="VHN16" s="508" t="s">
        <v>581</v>
      </c>
      <c r="VHO16" s="508" t="s">
        <v>581</v>
      </c>
      <c r="VHP16" s="508" t="s">
        <v>581</v>
      </c>
      <c r="VHQ16" s="508" t="s">
        <v>581</v>
      </c>
      <c r="VHR16" s="508" t="s">
        <v>581</v>
      </c>
      <c r="VHS16" s="508" t="s">
        <v>581</v>
      </c>
      <c r="VHT16" s="508" t="s">
        <v>581</v>
      </c>
      <c r="VHU16" s="508" t="s">
        <v>581</v>
      </c>
      <c r="VHV16" s="508" t="s">
        <v>581</v>
      </c>
      <c r="VHW16" s="508" t="s">
        <v>581</v>
      </c>
      <c r="VHX16" s="508" t="s">
        <v>581</v>
      </c>
      <c r="VHY16" s="508" t="s">
        <v>581</v>
      </c>
      <c r="VHZ16" s="508" t="s">
        <v>581</v>
      </c>
      <c r="VIA16" s="508" t="s">
        <v>581</v>
      </c>
      <c r="VIB16" s="508" t="s">
        <v>581</v>
      </c>
      <c r="VIC16" s="508" t="s">
        <v>581</v>
      </c>
      <c r="VID16" s="508" t="s">
        <v>581</v>
      </c>
      <c r="VIE16" s="508" t="s">
        <v>581</v>
      </c>
      <c r="VIF16" s="508" t="s">
        <v>581</v>
      </c>
      <c r="VIG16" s="508" t="s">
        <v>581</v>
      </c>
      <c r="VIH16" s="508" t="s">
        <v>581</v>
      </c>
      <c r="VII16" s="508" t="s">
        <v>581</v>
      </c>
      <c r="VIJ16" s="508" t="s">
        <v>581</v>
      </c>
      <c r="VIK16" s="508" t="s">
        <v>581</v>
      </c>
      <c r="VIL16" s="508" t="s">
        <v>581</v>
      </c>
      <c r="VIM16" s="508" t="s">
        <v>581</v>
      </c>
      <c r="VIN16" s="508" t="s">
        <v>581</v>
      </c>
      <c r="VIO16" s="508" t="s">
        <v>581</v>
      </c>
      <c r="VIP16" s="508" t="s">
        <v>581</v>
      </c>
      <c r="VIQ16" s="508" t="s">
        <v>581</v>
      </c>
      <c r="VIR16" s="508" t="s">
        <v>581</v>
      </c>
      <c r="VIS16" s="508" t="s">
        <v>581</v>
      </c>
      <c r="VIT16" s="508" t="s">
        <v>581</v>
      </c>
      <c r="VIU16" s="508" t="s">
        <v>581</v>
      </c>
      <c r="VIV16" s="508" t="s">
        <v>581</v>
      </c>
      <c r="VIW16" s="508" t="s">
        <v>581</v>
      </c>
      <c r="VIX16" s="508" t="s">
        <v>581</v>
      </c>
      <c r="VIY16" s="508" t="s">
        <v>581</v>
      </c>
      <c r="VIZ16" s="508" t="s">
        <v>581</v>
      </c>
      <c r="VJA16" s="508" t="s">
        <v>581</v>
      </c>
      <c r="VJB16" s="508" t="s">
        <v>581</v>
      </c>
      <c r="VJC16" s="508" t="s">
        <v>581</v>
      </c>
      <c r="VJD16" s="508" t="s">
        <v>581</v>
      </c>
      <c r="VJE16" s="508" t="s">
        <v>581</v>
      </c>
      <c r="VJF16" s="508" t="s">
        <v>581</v>
      </c>
      <c r="VJG16" s="508" t="s">
        <v>581</v>
      </c>
      <c r="VJH16" s="508" t="s">
        <v>581</v>
      </c>
      <c r="VJI16" s="508" t="s">
        <v>581</v>
      </c>
      <c r="VJJ16" s="508" t="s">
        <v>581</v>
      </c>
      <c r="VJK16" s="508" t="s">
        <v>581</v>
      </c>
      <c r="VJL16" s="508" t="s">
        <v>581</v>
      </c>
      <c r="VJM16" s="508" t="s">
        <v>581</v>
      </c>
      <c r="VJN16" s="508" t="s">
        <v>581</v>
      </c>
      <c r="VJO16" s="508" t="s">
        <v>581</v>
      </c>
      <c r="VJP16" s="508" t="s">
        <v>581</v>
      </c>
      <c r="VJQ16" s="508" t="s">
        <v>581</v>
      </c>
      <c r="VJR16" s="508" t="s">
        <v>581</v>
      </c>
      <c r="VJS16" s="508" t="s">
        <v>581</v>
      </c>
      <c r="VJT16" s="508" t="s">
        <v>581</v>
      </c>
      <c r="VJU16" s="508" t="s">
        <v>581</v>
      </c>
      <c r="VJV16" s="508" t="s">
        <v>581</v>
      </c>
      <c r="VJW16" s="508" t="s">
        <v>581</v>
      </c>
      <c r="VJX16" s="508" t="s">
        <v>581</v>
      </c>
      <c r="VJY16" s="508" t="s">
        <v>581</v>
      </c>
      <c r="VJZ16" s="508" t="s">
        <v>581</v>
      </c>
      <c r="VKA16" s="508" t="s">
        <v>581</v>
      </c>
      <c r="VKB16" s="508" t="s">
        <v>581</v>
      </c>
      <c r="VKC16" s="508" t="s">
        <v>581</v>
      </c>
      <c r="VKD16" s="508" t="s">
        <v>581</v>
      </c>
      <c r="VKE16" s="508" t="s">
        <v>581</v>
      </c>
      <c r="VKF16" s="508" t="s">
        <v>581</v>
      </c>
      <c r="VKG16" s="508" t="s">
        <v>581</v>
      </c>
      <c r="VKH16" s="508" t="s">
        <v>581</v>
      </c>
      <c r="VKI16" s="508" t="s">
        <v>581</v>
      </c>
      <c r="VKJ16" s="508" t="s">
        <v>581</v>
      </c>
      <c r="VKK16" s="508" t="s">
        <v>581</v>
      </c>
      <c r="VKL16" s="508" t="s">
        <v>581</v>
      </c>
      <c r="VKM16" s="508" t="s">
        <v>581</v>
      </c>
      <c r="VKN16" s="508" t="s">
        <v>581</v>
      </c>
      <c r="VKO16" s="508" t="s">
        <v>581</v>
      </c>
      <c r="VKP16" s="508" t="s">
        <v>581</v>
      </c>
      <c r="VKQ16" s="508" t="s">
        <v>581</v>
      </c>
      <c r="VKR16" s="508" t="s">
        <v>581</v>
      </c>
      <c r="VKS16" s="508" t="s">
        <v>581</v>
      </c>
      <c r="VKT16" s="508" t="s">
        <v>581</v>
      </c>
      <c r="VKU16" s="508" t="s">
        <v>581</v>
      </c>
      <c r="VKV16" s="508" t="s">
        <v>581</v>
      </c>
      <c r="VKW16" s="508" t="s">
        <v>581</v>
      </c>
      <c r="VKX16" s="508" t="s">
        <v>581</v>
      </c>
      <c r="VKY16" s="508" t="s">
        <v>581</v>
      </c>
      <c r="VKZ16" s="508" t="s">
        <v>581</v>
      </c>
      <c r="VLA16" s="508" t="s">
        <v>581</v>
      </c>
      <c r="VLB16" s="508" t="s">
        <v>581</v>
      </c>
      <c r="VLC16" s="508" t="s">
        <v>581</v>
      </c>
      <c r="VLD16" s="508" t="s">
        <v>581</v>
      </c>
      <c r="VLE16" s="508" t="s">
        <v>581</v>
      </c>
      <c r="VLF16" s="508" t="s">
        <v>581</v>
      </c>
      <c r="VLG16" s="508" t="s">
        <v>581</v>
      </c>
      <c r="VLH16" s="508" t="s">
        <v>581</v>
      </c>
      <c r="VLI16" s="508" t="s">
        <v>581</v>
      </c>
      <c r="VLJ16" s="508" t="s">
        <v>581</v>
      </c>
      <c r="VLK16" s="508" t="s">
        <v>581</v>
      </c>
      <c r="VLL16" s="508" t="s">
        <v>581</v>
      </c>
      <c r="VLM16" s="508" t="s">
        <v>581</v>
      </c>
      <c r="VLN16" s="508" t="s">
        <v>581</v>
      </c>
      <c r="VLO16" s="508" t="s">
        <v>581</v>
      </c>
      <c r="VLP16" s="508" t="s">
        <v>581</v>
      </c>
      <c r="VLQ16" s="508" t="s">
        <v>581</v>
      </c>
      <c r="VLR16" s="508" t="s">
        <v>581</v>
      </c>
      <c r="VLS16" s="508" t="s">
        <v>581</v>
      </c>
      <c r="VLT16" s="508" t="s">
        <v>581</v>
      </c>
      <c r="VLU16" s="508" t="s">
        <v>581</v>
      </c>
      <c r="VLV16" s="508" t="s">
        <v>581</v>
      </c>
      <c r="VLW16" s="508" t="s">
        <v>581</v>
      </c>
      <c r="VLX16" s="508" t="s">
        <v>581</v>
      </c>
      <c r="VLY16" s="508" t="s">
        <v>581</v>
      </c>
      <c r="VLZ16" s="508" t="s">
        <v>581</v>
      </c>
      <c r="VMA16" s="508" t="s">
        <v>581</v>
      </c>
      <c r="VMB16" s="508" t="s">
        <v>581</v>
      </c>
      <c r="VMC16" s="508" t="s">
        <v>581</v>
      </c>
      <c r="VMD16" s="508" t="s">
        <v>581</v>
      </c>
      <c r="VME16" s="508" t="s">
        <v>581</v>
      </c>
      <c r="VMF16" s="508" t="s">
        <v>581</v>
      </c>
      <c r="VMG16" s="508" t="s">
        <v>581</v>
      </c>
      <c r="VMH16" s="508" t="s">
        <v>581</v>
      </c>
      <c r="VMI16" s="508" t="s">
        <v>581</v>
      </c>
      <c r="VMJ16" s="508" t="s">
        <v>581</v>
      </c>
      <c r="VMK16" s="508" t="s">
        <v>581</v>
      </c>
      <c r="VML16" s="508" t="s">
        <v>581</v>
      </c>
      <c r="VMM16" s="508" t="s">
        <v>581</v>
      </c>
      <c r="VMN16" s="508" t="s">
        <v>581</v>
      </c>
      <c r="VMO16" s="508" t="s">
        <v>581</v>
      </c>
      <c r="VMP16" s="508" t="s">
        <v>581</v>
      </c>
      <c r="VMQ16" s="508" t="s">
        <v>581</v>
      </c>
      <c r="VMR16" s="508" t="s">
        <v>581</v>
      </c>
      <c r="VMS16" s="508" t="s">
        <v>581</v>
      </c>
      <c r="VMT16" s="508" t="s">
        <v>581</v>
      </c>
      <c r="VMU16" s="508" t="s">
        <v>581</v>
      </c>
      <c r="VMV16" s="508" t="s">
        <v>581</v>
      </c>
      <c r="VMW16" s="508" t="s">
        <v>581</v>
      </c>
      <c r="VMX16" s="508" t="s">
        <v>581</v>
      </c>
      <c r="VMY16" s="508" t="s">
        <v>581</v>
      </c>
      <c r="VMZ16" s="508" t="s">
        <v>581</v>
      </c>
      <c r="VNA16" s="508" t="s">
        <v>581</v>
      </c>
      <c r="VNB16" s="508" t="s">
        <v>581</v>
      </c>
      <c r="VNC16" s="508" t="s">
        <v>581</v>
      </c>
      <c r="VND16" s="508" t="s">
        <v>581</v>
      </c>
      <c r="VNE16" s="508" t="s">
        <v>581</v>
      </c>
      <c r="VNF16" s="508" t="s">
        <v>581</v>
      </c>
      <c r="VNG16" s="508" t="s">
        <v>581</v>
      </c>
      <c r="VNH16" s="508" t="s">
        <v>581</v>
      </c>
      <c r="VNI16" s="508" t="s">
        <v>581</v>
      </c>
      <c r="VNJ16" s="508" t="s">
        <v>581</v>
      </c>
      <c r="VNK16" s="508" t="s">
        <v>581</v>
      </c>
      <c r="VNL16" s="508" t="s">
        <v>581</v>
      </c>
      <c r="VNM16" s="508" t="s">
        <v>581</v>
      </c>
      <c r="VNN16" s="508" t="s">
        <v>581</v>
      </c>
      <c r="VNO16" s="508" t="s">
        <v>581</v>
      </c>
      <c r="VNP16" s="508" t="s">
        <v>581</v>
      </c>
      <c r="VNQ16" s="508" t="s">
        <v>581</v>
      </c>
      <c r="VNR16" s="508" t="s">
        <v>581</v>
      </c>
      <c r="VNS16" s="508" t="s">
        <v>581</v>
      </c>
      <c r="VNT16" s="508" t="s">
        <v>581</v>
      </c>
      <c r="VNU16" s="508" t="s">
        <v>581</v>
      </c>
      <c r="VNV16" s="508" t="s">
        <v>581</v>
      </c>
      <c r="VNW16" s="508" t="s">
        <v>581</v>
      </c>
      <c r="VNX16" s="508" t="s">
        <v>581</v>
      </c>
      <c r="VNY16" s="508" t="s">
        <v>581</v>
      </c>
      <c r="VNZ16" s="508" t="s">
        <v>581</v>
      </c>
      <c r="VOA16" s="508" t="s">
        <v>581</v>
      </c>
      <c r="VOB16" s="508" t="s">
        <v>581</v>
      </c>
      <c r="VOC16" s="508" t="s">
        <v>581</v>
      </c>
      <c r="VOD16" s="508" t="s">
        <v>581</v>
      </c>
      <c r="VOE16" s="508" t="s">
        <v>581</v>
      </c>
      <c r="VOF16" s="508" t="s">
        <v>581</v>
      </c>
      <c r="VOG16" s="508" t="s">
        <v>581</v>
      </c>
      <c r="VOH16" s="508" t="s">
        <v>581</v>
      </c>
      <c r="VOI16" s="508" t="s">
        <v>581</v>
      </c>
      <c r="VOJ16" s="508" t="s">
        <v>581</v>
      </c>
      <c r="VOK16" s="508" t="s">
        <v>581</v>
      </c>
      <c r="VOL16" s="508" t="s">
        <v>581</v>
      </c>
      <c r="VOM16" s="508" t="s">
        <v>581</v>
      </c>
      <c r="VON16" s="508" t="s">
        <v>581</v>
      </c>
      <c r="VOO16" s="508" t="s">
        <v>581</v>
      </c>
      <c r="VOP16" s="508" t="s">
        <v>581</v>
      </c>
      <c r="VOQ16" s="508" t="s">
        <v>581</v>
      </c>
      <c r="VOR16" s="508" t="s">
        <v>581</v>
      </c>
      <c r="VOS16" s="508" t="s">
        <v>581</v>
      </c>
      <c r="VOT16" s="508" t="s">
        <v>581</v>
      </c>
      <c r="VOU16" s="508" t="s">
        <v>581</v>
      </c>
      <c r="VOV16" s="508" t="s">
        <v>581</v>
      </c>
      <c r="VOW16" s="508" t="s">
        <v>581</v>
      </c>
      <c r="VOX16" s="508" t="s">
        <v>581</v>
      </c>
      <c r="VOY16" s="508" t="s">
        <v>581</v>
      </c>
      <c r="VOZ16" s="508" t="s">
        <v>581</v>
      </c>
      <c r="VPA16" s="508" t="s">
        <v>581</v>
      </c>
      <c r="VPB16" s="508" t="s">
        <v>581</v>
      </c>
      <c r="VPC16" s="508" t="s">
        <v>581</v>
      </c>
      <c r="VPD16" s="508" t="s">
        <v>581</v>
      </c>
      <c r="VPE16" s="508" t="s">
        <v>581</v>
      </c>
      <c r="VPF16" s="508" t="s">
        <v>581</v>
      </c>
      <c r="VPG16" s="508" t="s">
        <v>581</v>
      </c>
      <c r="VPH16" s="508" t="s">
        <v>581</v>
      </c>
      <c r="VPI16" s="508" t="s">
        <v>581</v>
      </c>
      <c r="VPJ16" s="508" t="s">
        <v>581</v>
      </c>
      <c r="VPK16" s="508" t="s">
        <v>581</v>
      </c>
      <c r="VPL16" s="508" t="s">
        <v>581</v>
      </c>
      <c r="VPM16" s="508" t="s">
        <v>581</v>
      </c>
      <c r="VPN16" s="508" t="s">
        <v>581</v>
      </c>
      <c r="VPO16" s="508" t="s">
        <v>581</v>
      </c>
      <c r="VPP16" s="508" t="s">
        <v>581</v>
      </c>
      <c r="VPQ16" s="508" t="s">
        <v>581</v>
      </c>
      <c r="VPR16" s="508" t="s">
        <v>581</v>
      </c>
      <c r="VPS16" s="508" t="s">
        <v>581</v>
      </c>
      <c r="VPT16" s="508" t="s">
        <v>581</v>
      </c>
      <c r="VPU16" s="508" t="s">
        <v>581</v>
      </c>
      <c r="VPV16" s="508" t="s">
        <v>581</v>
      </c>
      <c r="VPW16" s="508" t="s">
        <v>581</v>
      </c>
      <c r="VPX16" s="508" t="s">
        <v>581</v>
      </c>
      <c r="VPY16" s="508" t="s">
        <v>581</v>
      </c>
      <c r="VPZ16" s="508" t="s">
        <v>581</v>
      </c>
      <c r="VQA16" s="508" t="s">
        <v>581</v>
      </c>
      <c r="VQB16" s="508" t="s">
        <v>581</v>
      </c>
      <c r="VQC16" s="508" t="s">
        <v>581</v>
      </c>
      <c r="VQD16" s="508" t="s">
        <v>581</v>
      </c>
      <c r="VQE16" s="508" t="s">
        <v>581</v>
      </c>
      <c r="VQF16" s="508" t="s">
        <v>581</v>
      </c>
      <c r="VQG16" s="508" t="s">
        <v>581</v>
      </c>
      <c r="VQH16" s="508" t="s">
        <v>581</v>
      </c>
      <c r="VQI16" s="508" t="s">
        <v>581</v>
      </c>
      <c r="VQJ16" s="508" t="s">
        <v>581</v>
      </c>
      <c r="VQK16" s="508" t="s">
        <v>581</v>
      </c>
      <c r="VQL16" s="508" t="s">
        <v>581</v>
      </c>
      <c r="VQM16" s="508" t="s">
        <v>581</v>
      </c>
      <c r="VQN16" s="508" t="s">
        <v>581</v>
      </c>
      <c r="VQO16" s="508" t="s">
        <v>581</v>
      </c>
      <c r="VQP16" s="508" t="s">
        <v>581</v>
      </c>
      <c r="VQQ16" s="508" t="s">
        <v>581</v>
      </c>
      <c r="VQR16" s="508" t="s">
        <v>581</v>
      </c>
      <c r="VQS16" s="508" t="s">
        <v>581</v>
      </c>
      <c r="VQT16" s="508" t="s">
        <v>581</v>
      </c>
      <c r="VQU16" s="508" t="s">
        <v>581</v>
      </c>
      <c r="VQV16" s="508" t="s">
        <v>581</v>
      </c>
      <c r="VQW16" s="508" t="s">
        <v>581</v>
      </c>
      <c r="VQX16" s="508" t="s">
        <v>581</v>
      </c>
      <c r="VQY16" s="508" t="s">
        <v>581</v>
      </c>
      <c r="VQZ16" s="508" t="s">
        <v>581</v>
      </c>
      <c r="VRA16" s="508" t="s">
        <v>581</v>
      </c>
      <c r="VRB16" s="508" t="s">
        <v>581</v>
      </c>
      <c r="VRC16" s="508" t="s">
        <v>581</v>
      </c>
      <c r="VRD16" s="508" t="s">
        <v>581</v>
      </c>
      <c r="VRE16" s="508" t="s">
        <v>581</v>
      </c>
      <c r="VRF16" s="508" t="s">
        <v>581</v>
      </c>
      <c r="VRG16" s="508" t="s">
        <v>581</v>
      </c>
      <c r="VRH16" s="508" t="s">
        <v>581</v>
      </c>
      <c r="VRI16" s="508" t="s">
        <v>581</v>
      </c>
      <c r="VRJ16" s="508" t="s">
        <v>581</v>
      </c>
      <c r="VRK16" s="508" t="s">
        <v>581</v>
      </c>
      <c r="VRL16" s="508" t="s">
        <v>581</v>
      </c>
      <c r="VRM16" s="508" t="s">
        <v>581</v>
      </c>
      <c r="VRN16" s="508" t="s">
        <v>581</v>
      </c>
      <c r="VRO16" s="508" t="s">
        <v>581</v>
      </c>
      <c r="VRP16" s="508" t="s">
        <v>581</v>
      </c>
      <c r="VRQ16" s="508" t="s">
        <v>581</v>
      </c>
      <c r="VRR16" s="508" t="s">
        <v>581</v>
      </c>
      <c r="VRS16" s="508" t="s">
        <v>581</v>
      </c>
      <c r="VRT16" s="508" t="s">
        <v>581</v>
      </c>
      <c r="VRU16" s="508" t="s">
        <v>581</v>
      </c>
      <c r="VRV16" s="508" t="s">
        <v>581</v>
      </c>
      <c r="VRW16" s="508" t="s">
        <v>581</v>
      </c>
      <c r="VRX16" s="508" t="s">
        <v>581</v>
      </c>
      <c r="VRY16" s="508" t="s">
        <v>581</v>
      </c>
      <c r="VRZ16" s="508" t="s">
        <v>581</v>
      </c>
      <c r="VSA16" s="508" t="s">
        <v>581</v>
      </c>
      <c r="VSB16" s="508" t="s">
        <v>581</v>
      </c>
      <c r="VSC16" s="508" t="s">
        <v>581</v>
      </c>
      <c r="VSD16" s="508" t="s">
        <v>581</v>
      </c>
      <c r="VSE16" s="508" t="s">
        <v>581</v>
      </c>
      <c r="VSF16" s="508" t="s">
        <v>581</v>
      </c>
      <c r="VSG16" s="508" t="s">
        <v>581</v>
      </c>
      <c r="VSH16" s="508" t="s">
        <v>581</v>
      </c>
      <c r="VSI16" s="508" t="s">
        <v>581</v>
      </c>
      <c r="VSJ16" s="508" t="s">
        <v>581</v>
      </c>
      <c r="VSK16" s="508" t="s">
        <v>581</v>
      </c>
      <c r="VSL16" s="508" t="s">
        <v>581</v>
      </c>
      <c r="VSM16" s="508" t="s">
        <v>581</v>
      </c>
      <c r="VSN16" s="508" t="s">
        <v>581</v>
      </c>
      <c r="VSO16" s="508" t="s">
        <v>581</v>
      </c>
      <c r="VSP16" s="508" t="s">
        <v>581</v>
      </c>
      <c r="VSQ16" s="508" t="s">
        <v>581</v>
      </c>
      <c r="VSR16" s="508" t="s">
        <v>581</v>
      </c>
      <c r="VSS16" s="508" t="s">
        <v>581</v>
      </c>
      <c r="VST16" s="508" t="s">
        <v>581</v>
      </c>
      <c r="VSU16" s="508" t="s">
        <v>581</v>
      </c>
      <c r="VSV16" s="508" t="s">
        <v>581</v>
      </c>
      <c r="VSW16" s="508" t="s">
        <v>581</v>
      </c>
      <c r="VSX16" s="508" t="s">
        <v>581</v>
      </c>
      <c r="VSY16" s="508" t="s">
        <v>581</v>
      </c>
      <c r="VSZ16" s="508" t="s">
        <v>581</v>
      </c>
      <c r="VTA16" s="508" t="s">
        <v>581</v>
      </c>
      <c r="VTB16" s="508" t="s">
        <v>581</v>
      </c>
      <c r="VTC16" s="508" t="s">
        <v>581</v>
      </c>
      <c r="VTD16" s="508" t="s">
        <v>581</v>
      </c>
      <c r="VTE16" s="508" t="s">
        <v>581</v>
      </c>
      <c r="VTF16" s="508" t="s">
        <v>581</v>
      </c>
      <c r="VTG16" s="508" t="s">
        <v>581</v>
      </c>
      <c r="VTH16" s="508" t="s">
        <v>581</v>
      </c>
      <c r="VTI16" s="508" t="s">
        <v>581</v>
      </c>
      <c r="VTJ16" s="508" t="s">
        <v>581</v>
      </c>
      <c r="VTK16" s="508" t="s">
        <v>581</v>
      </c>
      <c r="VTL16" s="508" t="s">
        <v>581</v>
      </c>
      <c r="VTM16" s="508" t="s">
        <v>581</v>
      </c>
      <c r="VTN16" s="508" t="s">
        <v>581</v>
      </c>
      <c r="VTO16" s="508" t="s">
        <v>581</v>
      </c>
      <c r="VTP16" s="508" t="s">
        <v>581</v>
      </c>
      <c r="VTQ16" s="508" t="s">
        <v>581</v>
      </c>
      <c r="VTR16" s="508" t="s">
        <v>581</v>
      </c>
      <c r="VTS16" s="508" t="s">
        <v>581</v>
      </c>
      <c r="VTT16" s="508" t="s">
        <v>581</v>
      </c>
      <c r="VTU16" s="508" t="s">
        <v>581</v>
      </c>
      <c r="VTV16" s="508" t="s">
        <v>581</v>
      </c>
      <c r="VTW16" s="508" t="s">
        <v>581</v>
      </c>
      <c r="VTX16" s="508" t="s">
        <v>581</v>
      </c>
      <c r="VTY16" s="508" t="s">
        <v>581</v>
      </c>
      <c r="VTZ16" s="508" t="s">
        <v>581</v>
      </c>
      <c r="VUA16" s="508" t="s">
        <v>581</v>
      </c>
      <c r="VUB16" s="508" t="s">
        <v>581</v>
      </c>
      <c r="VUC16" s="508" t="s">
        <v>581</v>
      </c>
      <c r="VUD16" s="508" t="s">
        <v>581</v>
      </c>
      <c r="VUE16" s="508" t="s">
        <v>581</v>
      </c>
      <c r="VUF16" s="508" t="s">
        <v>581</v>
      </c>
      <c r="VUG16" s="508" t="s">
        <v>581</v>
      </c>
      <c r="VUH16" s="508" t="s">
        <v>581</v>
      </c>
      <c r="VUI16" s="508" t="s">
        <v>581</v>
      </c>
      <c r="VUJ16" s="508" t="s">
        <v>581</v>
      </c>
      <c r="VUK16" s="508" t="s">
        <v>581</v>
      </c>
      <c r="VUL16" s="508" t="s">
        <v>581</v>
      </c>
      <c r="VUM16" s="508" t="s">
        <v>581</v>
      </c>
      <c r="VUN16" s="508" t="s">
        <v>581</v>
      </c>
      <c r="VUO16" s="508" t="s">
        <v>581</v>
      </c>
      <c r="VUP16" s="508" t="s">
        <v>581</v>
      </c>
      <c r="VUQ16" s="508" t="s">
        <v>581</v>
      </c>
      <c r="VUR16" s="508" t="s">
        <v>581</v>
      </c>
      <c r="VUS16" s="508" t="s">
        <v>581</v>
      </c>
      <c r="VUT16" s="508" t="s">
        <v>581</v>
      </c>
      <c r="VUU16" s="508" t="s">
        <v>581</v>
      </c>
      <c r="VUV16" s="508" t="s">
        <v>581</v>
      </c>
      <c r="VUW16" s="508" t="s">
        <v>581</v>
      </c>
      <c r="VUX16" s="508" t="s">
        <v>581</v>
      </c>
      <c r="VUY16" s="508" t="s">
        <v>581</v>
      </c>
      <c r="VUZ16" s="508" t="s">
        <v>581</v>
      </c>
      <c r="VVA16" s="508" t="s">
        <v>581</v>
      </c>
      <c r="VVB16" s="508" t="s">
        <v>581</v>
      </c>
      <c r="VVC16" s="508" t="s">
        <v>581</v>
      </c>
      <c r="VVD16" s="508" t="s">
        <v>581</v>
      </c>
      <c r="VVE16" s="508" t="s">
        <v>581</v>
      </c>
      <c r="VVF16" s="508" t="s">
        <v>581</v>
      </c>
      <c r="VVG16" s="508" t="s">
        <v>581</v>
      </c>
      <c r="VVH16" s="508" t="s">
        <v>581</v>
      </c>
      <c r="VVI16" s="508" t="s">
        <v>581</v>
      </c>
      <c r="VVJ16" s="508" t="s">
        <v>581</v>
      </c>
      <c r="VVK16" s="508" t="s">
        <v>581</v>
      </c>
      <c r="VVL16" s="508" t="s">
        <v>581</v>
      </c>
      <c r="VVM16" s="508" t="s">
        <v>581</v>
      </c>
      <c r="VVN16" s="508" t="s">
        <v>581</v>
      </c>
      <c r="VVO16" s="508" t="s">
        <v>581</v>
      </c>
      <c r="VVP16" s="508" t="s">
        <v>581</v>
      </c>
      <c r="VVQ16" s="508" t="s">
        <v>581</v>
      </c>
      <c r="VVR16" s="508" t="s">
        <v>581</v>
      </c>
      <c r="VVS16" s="508" t="s">
        <v>581</v>
      </c>
      <c r="VVT16" s="508" t="s">
        <v>581</v>
      </c>
      <c r="VVU16" s="508" t="s">
        <v>581</v>
      </c>
      <c r="VVV16" s="508" t="s">
        <v>581</v>
      </c>
      <c r="VVW16" s="508" t="s">
        <v>581</v>
      </c>
      <c r="VVX16" s="508" t="s">
        <v>581</v>
      </c>
      <c r="VVY16" s="508" t="s">
        <v>581</v>
      </c>
      <c r="VVZ16" s="508" t="s">
        <v>581</v>
      </c>
      <c r="VWA16" s="508" t="s">
        <v>581</v>
      </c>
      <c r="VWB16" s="508" t="s">
        <v>581</v>
      </c>
      <c r="VWC16" s="508" t="s">
        <v>581</v>
      </c>
      <c r="VWD16" s="508" t="s">
        <v>581</v>
      </c>
      <c r="VWE16" s="508" t="s">
        <v>581</v>
      </c>
      <c r="VWF16" s="508" t="s">
        <v>581</v>
      </c>
      <c r="VWG16" s="508" t="s">
        <v>581</v>
      </c>
      <c r="VWH16" s="508" t="s">
        <v>581</v>
      </c>
      <c r="VWI16" s="508" t="s">
        <v>581</v>
      </c>
      <c r="VWJ16" s="508" t="s">
        <v>581</v>
      </c>
      <c r="VWK16" s="508" t="s">
        <v>581</v>
      </c>
      <c r="VWL16" s="508" t="s">
        <v>581</v>
      </c>
      <c r="VWM16" s="508" t="s">
        <v>581</v>
      </c>
      <c r="VWN16" s="508" t="s">
        <v>581</v>
      </c>
      <c r="VWO16" s="508" t="s">
        <v>581</v>
      </c>
      <c r="VWP16" s="508" t="s">
        <v>581</v>
      </c>
      <c r="VWQ16" s="508" t="s">
        <v>581</v>
      </c>
      <c r="VWR16" s="508" t="s">
        <v>581</v>
      </c>
      <c r="VWS16" s="508" t="s">
        <v>581</v>
      </c>
      <c r="VWT16" s="508" t="s">
        <v>581</v>
      </c>
      <c r="VWU16" s="508" t="s">
        <v>581</v>
      </c>
      <c r="VWV16" s="508" t="s">
        <v>581</v>
      </c>
      <c r="VWW16" s="508" t="s">
        <v>581</v>
      </c>
      <c r="VWX16" s="508" t="s">
        <v>581</v>
      </c>
      <c r="VWY16" s="508" t="s">
        <v>581</v>
      </c>
      <c r="VWZ16" s="508" t="s">
        <v>581</v>
      </c>
      <c r="VXA16" s="508" t="s">
        <v>581</v>
      </c>
      <c r="VXB16" s="508" t="s">
        <v>581</v>
      </c>
      <c r="VXC16" s="508" t="s">
        <v>581</v>
      </c>
      <c r="VXD16" s="508" t="s">
        <v>581</v>
      </c>
      <c r="VXE16" s="508" t="s">
        <v>581</v>
      </c>
      <c r="VXF16" s="508" t="s">
        <v>581</v>
      </c>
      <c r="VXG16" s="508" t="s">
        <v>581</v>
      </c>
      <c r="VXH16" s="508" t="s">
        <v>581</v>
      </c>
      <c r="VXI16" s="508" t="s">
        <v>581</v>
      </c>
      <c r="VXJ16" s="508" t="s">
        <v>581</v>
      </c>
      <c r="VXK16" s="508" t="s">
        <v>581</v>
      </c>
      <c r="VXL16" s="508" t="s">
        <v>581</v>
      </c>
      <c r="VXM16" s="508" t="s">
        <v>581</v>
      </c>
      <c r="VXN16" s="508" t="s">
        <v>581</v>
      </c>
      <c r="VXO16" s="508" t="s">
        <v>581</v>
      </c>
      <c r="VXP16" s="508" t="s">
        <v>581</v>
      </c>
      <c r="VXQ16" s="508" t="s">
        <v>581</v>
      </c>
      <c r="VXR16" s="508" t="s">
        <v>581</v>
      </c>
      <c r="VXS16" s="508" t="s">
        <v>581</v>
      </c>
      <c r="VXT16" s="508" t="s">
        <v>581</v>
      </c>
      <c r="VXU16" s="508" t="s">
        <v>581</v>
      </c>
      <c r="VXV16" s="508" t="s">
        <v>581</v>
      </c>
      <c r="VXW16" s="508" t="s">
        <v>581</v>
      </c>
      <c r="VXX16" s="508" t="s">
        <v>581</v>
      </c>
      <c r="VXY16" s="508" t="s">
        <v>581</v>
      </c>
      <c r="VXZ16" s="508" t="s">
        <v>581</v>
      </c>
      <c r="VYA16" s="508" t="s">
        <v>581</v>
      </c>
      <c r="VYB16" s="508" t="s">
        <v>581</v>
      </c>
      <c r="VYC16" s="508" t="s">
        <v>581</v>
      </c>
      <c r="VYD16" s="508" t="s">
        <v>581</v>
      </c>
      <c r="VYE16" s="508" t="s">
        <v>581</v>
      </c>
      <c r="VYF16" s="508" t="s">
        <v>581</v>
      </c>
      <c r="VYG16" s="508" t="s">
        <v>581</v>
      </c>
      <c r="VYH16" s="508" t="s">
        <v>581</v>
      </c>
      <c r="VYI16" s="508" t="s">
        <v>581</v>
      </c>
      <c r="VYJ16" s="508" t="s">
        <v>581</v>
      </c>
      <c r="VYK16" s="508" t="s">
        <v>581</v>
      </c>
      <c r="VYL16" s="508" t="s">
        <v>581</v>
      </c>
      <c r="VYM16" s="508" t="s">
        <v>581</v>
      </c>
      <c r="VYN16" s="508" t="s">
        <v>581</v>
      </c>
      <c r="VYO16" s="508" t="s">
        <v>581</v>
      </c>
      <c r="VYP16" s="508" t="s">
        <v>581</v>
      </c>
      <c r="VYQ16" s="508" t="s">
        <v>581</v>
      </c>
      <c r="VYR16" s="508" t="s">
        <v>581</v>
      </c>
      <c r="VYS16" s="508" t="s">
        <v>581</v>
      </c>
      <c r="VYT16" s="508" t="s">
        <v>581</v>
      </c>
      <c r="VYU16" s="508" t="s">
        <v>581</v>
      </c>
      <c r="VYV16" s="508" t="s">
        <v>581</v>
      </c>
      <c r="VYW16" s="508" t="s">
        <v>581</v>
      </c>
      <c r="VYX16" s="508" t="s">
        <v>581</v>
      </c>
      <c r="VYY16" s="508" t="s">
        <v>581</v>
      </c>
      <c r="VYZ16" s="508" t="s">
        <v>581</v>
      </c>
      <c r="VZA16" s="508" t="s">
        <v>581</v>
      </c>
      <c r="VZB16" s="508" t="s">
        <v>581</v>
      </c>
      <c r="VZC16" s="508" t="s">
        <v>581</v>
      </c>
      <c r="VZD16" s="508" t="s">
        <v>581</v>
      </c>
      <c r="VZE16" s="508" t="s">
        <v>581</v>
      </c>
      <c r="VZF16" s="508" t="s">
        <v>581</v>
      </c>
      <c r="VZG16" s="508" t="s">
        <v>581</v>
      </c>
      <c r="VZH16" s="508" t="s">
        <v>581</v>
      </c>
      <c r="VZI16" s="508" t="s">
        <v>581</v>
      </c>
      <c r="VZJ16" s="508" t="s">
        <v>581</v>
      </c>
      <c r="VZK16" s="508" t="s">
        <v>581</v>
      </c>
      <c r="VZL16" s="508" t="s">
        <v>581</v>
      </c>
      <c r="VZM16" s="508" t="s">
        <v>581</v>
      </c>
      <c r="VZN16" s="508" t="s">
        <v>581</v>
      </c>
      <c r="VZO16" s="508" t="s">
        <v>581</v>
      </c>
      <c r="VZP16" s="508" t="s">
        <v>581</v>
      </c>
      <c r="VZQ16" s="508" t="s">
        <v>581</v>
      </c>
      <c r="VZR16" s="508" t="s">
        <v>581</v>
      </c>
      <c r="VZS16" s="508" t="s">
        <v>581</v>
      </c>
      <c r="VZT16" s="508" t="s">
        <v>581</v>
      </c>
      <c r="VZU16" s="508" t="s">
        <v>581</v>
      </c>
      <c r="VZV16" s="508" t="s">
        <v>581</v>
      </c>
      <c r="VZW16" s="508" t="s">
        <v>581</v>
      </c>
      <c r="VZX16" s="508" t="s">
        <v>581</v>
      </c>
      <c r="VZY16" s="508" t="s">
        <v>581</v>
      </c>
      <c r="VZZ16" s="508" t="s">
        <v>581</v>
      </c>
      <c r="WAA16" s="508" t="s">
        <v>581</v>
      </c>
      <c r="WAB16" s="508" t="s">
        <v>581</v>
      </c>
      <c r="WAC16" s="508" t="s">
        <v>581</v>
      </c>
      <c r="WAD16" s="508" t="s">
        <v>581</v>
      </c>
      <c r="WAE16" s="508" t="s">
        <v>581</v>
      </c>
      <c r="WAF16" s="508" t="s">
        <v>581</v>
      </c>
      <c r="WAG16" s="508" t="s">
        <v>581</v>
      </c>
      <c r="WAH16" s="508" t="s">
        <v>581</v>
      </c>
      <c r="WAI16" s="508" t="s">
        <v>581</v>
      </c>
      <c r="WAJ16" s="508" t="s">
        <v>581</v>
      </c>
      <c r="WAK16" s="508" t="s">
        <v>581</v>
      </c>
      <c r="WAL16" s="508" t="s">
        <v>581</v>
      </c>
      <c r="WAM16" s="508" t="s">
        <v>581</v>
      </c>
      <c r="WAN16" s="508" t="s">
        <v>581</v>
      </c>
      <c r="WAO16" s="508" t="s">
        <v>581</v>
      </c>
      <c r="WAP16" s="508" t="s">
        <v>581</v>
      </c>
      <c r="WAQ16" s="508" t="s">
        <v>581</v>
      </c>
      <c r="WAR16" s="508" t="s">
        <v>581</v>
      </c>
      <c r="WAS16" s="508" t="s">
        <v>581</v>
      </c>
      <c r="WAT16" s="508" t="s">
        <v>581</v>
      </c>
      <c r="WAU16" s="508" t="s">
        <v>581</v>
      </c>
      <c r="WAV16" s="508" t="s">
        <v>581</v>
      </c>
      <c r="WAW16" s="508" t="s">
        <v>581</v>
      </c>
      <c r="WAX16" s="508" t="s">
        <v>581</v>
      </c>
      <c r="WAY16" s="508" t="s">
        <v>581</v>
      </c>
      <c r="WAZ16" s="508" t="s">
        <v>581</v>
      </c>
      <c r="WBA16" s="508" t="s">
        <v>581</v>
      </c>
      <c r="WBB16" s="508" t="s">
        <v>581</v>
      </c>
      <c r="WBC16" s="508" t="s">
        <v>581</v>
      </c>
      <c r="WBD16" s="508" t="s">
        <v>581</v>
      </c>
      <c r="WBE16" s="508" t="s">
        <v>581</v>
      </c>
      <c r="WBF16" s="508" t="s">
        <v>581</v>
      </c>
      <c r="WBG16" s="508" t="s">
        <v>581</v>
      </c>
      <c r="WBH16" s="508" t="s">
        <v>581</v>
      </c>
      <c r="WBI16" s="508" t="s">
        <v>581</v>
      </c>
      <c r="WBJ16" s="508" t="s">
        <v>581</v>
      </c>
      <c r="WBK16" s="508" t="s">
        <v>581</v>
      </c>
      <c r="WBL16" s="508" t="s">
        <v>581</v>
      </c>
      <c r="WBM16" s="508" t="s">
        <v>581</v>
      </c>
      <c r="WBN16" s="508" t="s">
        <v>581</v>
      </c>
      <c r="WBO16" s="508" t="s">
        <v>581</v>
      </c>
      <c r="WBP16" s="508" t="s">
        <v>581</v>
      </c>
      <c r="WBQ16" s="508" t="s">
        <v>581</v>
      </c>
      <c r="WBR16" s="508" t="s">
        <v>581</v>
      </c>
      <c r="WBS16" s="508" t="s">
        <v>581</v>
      </c>
      <c r="WBT16" s="508" t="s">
        <v>581</v>
      </c>
      <c r="WBU16" s="508" t="s">
        <v>581</v>
      </c>
      <c r="WBV16" s="508" t="s">
        <v>581</v>
      </c>
      <c r="WBW16" s="508" t="s">
        <v>581</v>
      </c>
      <c r="WBX16" s="508" t="s">
        <v>581</v>
      </c>
      <c r="WBY16" s="508" t="s">
        <v>581</v>
      </c>
      <c r="WBZ16" s="508" t="s">
        <v>581</v>
      </c>
      <c r="WCA16" s="508" t="s">
        <v>581</v>
      </c>
      <c r="WCB16" s="508" t="s">
        <v>581</v>
      </c>
      <c r="WCC16" s="508" t="s">
        <v>581</v>
      </c>
      <c r="WCD16" s="508" t="s">
        <v>581</v>
      </c>
      <c r="WCE16" s="508" t="s">
        <v>581</v>
      </c>
      <c r="WCF16" s="508" t="s">
        <v>581</v>
      </c>
      <c r="WCG16" s="508" t="s">
        <v>581</v>
      </c>
      <c r="WCH16" s="508" t="s">
        <v>581</v>
      </c>
      <c r="WCI16" s="508" t="s">
        <v>581</v>
      </c>
      <c r="WCJ16" s="508" t="s">
        <v>581</v>
      </c>
      <c r="WCK16" s="508" t="s">
        <v>581</v>
      </c>
      <c r="WCL16" s="508" t="s">
        <v>581</v>
      </c>
      <c r="WCM16" s="508" t="s">
        <v>581</v>
      </c>
      <c r="WCN16" s="508" t="s">
        <v>581</v>
      </c>
      <c r="WCO16" s="508" t="s">
        <v>581</v>
      </c>
      <c r="WCP16" s="508" t="s">
        <v>581</v>
      </c>
      <c r="WCQ16" s="508" t="s">
        <v>581</v>
      </c>
      <c r="WCR16" s="508" t="s">
        <v>581</v>
      </c>
      <c r="WCS16" s="508" t="s">
        <v>581</v>
      </c>
      <c r="WCT16" s="508" t="s">
        <v>581</v>
      </c>
      <c r="WCU16" s="508" t="s">
        <v>581</v>
      </c>
      <c r="WCV16" s="508" t="s">
        <v>581</v>
      </c>
      <c r="WCW16" s="508" t="s">
        <v>581</v>
      </c>
      <c r="WCX16" s="508" t="s">
        <v>581</v>
      </c>
      <c r="WCY16" s="508" t="s">
        <v>581</v>
      </c>
      <c r="WCZ16" s="508" t="s">
        <v>581</v>
      </c>
      <c r="WDA16" s="508" t="s">
        <v>581</v>
      </c>
      <c r="WDB16" s="508" t="s">
        <v>581</v>
      </c>
      <c r="WDC16" s="508" t="s">
        <v>581</v>
      </c>
      <c r="WDD16" s="508" t="s">
        <v>581</v>
      </c>
      <c r="WDE16" s="508" t="s">
        <v>581</v>
      </c>
      <c r="WDF16" s="508" t="s">
        <v>581</v>
      </c>
      <c r="WDG16" s="508" t="s">
        <v>581</v>
      </c>
      <c r="WDH16" s="508" t="s">
        <v>581</v>
      </c>
      <c r="WDI16" s="508" t="s">
        <v>581</v>
      </c>
      <c r="WDJ16" s="508" t="s">
        <v>581</v>
      </c>
      <c r="WDK16" s="508" t="s">
        <v>581</v>
      </c>
      <c r="WDL16" s="508" t="s">
        <v>581</v>
      </c>
      <c r="WDM16" s="508" t="s">
        <v>581</v>
      </c>
      <c r="WDN16" s="508" t="s">
        <v>581</v>
      </c>
      <c r="WDO16" s="508" t="s">
        <v>581</v>
      </c>
      <c r="WDP16" s="508" t="s">
        <v>581</v>
      </c>
      <c r="WDQ16" s="508" t="s">
        <v>581</v>
      </c>
      <c r="WDR16" s="508" t="s">
        <v>581</v>
      </c>
      <c r="WDS16" s="508" t="s">
        <v>581</v>
      </c>
      <c r="WDT16" s="508" t="s">
        <v>581</v>
      </c>
      <c r="WDU16" s="508" t="s">
        <v>581</v>
      </c>
      <c r="WDV16" s="508" t="s">
        <v>581</v>
      </c>
      <c r="WDW16" s="508" t="s">
        <v>581</v>
      </c>
      <c r="WDX16" s="508" t="s">
        <v>581</v>
      </c>
      <c r="WDY16" s="508" t="s">
        <v>581</v>
      </c>
      <c r="WDZ16" s="508" t="s">
        <v>581</v>
      </c>
      <c r="WEA16" s="508" t="s">
        <v>581</v>
      </c>
      <c r="WEB16" s="508" t="s">
        <v>581</v>
      </c>
      <c r="WEC16" s="508" t="s">
        <v>581</v>
      </c>
      <c r="WED16" s="508" t="s">
        <v>581</v>
      </c>
      <c r="WEE16" s="508" t="s">
        <v>581</v>
      </c>
      <c r="WEF16" s="508" t="s">
        <v>581</v>
      </c>
      <c r="WEG16" s="508" t="s">
        <v>581</v>
      </c>
      <c r="WEH16" s="508" t="s">
        <v>581</v>
      </c>
      <c r="WEI16" s="508" t="s">
        <v>581</v>
      </c>
      <c r="WEJ16" s="508" t="s">
        <v>581</v>
      </c>
      <c r="WEK16" s="508" t="s">
        <v>581</v>
      </c>
      <c r="WEL16" s="508" t="s">
        <v>581</v>
      </c>
      <c r="WEM16" s="508" t="s">
        <v>581</v>
      </c>
      <c r="WEN16" s="508" t="s">
        <v>581</v>
      </c>
      <c r="WEO16" s="508" t="s">
        <v>581</v>
      </c>
      <c r="WEP16" s="508" t="s">
        <v>581</v>
      </c>
      <c r="WEQ16" s="508" t="s">
        <v>581</v>
      </c>
      <c r="WER16" s="508" t="s">
        <v>581</v>
      </c>
      <c r="WES16" s="508" t="s">
        <v>581</v>
      </c>
      <c r="WET16" s="508" t="s">
        <v>581</v>
      </c>
      <c r="WEU16" s="508" t="s">
        <v>581</v>
      </c>
      <c r="WEV16" s="508" t="s">
        <v>581</v>
      </c>
      <c r="WEW16" s="508" t="s">
        <v>581</v>
      </c>
      <c r="WEX16" s="508" t="s">
        <v>581</v>
      </c>
      <c r="WEY16" s="508" t="s">
        <v>581</v>
      </c>
      <c r="WEZ16" s="508" t="s">
        <v>581</v>
      </c>
      <c r="WFA16" s="508" t="s">
        <v>581</v>
      </c>
      <c r="WFB16" s="508" t="s">
        <v>581</v>
      </c>
      <c r="WFC16" s="508" t="s">
        <v>581</v>
      </c>
      <c r="WFD16" s="508" t="s">
        <v>581</v>
      </c>
      <c r="WFE16" s="508" t="s">
        <v>581</v>
      </c>
      <c r="WFF16" s="508" t="s">
        <v>581</v>
      </c>
      <c r="WFG16" s="508" t="s">
        <v>581</v>
      </c>
      <c r="WFH16" s="508" t="s">
        <v>581</v>
      </c>
      <c r="WFI16" s="508" t="s">
        <v>581</v>
      </c>
      <c r="WFJ16" s="508" t="s">
        <v>581</v>
      </c>
      <c r="WFK16" s="508" t="s">
        <v>581</v>
      </c>
      <c r="WFL16" s="508" t="s">
        <v>581</v>
      </c>
      <c r="WFM16" s="508" t="s">
        <v>581</v>
      </c>
      <c r="WFN16" s="508" t="s">
        <v>581</v>
      </c>
      <c r="WFO16" s="508" t="s">
        <v>581</v>
      </c>
      <c r="WFP16" s="508" t="s">
        <v>581</v>
      </c>
      <c r="WFQ16" s="508" t="s">
        <v>581</v>
      </c>
      <c r="WFR16" s="508" t="s">
        <v>581</v>
      </c>
      <c r="WFS16" s="508" t="s">
        <v>581</v>
      </c>
      <c r="WFT16" s="508" t="s">
        <v>581</v>
      </c>
      <c r="WFU16" s="508" t="s">
        <v>581</v>
      </c>
      <c r="WFV16" s="508" t="s">
        <v>581</v>
      </c>
      <c r="WFW16" s="508" t="s">
        <v>581</v>
      </c>
      <c r="WFX16" s="508" t="s">
        <v>581</v>
      </c>
      <c r="WFY16" s="508" t="s">
        <v>581</v>
      </c>
      <c r="WFZ16" s="508" t="s">
        <v>581</v>
      </c>
      <c r="WGA16" s="508" t="s">
        <v>581</v>
      </c>
      <c r="WGB16" s="508" t="s">
        <v>581</v>
      </c>
      <c r="WGC16" s="508" t="s">
        <v>581</v>
      </c>
      <c r="WGD16" s="508" t="s">
        <v>581</v>
      </c>
      <c r="WGE16" s="508" t="s">
        <v>581</v>
      </c>
      <c r="WGF16" s="508" t="s">
        <v>581</v>
      </c>
      <c r="WGG16" s="508" t="s">
        <v>581</v>
      </c>
      <c r="WGH16" s="508" t="s">
        <v>581</v>
      </c>
      <c r="WGI16" s="508" t="s">
        <v>581</v>
      </c>
      <c r="WGJ16" s="508" t="s">
        <v>581</v>
      </c>
      <c r="WGK16" s="508" t="s">
        <v>581</v>
      </c>
      <c r="WGL16" s="508" t="s">
        <v>581</v>
      </c>
      <c r="WGM16" s="508" t="s">
        <v>581</v>
      </c>
      <c r="WGN16" s="508" t="s">
        <v>581</v>
      </c>
      <c r="WGO16" s="508" t="s">
        <v>581</v>
      </c>
      <c r="WGP16" s="508" t="s">
        <v>581</v>
      </c>
      <c r="WGQ16" s="508" t="s">
        <v>581</v>
      </c>
      <c r="WGR16" s="508" t="s">
        <v>581</v>
      </c>
      <c r="WGS16" s="508" t="s">
        <v>581</v>
      </c>
      <c r="WGT16" s="508" t="s">
        <v>581</v>
      </c>
      <c r="WGU16" s="508" t="s">
        <v>581</v>
      </c>
      <c r="WGV16" s="508" t="s">
        <v>581</v>
      </c>
      <c r="WGW16" s="508" t="s">
        <v>581</v>
      </c>
      <c r="WGX16" s="508" t="s">
        <v>581</v>
      </c>
      <c r="WGY16" s="508" t="s">
        <v>581</v>
      </c>
      <c r="WGZ16" s="508" t="s">
        <v>581</v>
      </c>
      <c r="WHA16" s="508" t="s">
        <v>581</v>
      </c>
      <c r="WHB16" s="508" t="s">
        <v>581</v>
      </c>
      <c r="WHC16" s="508" t="s">
        <v>581</v>
      </c>
      <c r="WHD16" s="508" t="s">
        <v>581</v>
      </c>
      <c r="WHE16" s="508" t="s">
        <v>581</v>
      </c>
      <c r="WHF16" s="508" t="s">
        <v>581</v>
      </c>
      <c r="WHG16" s="508" t="s">
        <v>581</v>
      </c>
      <c r="WHH16" s="508" t="s">
        <v>581</v>
      </c>
      <c r="WHI16" s="508" t="s">
        <v>581</v>
      </c>
      <c r="WHJ16" s="508" t="s">
        <v>581</v>
      </c>
      <c r="WHK16" s="508" t="s">
        <v>581</v>
      </c>
      <c r="WHL16" s="508" t="s">
        <v>581</v>
      </c>
      <c r="WHM16" s="508" t="s">
        <v>581</v>
      </c>
      <c r="WHN16" s="508" t="s">
        <v>581</v>
      </c>
      <c r="WHO16" s="508" t="s">
        <v>581</v>
      </c>
      <c r="WHP16" s="508" t="s">
        <v>581</v>
      </c>
      <c r="WHQ16" s="508" t="s">
        <v>581</v>
      </c>
      <c r="WHR16" s="508" t="s">
        <v>581</v>
      </c>
      <c r="WHS16" s="508" t="s">
        <v>581</v>
      </c>
      <c r="WHT16" s="508" t="s">
        <v>581</v>
      </c>
      <c r="WHU16" s="508" t="s">
        <v>581</v>
      </c>
      <c r="WHV16" s="508" t="s">
        <v>581</v>
      </c>
      <c r="WHW16" s="508" t="s">
        <v>581</v>
      </c>
      <c r="WHX16" s="508" t="s">
        <v>581</v>
      </c>
      <c r="WHY16" s="508" t="s">
        <v>581</v>
      </c>
      <c r="WHZ16" s="508" t="s">
        <v>581</v>
      </c>
      <c r="WIA16" s="508" t="s">
        <v>581</v>
      </c>
      <c r="WIB16" s="508" t="s">
        <v>581</v>
      </c>
      <c r="WIC16" s="508" t="s">
        <v>581</v>
      </c>
      <c r="WID16" s="508" t="s">
        <v>581</v>
      </c>
      <c r="WIE16" s="508" t="s">
        <v>581</v>
      </c>
      <c r="WIF16" s="508" t="s">
        <v>581</v>
      </c>
      <c r="WIG16" s="508" t="s">
        <v>581</v>
      </c>
      <c r="WIH16" s="508" t="s">
        <v>581</v>
      </c>
      <c r="WII16" s="508" t="s">
        <v>581</v>
      </c>
      <c r="WIJ16" s="508" t="s">
        <v>581</v>
      </c>
      <c r="WIK16" s="508" t="s">
        <v>581</v>
      </c>
      <c r="WIL16" s="508" t="s">
        <v>581</v>
      </c>
      <c r="WIM16" s="508" t="s">
        <v>581</v>
      </c>
      <c r="WIN16" s="508" t="s">
        <v>581</v>
      </c>
      <c r="WIO16" s="508" t="s">
        <v>581</v>
      </c>
      <c r="WIP16" s="508" t="s">
        <v>581</v>
      </c>
      <c r="WIQ16" s="508" t="s">
        <v>581</v>
      </c>
      <c r="WIR16" s="508" t="s">
        <v>581</v>
      </c>
      <c r="WIS16" s="508" t="s">
        <v>581</v>
      </c>
      <c r="WIT16" s="508" t="s">
        <v>581</v>
      </c>
      <c r="WIU16" s="508" t="s">
        <v>581</v>
      </c>
      <c r="WIV16" s="508" t="s">
        <v>581</v>
      </c>
      <c r="WIW16" s="508" t="s">
        <v>581</v>
      </c>
      <c r="WIX16" s="508" t="s">
        <v>581</v>
      </c>
      <c r="WIY16" s="508" t="s">
        <v>581</v>
      </c>
      <c r="WIZ16" s="508" t="s">
        <v>581</v>
      </c>
      <c r="WJA16" s="508" t="s">
        <v>581</v>
      </c>
      <c r="WJB16" s="508" t="s">
        <v>581</v>
      </c>
      <c r="WJC16" s="508" t="s">
        <v>581</v>
      </c>
      <c r="WJD16" s="508" t="s">
        <v>581</v>
      </c>
      <c r="WJE16" s="508" t="s">
        <v>581</v>
      </c>
      <c r="WJF16" s="508" t="s">
        <v>581</v>
      </c>
      <c r="WJG16" s="508" t="s">
        <v>581</v>
      </c>
      <c r="WJH16" s="508" t="s">
        <v>581</v>
      </c>
      <c r="WJI16" s="508" t="s">
        <v>581</v>
      </c>
      <c r="WJJ16" s="508" t="s">
        <v>581</v>
      </c>
      <c r="WJK16" s="508" t="s">
        <v>581</v>
      </c>
      <c r="WJL16" s="508" t="s">
        <v>581</v>
      </c>
      <c r="WJM16" s="508" t="s">
        <v>581</v>
      </c>
      <c r="WJN16" s="508" t="s">
        <v>581</v>
      </c>
      <c r="WJO16" s="508" t="s">
        <v>581</v>
      </c>
      <c r="WJP16" s="508" t="s">
        <v>581</v>
      </c>
      <c r="WJQ16" s="508" t="s">
        <v>581</v>
      </c>
      <c r="WJR16" s="508" t="s">
        <v>581</v>
      </c>
      <c r="WJS16" s="508" t="s">
        <v>581</v>
      </c>
      <c r="WJT16" s="508" t="s">
        <v>581</v>
      </c>
      <c r="WJU16" s="508" t="s">
        <v>581</v>
      </c>
      <c r="WJV16" s="508" t="s">
        <v>581</v>
      </c>
      <c r="WJW16" s="508" t="s">
        <v>581</v>
      </c>
      <c r="WJX16" s="508" t="s">
        <v>581</v>
      </c>
      <c r="WJY16" s="508" t="s">
        <v>581</v>
      </c>
      <c r="WJZ16" s="508" t="s">
        <v>581</v>
      </c>
      <c r="WKA16" s="508" t="s">
        <v>581</v>
      </c>
      <c r="WKB16" s="508" t="s">
        <v>581</v>
      </c>
      <c r="WKC16" s="508" t="s">
        <v>581</v>
      </c>
      <c r="WKD16" s="508" t="s">
        <v>581</v>
      </c>
      <c r="WKE16" s="508" t="s">
        <v>581</v>
      </c>
      <c r="WKF16" s="508" t="s">
        <v>581</v>
      </c>
      <c r="WKG16" s="508" t="s">
        <v>581</v>
      </c>
      <c r="WKH16" s="508" t="s">
        <v>581</v>
      </c>
      <c r="WKI16" s="508" t="s">
        <v>581</v>
      </c>
      <c r="WKJ16" s="508" t="s">
        <v>581</v>
      </c>
      <c r="WKK16" s="508" t="s">
        <v>581</v>
      </c>
      <c r="WKL16" s="508" t="s">
        <v>581</v>
      </c>
      <c r="WKM16" s="508" t="s">
        <v>581</v>
      </c>
      <c r="WKN16" s="508" t="s">
        <v>581</v>
      </c>
      <c r="WKO16" s="508" t="s">
        <v>581</v>
      </c>
      <c r="WKP16" s="508" t="s">
        <v>581</v>
      </c>
      <c r="WKQ16" s="508" t="s">
        <v>581</v>
      </c>
      <c r="WKR16" s="508" t="s">
        <v>581</v>
      </c>
      <c r="WKS16" s="508" t="s">
        <v>581</v>
      </c>
      <c r="WKT16" s="508" t="s">
        <v>581</v>
      </c>
      <c r="WKU16" s="508" t="s">
        <v>581</v>
      </c>
      <c r="WKV16" s="508" t="s">
        <v>581</v>
      </c>
      <c r="WKW16" s="508" t="s">
        <v>581</v>
      </c>
      <c r="WKX16" s="508" t="s">
        <v>581</v>
      </c>
      <c r="WKY16" s="508" t="s">
        <v>581</v>
      </c>
      <c r="WKZ16" s="508" t="s">
        <v>581</v>
      </c>
      <c r="WLA16" s="508" t="s">
        <v>581</v>
      </c>
      <c r="WLB16" s="508" t="s">
        <v>581</v>
      </c>
      <c r="WLC16" s="508" t="s">
        <v>581</v>
      </c>
      <c r="WLD16" s="508" t="s">
        <v>581</v>
      </c>
      <c r="WLE16" s="508" t="s">
        <v>581</v>
      </c>
      <c r="WLF16" s="508" t="s">
        <v>581</v>
      </c>
      <c r="WLG16" s="508" t="s">
        <v>581</v>
      </c>
      <c r="WLH16" s="508" t="s">
        <v>581</v>
      </c>
      <c r="WLI16" s="508" t="s">
        <v>581</v>
      </c>
      <c r="WLJ16" s="508" t="s">
        <v>581</v>
      </c>
      <c r="WLK16" s="508" t="s">
        <v>581</v>
      </c>
      <c r="WLL16" s="508" t="s">
        <v>581</v>
      </c>
      <c r="WLM16" s="508" t="s">
        <v>581</v>
      </c>
      <c r="WLN16" s="508" t="s">
        <v>581</v>
      </c>
      <c r="WLO16" s="508" t="s">
        <v>581</v>
      </c>
      <c r="WLP16" s="508" t="s">
        <v>581</v>
      </c>
      <c r="WLQ16" s="508" t="s">
        <v>581</v>
      </c>
      <c r="WLR16" s="508" t="s">
        <v>581</v>
      </c>
      <c r="WLS16" s="508" t="s">
        <v>581</v>
      </c>
      <c r="WLT16" s="508" t="s">
        <v>581</v>
      </c>
      <c r="WLU16" s="508" t="s">
        <v>581</v>
      </c>
      <c r="WLV16" s="508" t="s">
        <v>581</v>
      </c>
      <c r="WLW16" s="508" t="s">
        <v>581</v>
      </c>
      <c r="WLX16" s="508" t="s">
        <v>581</v>
      </c>
      <c r="WLY16" s="508" t="s">
        <v>581</v>
      </c>
      <c r="WLZ16" s="508" t="s">
        <v>581</v>
      </c>
      <c r="WMA16" s="508" t="s">
        <v>581</v>
      </c>
      <c r="WMB16" s="508" t="s">
        <v>581</v>
      </c>
      <c r="WMC16" s="508" t="s">
        <v>581</v>
      </c>
      <c r="WMD16" s="508" t="s">
        <v>581</v>
      </c>
      <c r="WME16" s="508" t="s">
        <v>581</v>
      </c>
      <c r="WMF16" s="508" t="s">
        <v>581</v>
      </c>
      <c r="WMG16" s="508" t="s">
        <v>581</v>
      </c>
      <c r="WMH16" s="508" t="s">
        <v>581</v>
      </c>
      <c r="WMI16" s="508" t="s">
        <v>581</v>
      </c>
      <c r="WMJ16" s="508" t="s">
        <v>581</v>
      </c>
      <c r="WMK16" s="508" t="s">
        <v>581</v>
      </c>
      <c r="WML16" s="508" t="s">
        <v>581</v>
      </c>
      <c r="WMM16" s="508" t="s">
        <v>581</v>
      </c>
      <c r="WMN16" s="508" t="s">
        <v>581</v>
      </c>
      <c r="WMO16" s="508" t="s">
        <v>581</v>
      </c>
      <c r="WMP16" s="508" t="s">
        <v>581</v>
      </c>
      <c r="WMQ16" s="508" t="s">
        <v>581</v>
      </c>
      <c r="WMR16" s="508" t="s">
        <v>581</v>
      </c>
      <c r="WMS16" s="508" t="s">
        <v>581</v>
      </c>
      <c r="WMT16" s="508" t="s">
        <v>581</v>
      </c>
      <c r="WMU16" s="508" t="s">
        <v>581</v>
      </c>
      <c r="WMV16" s="508" t="s">
        <v>581</v>
      </c>
      <c r="WMW16" s="508" t="s">
        <v>581</v>
      </c>
      <c r="WMX16" s="508" t="s">
        <v>581</v>
      </c>
      <c r="WMY16" s="508" t="s">
        <v>581</v>
      </c>
      <c r="WMZ16" s="508" t="s">
        <v>581</v>
      </c>
      <c r="WNA16" s="508" t="s">
        <v>581</v>
      </c>
      <c r="WNB16" s="508" t="s">
        <v>581</v>
      </c>
      <c r="WNC16" s="508" t="s">
        <v>581</v>
      </c>
      <c r="WND16" s="508" t="s">
        <v>581</v>
      </c>
      <c r="WNE16" s="508" t="s">
        <v>581</v>
      </c>
      <c r="WNF16" s="508" t="s">
        <v>581</v>
      </c>
      <c r="WNG16" s="508" t="s">
        <v>581</v>
      </c>
      <c r="WNH16" s="508" t="s">
        <v>581</v>
      </c>
      <c r="WNI16" s="508" t="s">
        <v>581</v>
      </c>
      <c r="WNJ16" s="508" t="s">
        <v>581</v>
      </c>
      <c r="WNK16" s="508" t="s">
        <v>581</v>
      </c>
      <c r="WNL16" s="508" t="s">
        <v>581</v>
      </c>
      <c r="WNM16" s="508" t="s">
        <v>581</v>
      </c>
      <c r="WNN16" s="508" t="s">
        <v>581</v>
      </c>
      <c r="WNO16" s="508" t="s">
        <v>581</v>
      </c>
      <c r="WNP16" s="508" t="s">
        <v>581</v>
      </c>
      <c r="WNQ16" s="508" t="s">
        <v>581</v>
      </c>
      <c r="WNR16" s="508" t="s">
        <v>581</v>
      </c>
      <c r="WNS16" s="508" t="s">
        <v>581</v>
      </c>
      <c r="WNT16" s="508" t="s">
        <v>581</v>
      </c>
      <c r="WNU16" s="508" t="s">
        <v>581</v>
      </c>
      <c r="WNV16" s="508" t="s">
        <v>581</v>
      </c>
      <c r="WNW16" s="508" t="s">
        <v>581</v>
      </c>
      <c r="WNX16" s="508" t="s">
        <v>581</v>
      </c>
      <c r="WNY16" s="508" t="s">
        <v>581</v>
      </c>
      <c r="WNZ16" s="508" t="s">
        <v>581</v>
      </c>
      <c r="WOA16" s="508" t="s">
        <v>581</v>
      </c>
      <c r="WOB16" s="508" t="s">
        <v>581</v>
      </c>
      <c r="WOC16" s="508" t="s">
        <v>581</v>
      </c>
      <c r="WOD16" s="508" t="s">
        <v>581</v>
      </c>
      <c r="WOE16" s="508" t="s">
        <v>581</v>
      </c>
      <c r="WOF16" s="508" t="s">
        <v>581</v>
      </c>
      <c r="WOG16" s="508" t="s">
        <v>581</v>
      </c>
      <c r="WOH16" s="508" t="s">
        <v>581</v>
      </c>
      <c r="WOI16" s="508" t="s">
        <v>581</v>
      </c>
      <c r="WOJ16" s="508" t="s">
        <v>581</v>
      </c>
      <c r="WOK16" s="508" t="s">
        <v>581</v>
      </c>
      <c r="WOL16" s="508" t="s">
        <v>581</v>
      </c>
      <c r="WOM16" s="508" t="s">
        <v>581</v>
      </c>
      <c r="WON16" s="508" t="s">
        <v>581</v>
      </c>
      <c r="WOO16" s="508" t="s">
        <v>581</v>
      </c>
      <c r="WOP16" s="508" t="s">
        <v>581</v>
      </c>
      <c r="WOQ16" s="508" t="s">
        <v>581</v>
      </c>
      <c r="WOR16" s="508" t="s">
        <v>581</v>
      </c>
      <c r="WOS16" s="508" t="s">
        <v>581</v>
      </c>
      <c r="WOT16" s="508" t="s">
        <v>581</v>
      </c>
      <c r="WOU16" s="508" t="s">
        <v>581</v>
      </c>
      <c r="WOV16" s="508" t="s">
        <v>581</v>
      </c>
      <c r="WOW16" s="508" t="s">
        <v>581</v>
      </c>
      <c r="WOX16" s="508" t="s">
        <v>581</v>
      </c>
      <c r="WOY16" s="508" t="s">
        <v>581</v>
      </c>
      <c r="WOZ16" s="508" t="s">
        <v>581</v>
      </c>
      <c r="WPA16" s="508" t="s">
        <v>581</v>
      </c>
      <c r="WPB16" s="508" t="s">
        <v>581</v>
      </c>
      <c r="WPC16" s="508" t="s">
        <v>581</v>
      </c>
      <c r="WPD16" s="508" t="s">
        <v>581</v>
      </c>
      <c r="WPE16" s="508" t="s">
        <v>581</v>
      </c>
      <c r="WPF16" s="508" t="s">
        <v>581</v>
      </c>
      <c r="WPG16" s="508" t="s">
        <v>581</v>
      </c>
      <c r="WPH16" s="508" t="s">
        <v>581</v>
      </c>
      <c r="WPI16" s="508" t="s">
        <v>581</v>
      </c>
      <c r="WPJ16" s="508" t="s">
        <v>581</v>
      </c>
      <c r="WPK16" s="508" t="s">
        <v>581</v>
      </c>
      <c r="WPL16" s="508" t="s">
        <v>581</v>
      </c>
      <c r="WPM16" s="508" t="s">
        <v>581</v>
      </c>
      <c r="WPN16" s="508" t="s">
        <v>581</v>
      </c>
      <c r="WPO16" s="508" t="s">
        <v>581</v>
      </c>
      <c r="WPP16" s="508" t="s">
        <v>581</v>
      </c>
      <c r="WPQ16" s="508" t="s">
        <v>581</v>
      </c>
      <c r="WPR16" s="508" t="s">
        <v>581</v>
      </c>
      <c r="WPS16" s="508" t="s">
        <v>581</v>
      </c>
      <c r="WPT16" s="508" t="s">
        <v>581</v>
      </c>
      <c r="WPU16" s="508" t="s">
        <v>581</v>
      </c>
      <c r="WPV16" s="508" t="s">
        <v>581</v>
      </c>
      <c r="WPW16" s="508" t="s">
        <v>581</v>
      </c>
      <c r="WPX16" s="508" t="s">
        <v>581</v>
      </c>
      <c r="WPY16" s="508" t="s">
        <v>581</v>
      </c>
      <c r="WPZ16" s="508" t="s">
        <v>581</v>
      </c>
      <c r="WQA16" s="508" t="s">
        <v>581</v>
      </c>
      <c r="WQB16" s="508" t="s">
        <v>581</v>
      </c>
      <c r="WQC16" s="508" t="s">
        <v>581</v>
      </c>
      <c r="WQD16" s="508" t="s">
        <v>581</v>
      </c>
      <c r="WQE16" s="508" t="s">
        <v>581</v>
      </c>
      <c r="WQF16" s="508" t="s">
        <v>581</v>
      </c>
      <c r="WQG16" s="508" t="s">
        <v>581</v>
      </c>
      <c r="WQH16" s="508" t="s">
        <v>581</v>
      </c>
      <c r="WQI16" s="508" t="s">
        <v>581</v>
      </c>
      <c r="WQJ16" s="508" t="s">
        <v>581</v>
      </c>
      <c r="WQK16" s="508" t="s">
        <v>581</v>
      </c>
      <c r="WQL16" s="508" t="s">
        <v>581</v>
      </c>
      <c r="WQM16" s="508" t="s">
        <v>581</v>
      </c>
      <c r="WQN16" s="508" t="s">
        <v>581</v>
      </c>
      <c r="WQO16" s="508" t="s">
        <v>581</v>
      </c>
      <c r="WQP16" s="508" t="s">
        <v>581</v>
      </c>
      <c r="WQQ16" s="508" t="s">
        <v>581</v>
      </c>
      <c r="WQR16" s="508" t="s">
        <v>581</v>
      </c>
      <c r="WQS16" s="508" t="s">
        <v>581</v>
      </c>
      <c r="WQT16" s="508" t="s">
        <v>581</v>
      </c>
      <c r="WQU16" s="508" t="s">
        <v>581</v>
      </c>
      <c r="WQV16" s="508" t="s">
        <v>581</v>
      </c>
      <c r="WQW16" s="508" t="s">
        <v>581</v>
      </c>
      <c r="WQX16" s="508" t="s">
        <v>581</v>
      </c>
      <c r="WQY16" s="508" t="s">
        <v>581</v>
      </c>
      <c r="WQZ16" s="508" t="s">
        <v>581</v>
      </c>
      <c r="WRA16" s="508" t="s">
        <v>581</v>
      </c>
      <c r="WRB16" s="508" t="s">
        <v>581</v>
      </c>
      <c r="WRC16" s="508" t="s">
        <v>581</v>
      </c>
      <c r="WRD16" s="508" t="s">
        <v>581</v>
      </c>
      <c r="WRE16" s="508" t="s">
        <v>581</v>
      </c>
      <c r="WRF16" s="508" t="s">
        <v>581</v>
      </c>
      <c r="WRG16" s="508" t="s">
        <v>581</v>
      </c>
      <c r="WRH16" s="508" t="s">
        <v>581</v>
      </c>
      <c r="WRI16" s="508" t="s">
        <v>581</v>
      </c>
      <c r="WRJ16" s="508" t="s">
        <v>581</v>
      </c>
      <c r="WRK16" s="508" t="s">
        <v>581</v>
      </c>
      <c r="WRL16" s="508" t="s">
        <v>581</v>
      </c>
      <c r="WRM16" s="508" t="s">
        <v>581</v>
      </c>
      <c r="WRN16" s="508" t="s">
        <v>581</v>
      </c>
      <c r="WRO16" s="508" t="s">
        <v>581</v>
      </c>
      <c r="WRP16" s="508" t="s">
        <v>581</v>
      </c>
      <c r="WRQ16" s="508" t="s">
        <v>581</v>
      </c>
      <c r="WRR16" s="508" t="s">
        <v>581</v>
      </c>
      <c r="WRS16" s="508" t="s">
        <v>581</v>
      </c>
      <c r="WRT16" s="508" t="s">
        <v>581</v>
      </c>
      <c r="WRU16" s="508" t="s">
        <v>581</v>
      </c>
      <c r="WRV16" s="508" t="s">
        <v>581</v>
      </c>
      <c r="WRW16" s="508" t="s">
        <v>581</v>
      </c>
      <c r="WRX16" s="508" t="s">
        <v>581</v>
      </c>
      <c r="WRY16" s="508" t="s">
        <v>581</v>
      </c>
      <c r="WRZ16" s="508" t="s">
        <v>581</v>
      </c>
      <c r="WSA16" s="508" t="s">
        <v>581</v>
      </c>
      <c r="WSB16" s="508" t="s">
        <v>581</v>
      </c>
      <c r="WSC16" s="508" t="s">
        <v>581</v>
      </c>
      <c r="WSD16" s="508" t="s">
        <v>581</v>
      </c>
      <c r="WSE16" s="508" t="s">
        <v>581</v>
      </c>
      <c r="WSF16" s="508" t="s">
        <v>581</v>
      </c>
      <c r="WSG16" s="508" t="s">
        <v>581</v>
      </c>
      <c r="WSH16" s="508" t="s">
        <v>581</v>
      </c>
      <c r="WSI16" s="508" t="s">
        <v>581</v>
      </c>
      <c r="WSJ16" s="508" t="s">
        <v>581</v>
      </c>
      <c r="WSK16" s="508" t="s">
        <v>581</v>
      </c>
      <c r="WSL16" s="508" t="s">
        <v>581</v>
      </c>
      <c r="WSM16" s="508" t="s">
        <v>581</v>
      </c>
      <c r="WSN16" s="508" t="s">
        <v>581</v>
      </c>
      <c r="WSO16" s="508" t="s">
        <v>581</v>
      </c>
      <c r="WSP16" s="508" t="s">
        <v>581</v>
      </c>
      <c r="WSQ16" s="508" t="s">
        <v>581</v>
      </c>
      <c r="WSR16" s="508" t="s">
        <v>581</v>
      </c>
      <c r="WSS16" s="508" t="s">
        <v>581</v>
      </c>
      <c r="WST16" s="508" t="s">
        <v>581</v>
      </c>
      <c r="WSU16" s="508" t="s">
        <v>581</v>
      </c>
      <c r="WSV16" s="508" t="s">
        <v>581</v>
      </c>
      <c r="WSW16" s="508" t="s">
        <v>581</v>
      </c>
      <c r="WSX16" s="508" t="s">
        <v>581</v>
      </c>
      <c r="WSY16" s="508" t="s">
        <v>581</v>
      </c>
      <c r="WSZ16" s="508" t="s">
        <v>581</v>
      </c>
      <c r="WTA16" s="508" t="s">
        <v>581</v>
      </c>
      <c r="WTB16" s="508" t="s">
        <v>581</v>
      </c>
      <c r="WTC16" s="508" t="s">
        <v>581</v>
      </c>
      <c r="WTD16" s="508" t="s">
        <v>581</v>
      </c>
      <c r="WTE16" s="508" t="s">
        <v>581</v>
      </c>
      <c r="WTF16" s="508" t="s">
        <v>581</v>
      </c>
      <c r="WTG16" s="508" t="s">
        <v>581</v>
      </c>
      <c r="WTH16" s="508" t="s">
        <v>581</v>
      </c>
      <c r="WTI16" s="508" t="s">
        <v>581</v>
      </c>
      <c r="WTJ16" s="508" t="s">
        <v>581</v>
      </c>
      <c r="WTK16" s="508" t="s">
        <v>581</v>
      </c>
      <c r="WTL16" s="508" t="s">
        <v>581</v>
      </c>
      <c r="WTM16" s="508" t="s">
        <v>581</v>
      </c>
      <c r="WTN16" s="508" t="s">
        <v>581</v>
      </c>
      <c r="WTO16" s="508" t="s">
        <v>581</v>
      </c>
      <c r="WTP16" s="508" t="s">
        <v>581</v>
      </c>
      <c r="WTQ16" s="508" t="s">
        <v>581</v>
      </c>
      <c r="WTR16" s="508" t="s">
        <v>581</v>
      </c>
      <c r="WTS16" s="508" t="s">
        <v>581</v>
      </c>
      <c r="WTT16" s="508" t="s">
        <v>581</v>
      </c>
      <c r="WTU16" s="508" t="s">
        <v>581</v>
      </c>
      <c r="WTV16" s="508" t="s">
        <v>581</v>
      </c>
      <c r="WTW16" s="508" t="s">
        <v>581</v>
      </c>
      <c r="WTX16" s="508" t="s">
        <v>581</v>
      </c>
      <c r="WTY16" s="508" t="s">
        <v>581</v>
      </c>
      <c r="WTZ16" s="508" t="s">
        <v>581</v>
      </c>
      <c r="WUA16" s="508" t="s">
        <v>581</v>
      </c>
      <c r="WUB16" s="508" t="s">
        <v>581</v>
      </c>
      <c r="WUC16" s="508" t="s">
        <v>581</v>
      </c>
      <c r="WUD16" s="508" t="s">
        <v>581</v>
      </c>
      <c r="WUE16" s="508" t="s">
        <v>581</v>
      </c>
      <c r="WUF16" s="508" t="s">
        <v>581</v>
      </c>
      <c r="WUG16" s="508" t="s">
        <v>581</v>
      </c>
      <c r="WUH16" s="508" t="s">
        <v>581</v>
      </c>
      <c r="WUI16" s="508" t="s">
        <v>581</v>
      </c>
      <c r="WUJ16" s="508" t="s">
        <v>581</v>
      </c>
      <c r="WUK16" s="508" t="s">
        <v>581</v>
      </c>
      <c r="WUL16" s="508" t="s">
        <v>581</v>
      </c>
      <c r="WUM16" s="508" t="s">
        <v>581</v>
      </c>
      <c r="WUN16" s="508" t="s">
        <v>581</v>
      </c>
      <c r="WUO16" s="508" t="s">
        <v>581</v>
      </c>
      <c r="WUP16" s="508" t="s">
        <v>581</v>
      </c>
      <c r="WUQ16" s="508" t="s">
        <v>581</v>
      </c>
      <c r="WUR16" s="508" t="s">
        <v>581</v>
      </c>
      <c r="WUS16" s="508" t="s">
        <v>581</v>
      </c>
      <c r="WUT16" s="508" t="s">
        <v>581</v>
      </c>
      <c r="WUU16" s="508" t="s">
        <v>581</v>
      </c>
      <c r="WUV16" s="508" t="s">
        <v>581</v>
      </c>
      <c r="WUW16" s="508" t="s">
        <v>581</v>
      </c>
      <c r="WUX16" s="508" t="s">
        <v>581</v>
      </c>
      <c r="WUY16" s="508" t="s">
        <v>581</v>
      </c>
      <c r="WUZ16" s="508" t="s">
        <v>581</v>
      </c>
      <c r="WVA16" s="508" t="s">
        <v>581</v>
      </c>
      <c r="WVB16" s="508" t="s">
        <v>581</v>
      </c>
      <c r="WVC16" s="508" t="s">
        <v>581</v>
      </c>
      <c r="WVD16" s="508" t="s">
        <v>581</v>
      </c>
      <c r="WVE16" s="508" t="s">
        <v>581</v>
      </c>
      <c r="WVF16" s="508" t="s">
        <v>581</v>
      </c>
      <c r="WVG16" s="508" t="s">
        <v>581</v>
      </c>
      <c r="WVH16" s="508" t="s">
        <v>581</v>
      </c>
      <c r="WVI16" s="508" t="s">
        <v>581</v>
      </c>
      <c r="WVJ16" s="508" t="s">
        <v>581</v>
      </c>
      <c r="WVK16" s="508" t="s">
        <v>581</v>
      </c>
      <c r="WVL16" s="508" t="s">
        <v>581</v>
      </c>
      <c r="WVM16" s="508" t="s">
        <v>581</v>
      </c>
      <c r="WVN16" s="508" t="s">
        <v>581</v>
      </c>
      <c r="WVO16" s="508" t="s">
        <v>581</v>
      </c>
      <c r="WVP16" s="508" t="s">
        <v>581</v>
      </c>
      <c r="WVQ16" s="508" t="s">
        <v>581</v>
      </c>
      <c r="WVR16" s="508" t="s">
        <v>581</v>
      </c>
      <c r="WVS16" s="508" t="s">
        <v>581</v>
      </c>
      <c r="WVT16" s="508" t="s">
        <v>581</v>
      </c>
      <c r="WVU16" s="508" t="s">
        <v>581</v>
      </c>
      <c r="WVV16" s="508" t="s">
        <v>581</v>
      </c>
      <c r="WVW16" s="508" t="s">
        <v>581</v>
      </c>
      <c r="WVX16" s="508" t="s">
        <v>581</v>
      </c>
      <c r="WVY16" s="508" t="s">
        <v>581</v>
      </c>
      <c r="WVZ16" s="508" t="s">
        <v>581</v>
      </c>
      <c r="WWA16" s="508" t="s">
        <v>581</v>
      </c>
      <c r="WWB16" s="508" t="s">
        <v>581</v>
      </c>
      <c r="WWC16" s="508" t="s">
        <v>581</v>
      </c>
      <c r="WWD16" s="508" t="s">
        <v>581</v>
      </c>
      <c r="WWE16" s="508" t="s">
        <v>581</v>
      </c>
      <c r="WWF16" s="508" t="s">
        <v>581</v>
      </c>
      <c r="WWG16" s="508" t="s">
        <v>581</v>
      </c>
      <c r="WWH16" s="508" t="s">
        <v>581</v>
      </c>
      <c r="WWI16" s="508" t="s">
        <v>581</v>
      </c>
      <c r="WWJ16" s="508" t="s">
        <v>581</v>
      </c>
      <c r="WWK16" s="508" t="s">
        <v>581</v>
      </c>
      <c r="WWL16" s="508" t="s">
        <v>581</v>
      </c>
      <c r="WWM16" s="508" t="s">
        <v>581</v>
      </c>
      <c r="WWN16" s="508" t="s">
        <v>581</v>
      </c>
      <c r="WWO16" s="508" t="s">
        <v>581</v>
      </c>
      <c r="WWP16" s="508" t="s">
        <v>581</v>
      </c>
      <c r="WWQ16" s="508" t="s">
        <v>581</v>
      </c>
      <c r="WWR16" s="508" t="s">
        <v>581</v>
      </c>
      <c r="WWS16" s="508" t="s">
        <v>581</v>
      </c>
      <c r="WWT16" s="508" t="s">
        <v>581</v>
      </c>
      <c r="WWU16" s="508" t="s">
        <v>581</v>
      </c>
      <c r="WWV16" s="508" t="s">
        <v>581</v>
      </c>
      <c r="WWW16" s="508" t="s">
        <v>581</v>
      </c>
      <c r="WWX16" s="508" t="s">
        <v>581</v>
      </c>
      <c r="WWY16" s="508" t="s">
        <v>581</v>
      </c>
      <c r="WWZ16" s="508" t="s">
        <v>581</v>
      </c>
      <c r="WXA16" s="508" t="s">
        <v>581</v>
      </c>
      <c r="WXB16" s="508" t="s">
        <v>581</v>
      </c>
      <c r="WXC16" s="508" t="s">
        <v>581</v>
      </c>
      <c r="WXD16" s="508" t="s">
        <v>581</v>
      </c>
      <c r="WXE16" s="508" t="s">
        <v>581</v>
      </c>
      <c r="WXF16" s="508" t="s">
        <v>581</v>
      </c>
      <c r="WXG16" s="508" t="s">
        <v>581</v>
      </c>
      <c r="WXH16" s="508" t="s">
        <v>581</v>
      </c>
      <c r="WXI16" s="508" t="s">
        <v>581</v>
      </c>
      <c r="WXJ16" s="508" t="s">
        <v>581</v>
      </c>
      <c r="WXK16" s="508" t="s">
        <v>581</v>
      </c>
      <c r="WXL16" s="508" t="s">
        <v>581</v>
      </c>
      <c r="WXM16" s="508" t="s">
        <v>581</v>
      </c>
      <c r="WXN16" s="508" t="s">
        <v>581</v>
      </c>
      <c r="WXO16" s="508" t="s">
        <v>581</v>
      </c>
      <c r="WXP16" s="508" t="s">
        <v>581</v>
      </c>
      <c r="WXQ16" s="508" t="s">
        <v>581</v>
      </c>
      <c r="WXR16" s="508" t="s">
        <v>581</v>
      </c>
      <c r="WXS16" s="508" t="s">
        <v>581</v>
      </c>
      <c r="WXT16" s="508" t="s">
        <v>581</v>
      </c>
      <c r="WXU16" s="508" t="s">
        <v>581</v>
      </c>
      <c r="WXV16" s="508" t="s">
        <v>581</v>
      </c>
      <c r="WXW16" s="508" t="s">
        <v>581</v>
      </c>
      <c r="WXX16" s="508" t="s">
        <v>581</v>
      </c>
      <c r="WXY16" s="508" t="s">
        <v>581</v>
      </c>
      <c r="WXZ16" s="508" t="s">
        <v>581</v>
      </c>
      <c r="WYA16" s="508" t="s">
        <v>581</v>
      </c>
      <c r="WYB16" s="508" t="s">
        <v>581</v>
      </c>
      <c r="WYC16" s="508" t="s">
        <v>581</v>
      </c>
      <c r="WYD16" s="508" t="s">
        <v>581</v>
      </c>
      <c r="WYE16" s="508" t="s">
        <v>581</v>
      </c>
      <c r="WYF16" s="508" t="s">
        <v>581</v>
      </c>
      <c r="WYG16" s="508" t="s">
        <v>581</v>
      </c>
      <c r="WYH16" s="508" t="s">
        <v>581</v>
      </c>
      <c r="WYI16" s="508" t="s">
        <v>581</v>
      </c>
      <c r="WYJ16" s="508" t="s">
        <v>581</v>
      </c>
      <c r="WYK16" s="508" t="s">
        <v>581</v>
      </c>
      <c r="WYL16" s="508" t="s">
        <v>581</v>
      </c>
      <c r="WYM16" s="508" t="s">
        <v>581</v>
      </c>
      <c r="WYN16" s="508" t="s">
        <v>581</v>
      </c>
      <c r="WYO16" s="508" t="s">
        <v>581</v>
      </c>
      <c r="WYP16" s="508" t="s">
        <v>581</v>
      </c>
      <c r="WYQ16" s="508" t="s">
        <v>581</v>
      </c>
      <c r="WYR16" s="508" t="s">
        <v>581</v>
      </c>
      <c r="WYS16" s="508" t="s">
        <v>581</v>
      </c>
      <c r="WYT16" s="508" t="s">
        <v>581</v>
      </c>
      <c r="WYU16" s="508" t="s">
        <v>581</v>
      </c>
      <c r="WYV16" s="508" t="s">
        <v>581</v>
      </c>
      <c r="WYW16" s="508" t="s">
        <v>581</v>
      </c>
      <c r="WYX16" s="508" t="s">
        <v>581</v>
      </c>
      <c r="WYY16" s="508" t="s">
        <v>581</v>
      </c>
      <c r="WYZ16" s="508" t="s">
        <v>581</v>
      </c>
      <c r="WZA16" s="508" t="s">
        <v>581</v>
      </c>
      <c r="WZB16" s="508" t="s">
        <v>581</v>
      </c>
      <c r="WZC16" s="508" t="s">
        <v>581</v>
      </c>
      <c r="WZD16" s="508" t="s">
        <v>581</v>
      </c>
      <c r="WZE16" s="508" t="s">
        <v>581</v>
      </c>
      <c r="WZF16" s="508" t="s">
        <v>581</v>
      </c>
      <c r="WZG16" s="508" t="s">
        <v>581</v>
      </c>
      <c r="WZH16" s="508" t="s">
        <v>581</v>
      </c>
      <c r="WZI16" s="508" t="s">
        <v>581</v>
      </c>
      <c r="WZJ16" s="508" t="s">
        <v>581</v>
      </c>
      <c r="WZK16" s="508" t="s">
        <v>581</v>
      </c>
      <c r="WZL16" s="508" t="s">
        <v>581</v>
      </c>
      <c r="WZM16" s="508" t="s">
        <v>581</v>
      </c>
      <c r="WZN16" s="508" t="s">
        <v>581</v>
      </c>
      <c r="WZO16" s="508" t="s">
        <v>581</v>
      </c>
      <c r="WZP16" s="508" t="s">
        <v>581</v>
      </c>
      <c r="WZQ16" s="508" t="s">
        <v>581</v>
      </c>
      <c r="WZR16" s="508" t="s">
        <v>581</v>
      </c>
      <c r="WZS16" s="508" t="s">
        <v>581</v>
      </c>
      <c r="WZT16" s="508" t="s">
        <v>581</v>
      </c>
      <c r="WZU16" s="508" t="s">
        <v>581</v>
      </c>
      <c r="WZV16" s="508" t="s">
        <v>581</v>
      </c>
      <c r="WZW16" s="508" t="s">
        <v>581</v>
      </c>
      <c r="WZX16" s="508" t="s">
        <v>581</v>
      </c>
      <c r="WZY16" s="508" t="s">
        <v>581</v>
      </c>
      <c r="WZZ16" s="508" t="s">
        <v>581</v>
      </c>
      <c r="XAA16" s="508" t="s">
        <v>581</v>
      </c>
      <c r="XAB16" s="508" t="s">
        <v>581</v>
      </c>
      <c r="XAC16" s="508" t="s">
        <v>581</v>
      </c>
      <c r="XAD16" s="508" t="s">
        <v>581</v>
      </c>
      <c r="XAE16" s="508" t="s">
        <v>581</v>
      </c>
      <c r="XAF16" s="508" t="s">
        <v>581</v>
      </c>
      <c r="XAG16" s="508" t="s">
        <v>581</v>
      </c>
      <c r="XAH16" s="508" t="s">
        <v>581</v>
      </c>
      <c r="XAI16" s="508" t="s">
        <v>581</v>
      </c>
      <c r="XAJ16" s="508" t="s">
        <v>581</v>
      </c>
      <c r="XAK16" s="508" t="s">
        <v>581</v>
      </c>
      <c r="XAL16" s="508" t="s">
        <v>581</v>
      </c>
      <c r="XAM16" s="508" t="s">
        <v>581</v>
      </c>
      <c r="XAN16" s="508" t="s">
        <v>581</v>
      </c>
      <c r="XAO16" s="508" t="s">
        <v>581</v>
      </c>
      <c r="XAP16" s="508" t="s">
        <v>581</v>
      </c>
      <c r="XAQ16" s="508" t="s">
        <v>581</v>
      </c>
      <c r="XAR16" s="508" t="s">
        <v>581</v>
      </c>
      <c r="XAS16" s="508" t="s">
        <v>581</v>
      </c>
      <c r="XAT16" s="508" t="s">
        <v>581</v>
      </c>
      <c r="XAU16" s="508" t="s">
        <v>581</v>
      </c>
      <c r="XAV16" s="508" t="s">
        <v>581</v>
      </c>
      <c r="XAW16" s="508" t="s">
        <v>581</v>
      </c>
      <c r="XAX16" s="508" t="s">
        <v>581</v>
      </c>
      <c r="XAY16" s="508" t="s">
        <v>581</v>
      </c>
      <c r="XAZ16" s="508" t="s">
        <v>581</v>
      </c>
      <c r="XBA16" s="508" t="s">
        <v>581</v>
      </c>
      <c r="XBB16" s="508" t="s">
        <v>581</v>
      </c>
      <c r="XBC16" s="508" t="s">
        <v>581</v>
      </c>
      <c r="XBD16" s="508" t="s">
        <v>581</v>
      </c>
      <c r="XBE16" s="508" t="s">
        <v>581</v>
      </c>
      <c r="XBF16" s="508" t="s">
        <v>581</v>
      </c>
      <c r="XBG16" s="508" t="s">
        <v>581</v>
      </c>
      <c r="XBH16" s="508" t="s">
        <v>581</v>
      </c>
      <c r="XBI16" s="508" t="s">
        <v>581</v>
      </c>
      <c r="XBJ16" s="508" t="s">
        <v>581</v>
      </c>
      <c r="XBK16" s="508" t="s">
        <v>581</v>
      </c>
      <c r="XBL16" s="508" t="s">
        <v>581</v>
      </c>
      <c r="XBM16" s="508" t="s">
        <v>581</v>
      </c>
      <c r="XBN16" s="508" t="s">
        <v>581</v>
      </c>
      <c r="XBO16" s="508" t="s">
        <v>581</v>
      </c>
      <c r="XBP16" s="508" t="s">
        <v>581</v>
      </c>
      <c r="XBQ16" s="508" t="s">
        <v>581</v>
      </c>
      <c r="XBR16" s="508" t="s">
        <v>581</v>
      </c>
      <c r="XBS16" s="508" t="s">
        <v>581</v>
      </c>
      <c r="XBT16" s="508" t="s">
        <v>581</v>
      </c>
      <c r="XBU16" s="508" t="s">
        <v>581</v>
      </c>
      <c r="XBV16" s="508" t="s">
        <v>581</v>
      </c>
      <c r="XBW16" s="508" t="s">
        <v>581</v>
      </c>
      <c r="XBX16" s="508" t="s">
        <v>581</v>
      </c>
      <c r="XBY16" s="508" t="s">
        <v>581</v>
      </c>
      <c r="XBZ16" s="508" t="s">
        <v>581</v>
      </c>
      <c r="XCA16" s="508" t="s">
        <v>581</v>
      </c>
      <c r="XCB16" s="508" t="s">
        <v>581</v>
      </c>
      <c r="XCC16" s="508" t="s">
        <v>581</v>
      </c>
      <c r="XCD16" s="508" t="s">
        <v>581</v>
      </c>
      <c r="XCE16" s="508" t="s">
        <v>581</v>
      </c>
      <c r="XCF16" s="508" t="s">
        <v>581</v>
      </c>
      <c r="XCG16" s="508" t="s">
        <v>581</v>
      </c>
      <c r="XCH16" s="508" t="s">
        <v>581</v>
      </c>
      <c r="XCI16" s="508" t="s">
        <v>581</v>
      </c>
      <c r="XCJ16" s="508" t="s">
        <v>581</v>
      </c>
      <c r="XCK16" s="508" t="s">
        <v>581</v>
      </c>
      <c r="XCL16" s="508" t="s">
        <v>581</v>
      </c>
      <c r="XCM16" s="508" t="s">
        <v>581</v>
      </c>
      <c r="XCN16" s="508" t="s">
        <v>581</v>
      </c>
      <c r="XCO16" s="508" t="s">
        <v>581</v>
      </c>
      <c r="XCP16" s="508" t="s">
        <v>581</v>
      </c>
      <c r="XCQ16" s="508" t="s">
        <v>581</v>
      </c>
      <c r="XCR16" s="508" t="s">
        <v>581</v>
      </c>
      <c r="XCS16" s="508" t="s">
        <v>581</v>
      </c>
      <c r="XCT16" s="508" t="s">
        <v>581</v>
      </c>
      <c r="XCU16" s="508" t="s">
        <v>581</v>
      </c>
      <c r="XCV16" s="508" t="s">
        <v>581</v>
      </c>
      <c r="XCW16" s="508" t="s">
        <v>581</v>
      </c>
      <c r="XCX16" s="508" t="s">
        <v>581</v>
      </c>
      <c r="XCY16" s="508" t="s">
        <v>581</v>
      </c>
      <c r="XCZ16" s="508" t="s">
        <v>581</v>
      </c>
      <c r="XDA16" s="508" t="s">
        <v>581</v>
      </c>
      <c r="XDB16" s="508" t="s">
        <v>581</v>
      </c>
      <c r="XDC16" s="508" t="s">
        <v>581</v>
      </c>
      <c r="XDD16" s="508" t="s">
        <v>581</v>
      </c>
      <c r="XDE16" s="508" t="s">
        <v>581</v>
      </c>
      <c r="XDF16" s="508" t="s">
        <v>581</v>
      </c>
      <c r="XDG16" s="508" t="s">
        <v>581</v>
      </c>
      <c r="XDH16" s="508" t="s">
        <v>581</v>
      </c>
      <c r="XDI16" s="508" t="s">
        <v>581</v>
      </c>
      <c r="XDJ16" s="508" t="s">
        <v>581</v>
      </c>
      <c r="XDK16" s="508" t="s">
        <v>581</v>
      </c>
      <c r="XDL16" s="508" t="s">
        <v>581</v>
      </c>
      <c r="XDM16" s="508" t="s">
        <v>581</v>
      </c>
      <c r="XDN16" s="508" t="s">
        <v>581</v>
      </c>
      <c r="XDO16" s="508" t="s">
        <v>581</v>
      </c>
      <c r="XDP16" s="508" t="s">
        <v>581</v>
      </c>
      <c r="XDQ16" s="508" t="s">
        <v>581</v>
      </c>
      <c r="XDR16" s="508" t="s">
        <v>581</v>
      </c>
      <c r="XDS16" s="508" t="s">
        <v>581</v>
      </c>
      <c r="XDT16" s="508" t="s">
        <v>581</v>
      </c>
      <c r="XDU16" s="508" t="s">
        <v>581</v>
      </c>
      <c r="XDV16" s="508" t="s">
        <v>581</v>
      </c>
      <c r="XDW16" s="508" t="s">
        <v>581</v>
      </c>
      <c r="XDX16" s="508" t="s">
        <v>581</v>
      </c>
      <c r="XDY16" s="508" t="s">
        <v>581</v>
      </c>
      <c r="XDZ16" s="508" t="s">
        <v>581</v>
      </c>
      <c r="XEA16" s="508" t="s">
        <v>581</v>
      </c>
      <c r="XEB16" s="508" t="s">
        <v>581</v>
      </c>
      <c r="XEC16" s="508" t="s">
        <v>581</v>
      </c>
      <c r="XED16" s="508" t="s">
        <v>581</v>
      </c>
      <c r="XEE16" s="508" t="s">
        <v>581</v>
      </c>
      <c r="XEF16" s="508" t="s">
        <v>581</v>
      </c>
      <c r="XEG16" s="508" t="s">
        <v>581</v>
      </c>
      <c r="XEH16" s="508" t="s">
        <v>581</v>
      </c>
      <c r="XEI16" s="508" t="s">
        <v>581</v>
      </c>
      <c r="XEJ16" s="508" t="s">
        <v>581</v>
      </c>
      <c r="XEK16" s="508" t="s">
        <v>581</v>
      </c>
      <c r="XEL16" s="508" t="s">
        <v>581</v>
      </c>
      <c r="XEM16" s="508" t="s">
        <v>581</v>
      </c>
      <c r="XEN16" s="508" t="s">
        <v>581</v>
      </c>
      <c r="XEO16" s="508" t="s">
        <v>581</v>
      </c>
      <c r="XEP16" s="508" t="s">
        <v>581</v>
      </c>
      <c r="XEQ16" s="508" t="s">
        <v>581</v>
      </c>
      <c r="XER16" s="508" t="s">
        <v>581</v>
      </c>
      <c r="XES16" s="508" t="s">
        <v>581</v>
      </c>
      <c r="XET16" s="508" t="s">
        <v>581</v>
      </c>
      <c r="XEU16" s="508" t="s">
        <v>581</v>
      </c>
      <c r="XEV16" s="508" t="s">
        <v>581</v>
      </c>
      <c r="XEW16" s="508" t="s">
        <v>581</v>
      </c>
      <c r="XEX16" s="508" t="s">
        <v>581</v>
      </c>
      <c r="XEY16" s="508" t="s">
        <v>581</v>
      </c>
      <c r="XEZ16" s="508" t="s">
        <v>581</v>
      </c>
      <c r="XFA16" s="508" t="s">
        <v>581</v>
      </c>
      <c r="XFB16" s="508" t="s">
        <v>581</v>
      </c>
      <c r="XFC16" s="508" t="s">
        <v>581</v>
      </c>
      <c r="XFD16" s="508" t="s">
        <v>581</v>
      </c>
    </row>
    <row r="17" spans="1:23" ht="20" customHeight="1">
      <c r="A17" s="572" t="s">
        <v>21</v>
      </c>
      <c r="B17" s="526" t="s">
        <v>21</v>
      </c>
      <c r="C17" s="521">
        <f>SUMIFS(BANQUE!$E:$E,
              BANQUE!$F:$F,$A17,
              BANQUE!$G:$G,C$1)
-
SUMIFS(BANQUE!$D:$D,
              BANQUE!$F:$F,$A17,
              BANQUE!$G:$G,C$1)</f>
        <v>483</v>
      </c>
      <c r="D17" s="521">
        <f>SUMIFS(BANQUE!$E:$E,
              BANQUE!$F:$F,$A17,
              BANQUE!$G:$G,D$1)
-
SUMIFS(BANQUE!$D:$D,
              BANQUE!$F:$F,$A17,
              BANQUE!$G:$G,D$1)</f>
        <v>0</v>
      </c>
      <c r="E17" s="521">
        <f>SUMIFS(BANQUE!$E:$E,
              BANQUE!$F:$F,$A17,
              BANQUE!$G:$G,E$1)
-
SUMIFS(BANQUE!$D:$D,
              BANQUE!$F:$F,$A17,
              BANQUE!$G:$G,E$1)</f>
        <v>0</v>
      </c>
      <c r="F17" s="521">
        <f>SUMIFS(BANQUE!$E:$E,
              BANQUE!$F:$F,$A17,
              BANQUE!$G:$G,F$1)
-
SUMIFS(BANQUE!$D:$D,
              BANQUE!$F:$F,$A17,
              BANQUE!$G:$G,F$1)</f>
        <v>0</v>
      </c>
      <c r="G17" s="521">
        <f>SUMIFS(BANQUE!$E:$E,
              BANQUE!$F:$F,$A17,
              BANQUE!$G:$G,G$1)
-
SUMIFS(BANQUE!$D:$D,
              BANQUE!$F:$F,$A17,
              BANQUE!$G:$G,G$1)</f>
        <v>0</v>
      </c>
      <c r="H17" s="521">
        <f>SUMIFS(BANQUE!$E:$E,
              BANQUE!$F:$F,$A17,
              BANQUE!$G:$G,H$1)
-
SUMIFS(BANQUE!$D:$D,
              BANQUE!$F:$F,$A17,
              BANQUE!$G:$G,H$1)</f>
        <v>490</v>
      </c>
      <c r="I17" s="521">
        <f>SUMIFS(BANQUE!$E:$E,
              BANQUE!$F:$F,$A17,
              BANQUE!$G:$G,I$1)
-
SUMIFS(BANQUE!$D:$D,
              BANQUE!$F:$F,$A17,
              BANQUE!$G:$G,I$1)</f>
        <v>0</v>
      </c>
      <c r="J17" s="521">
        <f>SUMIFS(BANQUE!$E:$E,
              BANQUE!$F:$F,$A17,
              BANQUE!$G:$G,J$1)
-
SUMIFS(BANQUE!$D:$D,
              BANQUE!$F:$F,$A17,
              BANQUE!$G:$G,J$1)</f>
        <v>0</v>
      </c>
      <c r="K17" s="521">
        <f>SUMIFS(BANQUE!$E:$E,
              BANQUE!$F:$F,$A17,
              BANQUE!$G:$G,K$1)
-
SUMIFS(BANQUE!$D:$D,
              BANQUE!$F:$F,$A17,
              BANQUE!$G:$G,K$1)</f>
        <v>0</v>
      </c>
      <c r="L17" s="521">
        <f>SUMIFS(BANQUE!$E:$E,
              BANQUE!$F:$F,$A17,
              BANQUE!$G:$G,L$1)
-
SUMIFS(BANQUE!$D:$D,
              BANQUE!$F:$F,$A17,
              BANQUE!$G:$G,L$1)</f>
        <v>0</v>
      </c>
      <c r="M17" s="521">
        <f>SUMIFS(BANQUE!$E:$E,
              BANQUE!$F:$F,$A17,
              BANQUE!$G:$G,M$1)
-
SUMIFS(BANQUE!$D:$D,
              BANQUE!$F:$F,$A17,
              BANQUE!$G:$G,M$1)</f>
        <v>0</v>
      </c>
      <c r="N17" s="583">
        <f>SUMIFS(BANQUE!$E:$E,
              BANQUE!$F:$F,$A17,
              BANQUE!$G:$G,N$1)
-
SUMIFS(BANQUE!$D:$D,
              BANQUE!$F:$F,$A17,
              BANQUE!$G:$G,N$1)</f>
        <v>0</v>
      </c>
      <c r="O17" s="583">
        <f>SUMIFS(BANQUE!$E:$E,
              BANQUE!$F:$F,$A17,
              BANQUE!$G:$G,O$1)
-
SUMIFS(BANQUE!$D:$D,
              BANQUE!$F:$F,$A17,
              BANQUE!$G:$G,O$1)</f>
        <v>0</v>
      </c>
      <c r="P17" s="583">
        <f>SUMIFS(BANQUE!$E:$E,
              BANQUE!$F:$F,$A17,
              BANQUE!$G:$G,P$1)
-
SUMIFS(BANQUE!$D:$D,
              BANQUE!$F:$F,$A17,
              BANQUE!$G:$G,P$1)</f>
        <v>0</v>
      </c>
      <c r="Q17" s="583">
        <f>SUMIFS(BANQUE!$E:$E,
              BANQUE!$F:$F,$A17,
              BANQUE!$G:$G,Q$1)
-
SUMIFS(BANQUE!$D:$D,
              BANQUE!$F:$F,$A17,
              BANQUE!$G:$G,Q$1)</f>
        <v>0</v>
      </c>
      <c r="R17" s="583">
        <f>SUMIFS(BANQUE!$E:$E,
              BANQUE!$F:$F,$A17,
              BANQUE!$G:$G,R$1)
-
SUMIFS(BANQUE!$D:$D,
              BANQUE!$F:$F,$A17,
              BANQUE!$G:$G,R$1)</f>
        <v>0</v>
      </c>
      <c r="S17" s="583">
        <f>SUMIFS(BANQUE!$E:$E,
              BANQUE!$F:$F,$A17,
              BANQUE!$G:$G,S$1)
-
SUMIFS(BANQUE!$D:$D,
              BANQUE!$F:$F,$A17,
              BANQUE!$G:$G,S$1)</f>
        <v>0</v>
      </c>
      <c r="T17" s="583">
        <f>SUMIFS(BANQUE!$E:$E,
              BANQUE!$F:$F,$A17,
              BANQUE!$G:$G,T$1)
-
SUMIFS(BANQUE!$D:$D,
              BANQUE!$F:$F,$A17,
              BANQUE!$G:$G,T$1)</f>
        <v>0</v>
      </c>
      <c r="U17" s="586">
        <f t="shared" si="0"/>
        <v>973</v>
      </c>
      <c r="V17" s="522">
        <f>'Prévisionnel 25-26'!E16</f>
        <v>1000</v>
      </c>
      <c r="W17" s="569">
        <f t="shared" si="2"/>
        <v>27</v>
      </c>
    </row>
    <row r="18" spans="1:23" ht="20" customHeight="1">
      <c r="A18" s="572" t="s">
        <v>31</v>
      </c>
      <c r="B18" s="526" t="s">
        <v>31</v>
      </c>
      <c r="C18" s="521">
        <f>SUMIFS(BANQUE!$E:$E,
              BANQUE!$F:$F,$A18,
              BANQUE!$G:$G,C$1)
-
SUMIFS(BANQUE!$D:$D,
              BANQUE!$F:$F,$A18,
              BANQUE!$G:$G,C$1)</f>
        <v>0</v>
      </c>
      <c r="D18" s="521">
        <f>SUMIFS(BANQUE!$E:$E,
              BANQUE!$F:$F,$A18,
              BANQUE!$G:$G,D$1)
-
SUMIFS(BANQUE!$D:$D,
              BANQUE!$F:$F,$A18,
              BANQUE!$G:$G,D$1)</f>
        <v>227</v>
      </c>
      <c r="E18" s="521">
        <f>SUMIFS(BANQUE!$E:$E,
              BANQUE!$F:$F,$A18,
              BANQUE!$G:$G,E$1)
-
SUMIFS(BANQUE!$D:$D,
              BANQUE!$F:$F,$A18,
              BANQUE!$G:$G,E$1)</f>
        <v>0</v>
      </c>
      <c r="F18" s="521">
        <f>SUMIFS(BANQUE!$E:$E,
              BANQUE!$F:$F,$A18,
              BANQUE!$G:$G,F$1)
-
SUMIFS(BANQUE!$D:$D,
              BANQUE!$F:$F,$A18,
              BANQUE!$G:$G,F$1)</f>
        <v>0</v>
      </c>
      <c r="G18" s="521">
        <f>SUMIFS(BANQUE!$E:$E,
              BANQUE!$F:$F,$A18,
              BANQUE!$G:$G,G$1)
-
SUMIFS(BANQUE!$D:$D,
              BANQUE!$F:$F,$A18,
              BANQUE!$G:$G,G$1)</f>
        <v>0</v>
      </c>
      <c r="H18" s="521">
        <f>SUMIFS(BANQUE!$E:$E,
              BANQUE!$F:$F,$A18,
              BANQUE!$G:$G,H$1)
-
SUMIFS(BANQUE!$D:$D,
              BANQUE!$F:$F,$A18,
              BANQUE!$G:$G,H$1)</f>
        <v>0</v>
      </c>
      <c r="I18" s="521">
        <f>SUMIFS(BANQUE!$E:$E,
              BANQUE!$F:$F,$A18,
              BANQUE!$G:$G,I$1)
-
SUMIFS(BANQUE!$D:$D,
              BANQUE!$F:$F,$A18,
              BANQUE!$G:$G,I$1)</f>
        <v>0</v>
      </c>
      <c r="J18" s="521">
        <f>SUMIFS(BANQUE!$E:$E,
              BANQUE!$F:$F,$A18,
              BANQUE!$G:$G,J$1)
-
SUMIFS(BANQUE!$D:$D,
              BANQUE!$F:$F,$A18,
              BANQUE!$G:$G,J$1)</f>
        <v>0</v>
      </c>
      <c r="K18" s="521">
        <f>SUMIFS(BANQUE!$E:$E,
              BANQUE!$F:$F,$A18,
              BANQUE!$G:$G,K$1)
-
SUMIFS(BANQUE!$D:$D,
              BANQUE!$F:$F,$A18,
              BANQUE!$G:$G,K$1)</f>
        <v>0</v>
      </c>
      <c r="L18" s="521">
        <f>SUMIFS(BANQUE!$E:$E,
              BANQUE!$F:$F,$A18,
              BANQUE!$G:$G,L$1)
-
SUMIFS(BANQUE!$D:$D,
              BANQUE!$F:$F,$A18,
              BANQUE!$G:$G,L$1)</f>
        <v>0</v>
      </c>
      <c r="M18" s="521">
        <f>SUMIFS(BANQUE!$E:$E,
              BANQUE!$F:$F,$A18,
              BANQUE!$G:$G,M$1)
-
SUMIFS(BANQUE!$D:$D,
              BANQUE!$F:$F,$A18,
              BANQUE!$G:$G,M$1)</f>
        <v>0</v>
      </c>
      <c r="N18" s="583">
        <f>SUMIFS(BANQUE!$E:$E,
              BANQUE!$F:$F,$A18,
              BANQUE!$G:$G,N$1)
-
SUMIFS(BANQUE!$D:$D,
              BANQUE!$F:$F,$A18,
              BANQUE!$G:$G,N$1)</f>
        <v>0</v>
      </c>
      <c r="O18" s="583">
        <f>SUMIFS(BANQUE!$E:$E,
              BANQUE!$F:$F,$A18,
              BANQUE!$G:$G,O$1)
-
SUMIFS(BANQUE!$D:$D,
              BANQUE!$F:$F,$A18,
              BANQUE!$G:$G,O$1)</f>
        <v>0</v>
      </c>
      <c r="P18" s="583">
        <f>SUMIFS(BANQUE!$E:$E,
              BANQUE!$F:$F,$A18,
              BANQUE!$G:$G,P$1)
-
SUMIFS(BANQUE!$D:$D,
              BANQUE!$F:$F,$A18,
              BANQUE!$G:$G,P$1)</f>
        <v>0</v>
      </c>
      <c r="Q18" s="583">
        <f>SUMIFS(BANQUE!$E:$E,
              BANQUE!$F:$F,$A18,
              BANQUE!$G:$G,Q$1)
-
SUMIFS(BANQUE!$D:$D,
              BANQUE!$F:$F,$A18,
              BANQUE!$G:$G,Q$1)</f>
        <v>0</v>
      </c>
      <c r="R18" s="583">
        <f>SUMIFS(BANQUE!$E:$E,
              BANQUE!$F:$F,$A18,
              BANQUE!$G:$G,R$1)
-
SUMIFS(BANQUE!$D:$D,
              BANQUE!$F:$F,$A18,
              BANQUE!$G:$G,R$1)</f>
        <v>0</v>
      </c>
      <c r="S18" s="583">
        <f>SUMIFS(BANQUE!$E:$E,
              BANQUE!$F:$F,$A18,
              BANQUE!$G:$G,S$1)
-
SUMIFS(BANQUE!$D:$D,
              BANQUE!$F:$F,$A18,
              BANQUE!$G:$G,S$1)</f>
        <v>0</v>
      </c>
      <c r="T18" s="583">
        <f>SUMIFS(BANQUE!$E:$E,
              BANQUE!$F:$F,$A18,
              BANQUE!$G:$G,T$1)
-
SUMIFS(BANQUE!$D:$D,
              BANQUE!$F:$F,$A18,
              BANQUE!$G:$G,T$1)</f>
        <v>0</v>
      </c>
      <c r="U18" s="586">
        <f t="shared" si="0"/>
        <v>227</v>
      </c>
      <c r="V18" s="522">
        <f>'Prévisionnel 25-26'!E17</f>
        <v>2500</v>
      </c>
      <c r="W18" s="569">
        <f>V18-U18</f>
        <v>2273</v>
      </c>
    </row>
    <row r="19" spans="1:23" ht="20" customHeight="1">
      <c r="A19" s="572" t="s">
        <v>146</v>
      </c>
      <c r="B19" s="526" t="s">
        <v>28</v>
      </c>
      <c r="C19" s="521">
        <f>SUMIFS(BANQUE!$E:$E,
              BANQUE!$F:$F,$A19,
              BANQUE!$G:$G,C$1)
-
SUMIFS(BANQUE!$D:$D,
              BANQUE!$F:$F,$A19,
              BANQUE!$G:$G,C$1)</f>
        <v>196.5</v>
      </c>
      <c r="D19" s="521">
        <f>SUMIFS(BANQUE!$E:$E,
              BANQUE!$F:$F,$A19,
              BANQUE!$G:$G,D$1)
-
SUMIFS(BANQUE!$D:$D,
              BANQUE!$F:$F,$A19,
              BANQUE!$G:$G,D$1)</f>
        <v>405</v>
      </c>
      <c r="E19" s="521">
        <f>SUMIFS(BANQUE!$E:$E,
              BANQUE!$F:$F,$A19,
              BANQUE!$G:$G,E$1)
-
SUMIFS(BANQUE!$D:$D,
              BANQUE!$F:$F,$A19,
              BANQUE!$G:$G,E$1)</f>
        <v>405</v>
      </c>
      <c r="F19" s="521">
        <f>SUMIFS(BANQUE!$E:$E,
              BANQUE!$F:$F,$A19,
              BANQUE!$G:$G,F$1)
-
SUMIFS(BANQUE!$D:$D,
              BANQUE!$F:$F,$A19,
              BANQUE!$G:$G,F$1)</f>
        <v>190</v>
      </c>
      <c r="G19" s="521">
        <f>SUMIFS(BANQUE!$E:$E,
              BANQUE!$F:$F,$A19,
              BANQUE!$G:$G,G$1)
-
SUMIFS(BANQUE!$D:$D,
              BANQUE!$F:$F,$A19,
              BANQUE!$G:$G,G$1)</f>
        <v>190</v>
      </c>
      <c r="H19" s="521">
        <f>SUMIFS(BANQUE!$E:$E,
              BANQUE!$F:$F,$A19,
              BANQUE!$G:$G,H$1)
-
SUMIFS(BANQUE!$D:$D,
              BANQUE!$F:$F,$A19,
              BANQUE!$G:$G,H$1)</f>
        <v>190</v>
      </c>
      <c r="I19" s="521">
        <f>SUMIFS(BANQUE!$E:$E,
              BANQUE!$F:$F,$A19,
              BANQUE!$G:$G,I$1)
-
SUMIFS(BANQUE!$D:$D,
              BANQUE!$F:$F,$A19,
              BANQUE!$G:$G,I$1)</f>
        <v>190</v>
      </c>
      <c r="J19" s="521">
        <f>SUMIFS(BANQUE!$E:$E,
              BANQUE!$F:$F,$A19,
              BANQUE!$G:$G,J$1)
-
SUMIFS(BANQUE!$D:$D,
              BANQUE!$F:$F,$A19,
              BANQUE!$G:$G,J$1)</f>
        <v>0</v>
      </c>
      <c r="K19" s="521">
        <f>SUMIFS(BANQUE!$E:$E,
              BANQUE!$F:$F,$A19,
              BANQUE!$G:$G,K$1)
-
SUMIFS(BANQUE!$D:$D,
              BANQUE!$F:$F,$A19,
              BANQUE!$G:$G,K$1)</f>
        <v>0</v>
      </c>
      <c r="L19" s="521">
        <f>SUMIFS(BANQUE!$E:$E,
              BANQUE!$F:$F,$A19,
              BANQUE!$G:$G,L$1)
-
SUMIFS(BANQUE!$D:$D,
              BANQUE!$F:$F,$A19,
              BANQUE!$G:$G,L$1)</f>
        <v>0</v>
      </c>
      <c r="M19" s="521">
        <f>SUMIFS(BANQUE!$E:$E,
              BANQUE!$F:$F,$A19,
              BANQUE!$G:$G,M$1)
-
SUMIFS(BANQUE!$D:$D,
              BANQUE!$F:$F,$A19,
              BANQUE!$G:$G,M$1)</f>
        <v>0</v>
      </c>
      <c r="N19" s="583">
        <f>SUMIFS(BANQUE!$E:$E,
              BANQUE!$F:$F,$A19,
              BANQUE!$G:$G,N$1)
-
SUMIFS(BANQUE!$D:$D,
              BANQUE!$F:$F,$A19,
              BANQUE!$G:$G,N$1)</f>
        <v>0</v>
      </c>
      <c r="O19" s="583">
        <f>SUMIFS(BANQUE!$E:$E,
              BANQUE!$F:$F,$A19,
              BANQUE!$G:$G,O$1)
-
SUMIFS(BANQUE!$D:$D,
              BANQUE!$F:$F,$A19,
              BANQUE!$G:$G,O$1)</f>
        <v>0</v>
      </c>
      <c r="P19" s="583">
        <f>SUMIFS(BANQUE!$E:$E,
              BANQUE!$F:$F,$A19,
              BANQUE!$G:$G,P$1)
-
SUMIFS(BANQUE!$D:$D,
              BANQUE!$F:$F,$A19,
              BANQUE!$G:$G,P$1)</f>
        <v>0</v>
      </c>
      <c r="Q19" s="583">
        <f>SUMIFS(BANQUE!$E:$E,
              BANQUE!$F:$F,$A19,
              BANQUE!$G:$G,Q$1)
-
SUMIFS(BANQUE!$D:$D,
              BANQUE!$F:$F,$A19,
              BANQUE!$G:$G,Q$1)</f>
        <v>0</v>
      </c>
      <c r="R19" s="583">
        <f>SUMIFS(BANQUE!$E:$E,
              BANQUE!$F:$F,$A19,
              BANQUE!$G:$G,R$1)
-
SUMIFS(BANQUE!$D:$D,
              BANQUE!$F:$F,$A19,
              BANQUE!$G:$G,R$1)</f>
        <v>0</v>
      </c>
      <c r="S19" s="583">
        <f>SUMIFS(BANQUE!$E:$E,
              BANQUE!$F:$F,$A19,
              BANQUE!$G:$G,S$1)
-
SUMIFS(BANQUE!$D:$D,
              BANQUE!$F:$F,$A19,
              BANQUE!$G:$G,S$1)</f>
        <v>0</v>
      </c>
      <c r="T19" s="583">
        <f>SUMIFS(BANQUE!$E:$E,
              BANQUE!$F:$F,$A19,
              BANQUE!$G:$G,T$1)
-
SUMIFS(BANQUE!$D:$D,
              BANQUE!$F:$F,$A19,
              BANQUE!$G:$G,T$1)</f>
        <v>0</v>
      </c>
      <c r="U19" s="586">
        <f t="shared" si="0"/>
        <v>1766.5</v>
      </c>
      <c r="V19" s="522">
        <f>'Prévisionnel 25-26'!E18</f>
        <v>2280</v>
      </c>
      <c r="W19" s="569">
        <f>V19-U19</f>
        <v>513.5</v>
      </c>
    </row>
    <row r="20" spans="1:23">
      <c r="A20" s="572" t="s">
        <v>563</v>
      </c>
      <c r="B20" s="526" t="s">
        <v>571</v>
      </c>
      <c r="C20" s="521">
        <f>SUMIFS(BANQUE!$E:$E,
              BANQUE!$F:$F,$A20,
              BANQUE!$G:$G,C$1)
-
SUMIFS(BANQUE!$D:$D,
              BANQUE!$F:$F,$A20,
              BANQUE!$G:$G,C$1)</f>
        <v>0</v>
      </c>
      <c r="D20" s="521">
        <f>SUMIFS(BANQUE!$E:$E,
              BANQUE!$F:$F,$A20,
              BANQUE!$G:$G,D$1)
-
SUMIFS(BANQUE!$D:$D,
              BANQUE!$F:$F,$A20,
              BANQUE!$G:$G,D$1)</f>
        <v>0</v>
      </c>
      <c r="E20" s="521">
        <f>SUMIFS(BANQUE!$E:$E,
              BANQUE!$F:$F,$A20,
              BANQUE!$G:$G,E$1)
-
SUMIFS(BANQUE!$D:$D,
              BANQUE!$F:$F,$A20,
              BANQUE!$G:$G,E$1)</f>
        <v>0</v>
      </c>
      <c r="F20" s="521">
        <f>SUMIFS(BANQUE!$E:$E,
              BANQUE!$F:$F,$A20,
              BANQUE!$G:$G,F$1)
-
SUMIFS(BANQUE!$D:$D,
              BANQUE!$F:$F,$A20,
              BANQUE!$G:$G,F$1)</f>
        <v>0</v>
      </c>
      <c r="G20" s="521">
        <f>SUMIFS(BANQUE!$E:$E,
              BANQUE!$F:$F,$A20,
              BANQUE!$G:$G,G$1)
-
SUMIFS(BANQUE!$D:$D,
              BANQUE!$F:$F,$A20,
              BANQUE!$G:$G,G$1)</f>
        <v>0</v>
      </c>
      <c r="H20" s="521">
        <f>SUMIFS(BANQUE!$E:$E,
              BANQUE!$F:$F,$A20,
              BANQUE!$G:$G,H$1)
-
SUMIFS(BANQUE!$D:$D,
              BANQUE!$F:$F,$A20,
              BANQUE!$G:$G,H$1)</f>
        <v>103.91</v>
      </c>
      <c r="I20" s="521">
        <f>SUMIFS(BANQUE!$E:$E,
              BANQUE!$F:$F,$A20,
              BANQUE!$G:$G,I$1)
-
SUMIFS(BANQUE!$D:$D,
              BANQUE!$F:$F,$A20,
              BANQUE!$G:$G,I$1)</f>
        <v>0</v>
      </c>
      <c r="J20" s="521">
        <f>SUMIFS(BANQUE!$E:$E,
              BANQUE!$F:$F,$A20,
              BANQUE!$G:$G,J$1)
-
SUMIFS(BANQUE!$D:$D,
              BANQUE!$F:$F,$A20,
              BANQUE!$G:$G,J$1)</f>
        <v>0</v>
      </c>
      <c r="K20" s="521">
        <f>SUMIFS(BANQUE!$E:$E,
              BANQUE!$F:$F,$A20,
              BANQUE!$G:$G,K$1)
-
SUMIFS(BANQUE!$D:$D,
              BANQUE!$F:$F,$A20,
              BANQUE!$G:$G,K$1)</f>
        <v>0</v>
      </c>
      <c r="L20" s="521">
        <f>SUMIFS(BANQUE!$E:$E,
              BANQUE!$F:$F,$A20,
              BANQUE!$G:$G,L$1)
-
SUMIFS(BANQUE!$D:$D,
              BANQUE!$F:$F,$A20,
              BANQUE!$G:$G,L$1)</f>
        <v>0</v>
      </c>
      <c r="M20" s="521">
        <f>SUMIFS(BANQUE!$E:$E,
              BANQUE!$F:$F,$A20,
              BANQUE!$G:$G,M$1)
-
SUMIFS(BANQUE!$D:$D,
              BANQUE!$F:$F,$A20,
              BANQUE!$G:$G,M$1)</f>
        <v>0</v>
      </c>
      <c r="N20" s="583">
        <f>SUMIFS(BANQUE!$E:$E,
              BANQUE!$F:$F,$A20,
              BANQUE!$G:$G,N$1)
-
SUMIFS(BANQUE!$D:$D,
              BANQUE!$F:$F,$A20,
              BANQUE!$G:$G,N$1)</f>
        <v>0</v>
      </c>
      <c r="O20" s="583">
        <f>SUMIFS(BANQUE!$E:$E,
              BANQUE!$F:$F,$A20,
              BANQUE!$G:$G,O$1)
-
SUMIFS(BANQUE!$D:$D,
              BANQUE!$F:$F,$A20,
              BANQUE!$G:$G,O$1)</f>
        <v>0</v>
      </c>
      <c r="P20" s="583">
        <f>SUMIFS(BANQUE!$E:$E,
              BANQUE!$F:$F,$A20,
              BANQUE!$G:$G,P$1)
-
SUMIFS(BANQUE!$D:$D,
              BANQUE!$F:$F,$A20,
              BANQUE!$G:$G,P$1)</f>
        <v>0</v>
      </c>
      <c r="Q20" s="583">
        <f>SUMIFS(BANQUE!$E:$E,
              BANQUE!$F:$F,$A20,
              BANQUE!$G:$G,Q$1)
-
SUMIFS(BANQUE!$D:$D,
              BANQUE!$F:$F,$A20,
              BANQUE!$G:$G,Q$1)</f>
        <v>0</v>
      </c>
      <c r="R20" s="583">
        <f>SUMIFS(BANQUE!$E:$E,
              BANQUE!$F:$F,$A20,
              BANQUE!$G:$G,R$1)
-
SUMIFS(BANQUE!$D:$D,
              BANQUE!$F:$F,$A20,
              BANQUE!$G:$G,R$1)</f>
        <v>0</v>
      </c>
      <c r="S20" s="583">
        <f>SUMIFS(BANQUE!$E:$E,
              BANQUE!$F:$F,$A20,
              BANQUE!$G:$G,S$1)
-
SUMIFS(BANQUE!$D:$D,
              BANQUE!$F:$F,$A20,
              BANQUE!$G:$G,S$1)</f>
        <v>0</v>
      </c>
      <c r="T20" s="583">
        <f>SUMIFS(BANQUE!$E:$E,
              BANQUE!$F:$F,$A20,
              BANQUE!$G:$G,T$1)
-
SUMIFS(BANQUE!$D:$D,
              BANQUE!$F:$F,$A20,
              BANQUE!$G:$G,T$1)</f>
        <v>0</v>
      </c>
      <c r="U20" s="586">
        <f t="shared" si="0"/>
        <v>103.91</v>
      </c>
      <c r="V20" s="522">
        <f>'Prévisionnel 25-26'!E19</f>
        <v>120</v>
      </c>
      <c r="W20" s="569">
        <f t="shared" ref="W20:W21" si="5">V20-U20</f>
        <v>16.090000000000003</v>
      </c>
    </row>
    <row r="21" spans="1:23">
      <c r="A21" s="572" t="s">
        <v>1</v>
      </c>
      <c r="B21" s="526" t="s">
        <v>574</v>
      </c>
      <c r="C21" s="521">
        <f>SUMIFS(BANQUE!$E:$E,
              BANQUE!$F:$F,$A21,
              BANQUE!$G:$G,C$1)
-
SUMIFS(BANQUE!$D:$D,
              BANQUE!$F:$F,$A21,
              BANQUE!$G:$G,C$1)</f>
        <v>1363</v>
      </c>
      <c r="D21" s="521">
        <f>SUMIFS(BANQUE!$E:$E,
              BANQUE!$F:$F,$A21,
              BANQUE!$G:$G,D$1)
-
SUMIFS(BANQUE!$D:$D,
              BANQUE!$F:$F,$A21,
              BANQUE!$G:$G,D$1)</f>
        <v>1090</v>
      </c>
      <c r="E21" s="521">
        <f>SUMIFS(BANQUE!$E:$E,
              BANQUE!$F:$F,$A21,
              BANQUE!$G:$G,E$1)
-
SUMIFS(BANQUE!$D:$D,
              BANQUE!$F:$F,$A21,
              BANQUE!$G:$G,E$1)</f>
        <v>0</v>
      </c>
      <c r="F21" s="521">
        <f>SUMIFS(BANQUE!$E:$E,
              BANQUE!$F:$F,$A21,
              BANQUE!$G:$G,F$1)
-
SUMIFS(BANQUE!$D:$D,
              BANQUE!$F:$F,$A21,
              BANQUE!$G:$G,F$1)</f>
        <v>0</v>
      </c>
      <c r="G21" s="521">
        <f>SUMIFS(BANQUE!$E:$E,
              BANQUE!$F:$F,$A21,
              BANQUE!$G:$G,G$1)
-
SUMIFS(BANQUE!$D:$D,
              BANQUE!$F:$F,$A21,
              BANQUE!$G:$G,G$1)</f>
        <v>0</v>
      </c>
      <c r="H21" s="521">
        <f>SUMIFS(BANQUE!$E:$E,
              BANQUE!$F:$F,$A21,
              BANQUE!$G:$G,H$1)
-
SUMIFS(BANQUE!$D:$D,
              BANQUE!$F:$F,$A21,
              BANQUE!$G:$G,H$1)</f>
        <v>0</v>
      </c>
      <c r="I21" s="521">
        <f>SUMIFS(BANQUE!$E:$E,
              BANQUE!$F:$F,$A21,
              BANQUE!$G:$G,I$1)
-
SUMIFS(BANQUE!$D:$D,
              BANQUE!$F:$F,$A21,
              BANQUE!$G:$G,I$1)</f>
        <v>1255</v>
      </c>
      <c r="J21" s="521">
        <f>SUMIFS(BANQUE!$E:$E,
              BANQUE!$F:$F,$A21,
              BANQUE!$G:$G,J$1)
-
SUMIFS(BANQUE!$D:$D,
              BANQUE!$F:$F,$A21,
              BANQUE!$G:$G,J$1)</f>
        <v>0</v>
      </c>
      <c r="K21" s="521">
        <f>SUMIFS(BANQUE!$E:$E,
              BANQUE!$F:$F,$A21,
              BANQUE!$G:$G,K$1)
-
SUMIFS(BANQUE!$D:$D,
              BANQUE!$F:$F,$A21,
              BANQUE!$G:$G,K$1)</f>
        <v>0</v>
      </c>
      <c r="L21" s="521">
        <f>SUMIFS(BANQUE!$E:$E,
              BANQUE!$F:$F,$A21,
              BANQUE!$G:$G,L$1)
-
SUMIFS(BANQUE!$D:$D,
              BANQUE!$F:$F,$A21,
              BANQUE!$G:$G,L$1)</f>
        <v>0</v>
      </c>
      <c r="M21" s="521">
        <f>SUMIFS(BANQUE!$E:$E,
              BANQUE!$F:$F,$A21,
              BANQUE!$G:$G,M$1)
-
SUMIFS(BANQUE!$D:$D,
              BANQUE!$F:$F,$A21,
              BANQUE!$G:$G,M$1)</f>
        <v>0</v>
      </c>
      <c r="N21" s="583">
        <f>SUMIFS(BANQUE!$E:$E,
              BANQUE!$F:$F,$A21,
              BANQUE!$G:$G,N$1)
-
SUMIFS(BANQUE!$D:$D,
              BANQUE!$F:$F,$A21,
              BANQUE!$G:$G,N$1)</f>
        <v>0</v>
      </c>
      <c r="O21" s="583">
        <f>SUMIFS(BANQUE!$E:$E,
              BANQUE!$F:$F,$A21,
              BANQUE!$G:$G,O$1)
-
SUMIFS(BANQUE!$D:$D,
              BANQUE!$F:$F,$A21,
              BANQUE!$G:$G,O$1)</f>
        <v>0</v>
      </c>
      <c r="P21" s="583">
        <f>SUMIFS(BANQUE!$E:$E,
              BANQUE!$F:$F,$A21,
              BANQUE!$G:$G,P$1)
-
SUMIFS(BANQUE!$D:$D,
              BANQUE!$F:$F,$A21,
              BANQUE!$G:$G,P$1)</f>
        <v>0</v>
      </c>
      <c r="Q21" s="583">
        <f>SUMIFS(BANQUE!$E:$E,
              BANQUE!$F:$F,$A21,
              BANQUE!$G:$G,Q$1)
-
SUMIFS(BANQUE!$D:$D,
              BANQUE!$F:$F,$A21,
              BANQUE!$G:$G,Q$1)</f>
        <v>0</v>
      </c>
      <c r="R21" s="583">
        <f>SUMIFS(BANQUE!$E:$E,
              BANQUE!$F:$F,$A21,
              BANQUE!$G:$G,R$1)
-
SUMIFS(BANQUE!$D:$D,
              BANQUE!$F:$F,$A21,
              BANQUE!$G:$G,R$1)</f>
        <v>0</v>
      </c>
      <c r="S21" s="583">
        <f>SUMIFS(BANQUE!$E:$E,
              BANQUE!$F:$F,$A21,
              BANQUE!$G:$G,S$1)
-
SUMIFS(BANQUE!$D:$D,
              BANQUE!$F:$F,$A21,
              BANQUE!$G:$G,S$1)</f>
        <v>0</v>
      </c>
      <c r="T21" s="583">
        <f>SUMIFS(BANQUE!$E:$E,
              BANQUE!$F:$F,$A21,
              BANQUE!$G:$G,T$1)
-
SUMIFS(BANQUE!$D:$D,
              BANQUE!$F:$F,$A21,
              BANQUE!$G:$G,T$1)</f>
        <v>0</v>
      </c>
      <c r="U21" s="586">
        <f t="shared" si="0"/>
        <v>3708</v>
      </c>
      <c r="V21" s="522">
        <f>'Prévisionnel 25-26'!E20</f>
        <v>14597.986000000003</v>
      </c>
      <c r="W21" s="569">
        <f t="shared" si="5"/>
        <v>10889.986000000003</v>
      </c>
    </row>
    <row r="22" spans="1:23">
      <c r="A22" s="572" t="s">
        <v>172</v>
      </c>
      <c r="B22" s="526" t="s">
        <v>557</v>
      </c>
      <c r="C22" s="521">
        <f>SUMIFS(BANQUE!$E:$E,
              BANQUE!$F:$F,$A22,
              BANQUE!$G:$G,C$1)
-
SUMIFS(BANQUE!$D:$D,
              BANQUE!$F:$F,$A22,
              BANQUE!$G:$G,C$1)</f>
        <v>0</v>
      </c>
      <c r="D22" s="521">
        <f>SUMIFS(BANQUE!$E:$E,
              BANQUE!$F:$F,$A22,
              BANQUE!$G:$G,D$1)
-
SUMIFS(BANQUE!$D:$D,
              BANQUE!$F:$F,$A22,
              BANQUE!$G:$G,D$1)</f>
        <v>0</v>
      </c>
      <c r="E22" s="521">
        <f>SUMIFS(BANQUE!$E:$E,
              BANQUE!$F:$F,$A22,
              BANQUE!$G:$G,E$1)
-
SUMIFS(BANQUE!$D:$D,
              BANQUE!$F:$F,$A22,
              BANQUE!$G:$G,E$1)</f>
        <v>0</v>
      </c>
      <c r="F22" s="521">
        <f>SUMIFS(BANQUE!$E:$E,
              BANQUE!$F:$F,$A22,
              BANQUE!$G:$G,F$1)
-
SUMIFS(BANQUE!$D:$D,
              BANQUE!$F:$F,$A22,
              BANQUE!$G:$G,F$1)</f>
        <v>0</v>
      </c>
      <c r="G22" s="521">
        <f>SUMIFS(BANQUE!$E:$E,
              BANQUE!$F:$F,$A22,
              BANQUE!$G:$G,G$1)
-
SUMIFS(BANQUE!$D:$D,
              BANQUE!$F:$F,$A22,
              BANQUE!$G:$G,G$1)</f>
        <v>0</v>
      </c>
      <c r="H22" s="521">
        <f>SUMIFS(BANQUE!$E:$E,
              BANQUE!$F:$F,$A22,
              BANQUE!$G:$G,H$1)
-
SUMIFS(BANQUE!$D:$D,
              BANQUE!$F:$F,$A22,
              BANQUE!$G:$G,H$1)</f>
        <v>0</v>
      </c>
      <c r="I22" s="521">
        <f>SUMIFS(BANQUE!$E:$E,
              BANQUE!$F:$F,$A22,
              BANQUE!$G:$G,I$1)
-
SUMIFS(BANQUE!$D:$D,
              BANQUE!$F:$F,$A22,
              BANQUE!$G:$G,I$1)</f>
        <v>0</v>
      </c>
      <c r="J22" s="521">
        <f>SUMIFS(BANQUE!$E:$E,
              BANQUE!$F:$F,$A22,
              BANQUE!$G:$G,J$1)
-
SUMIFS(BANQUE!$D:$D,
              BANQUE!$F:$F,$A22,
              BANQUE!$G:$G,J$1)</f>
        <v>0</v>
      </c>
      <c r="K22" s="521">
        <f>SUMIFS(BANQUE!$E:$E,
              BANQUE!$F:$F,$A22,
              BANQUE!$G:$G,K$1)
-
SUMIFS(BANQUE!$D:$D,
              BANQUE!$F:$F,$A22,
              BANQUE!$G:$G,K$1)</f>
        <v>0</v>
      </c>
      <c r="L22" s="521">
        <f>SUMIFS(BANQUE!$E:$E,
              BANQUE!$F:$F,$A22,
              BANQUE!$G:$G,L$1)
-
SUMIFS(BANQUE!$D:$D,
              BANQUE!$F:$F,$A22,
              BANQUE!$G:$G,L$1)</f>
        <v>0</v>
      </c>
      <c r="M22" s="521">
        <f>SUMIFS(BANQUE!$E:$E,
              BANQUE!$F:$F,$A22,
              BANQUE!$G:$G,M$1)
-
SUMIFS(BANQUE!$D:$D,
              BANQUE!$F:$F,$A22,
              BANQUE!$G:$G,M$1)</f>
        <v>0</v>
      </c>
      <c r="N22" s="583">
        <f>SUMIFS(BANQUE!$E:$E,
              BANQUE!$F:$F,$A22,
              BANQUE!$G:$G,N$1)
-
SUMIFS(BANQUE!$D:$D,
              BANQUE!$F:$F,$A22,
              BANQUE!$G:$G,N$1)</f>
        <v>0</v>
      </c>
      <c r="O22" s="583">
        <f>SUMIFS(BANQUE!$E:$E,
              BANQUE!$F:$F,$A22,
              BANQUE!$G:$G,O$1)
-
SUMIFS(BANQUE!$D:$D,
              BANQUE!$F:$F,$A22,
              BANQUE!$G:$G,O$1)</f>
        <v>0</v>
      </c>
      <c r="P22" s="583">
        <f>SUMIFS(BANQUE!$E:$E,
              BANQUE!$F:$F,$A22,
              BANQUE!$G:$G,P$1)
-
SUMIFS(BANQUE!$D:$D,
              BANQUE!$F:$F,$A22,
              BANQUE!$G:$G,P$1)</f>
        <v>0</v>
      </c>
      <c r="Q22" s="583">
        <f>SUMIFS(BANQUE!$E:$E,
              BANQUE!$F:$F,$A22,
              BANQUE!$G:$G,Q$1)
-
SUMIFS(BANQUE!$D:$D,
              BANQUE!$F:$F,$A22,
              BANQUE!$G:$G,Q$1)</f>
        <v>0</v>
      </c>
      <c r="R22" s="583">
        <f>SUMIFS(BANQUE!$E:$E,
              BANQUE!$F:$F,$A22,
              BANQUE!$G:$G,R$1)
-
SUMIFS(BANQUE!$D:$D,
              BANQUE!$F:$F,$A22,
              BANQUE!$G:$G,R$1)</f>
        <v>0</v>
      </c>
      <c r="S22" s="583">
        <f>SUMIFS(BANQUE!$E:$E,
              BANQUE!$F:$F,$A22,
              BANQUE!$G:$G,S$1)
-
SUMIFS(BANQUE!$D:$D,
              BANQUE!$F:$F,$A22,
              BANQUE!$G:$G,S$1)</f>
        <v>0</v>
      </c>
      <c r="T22" s="583">
        <f>SUMIFS(BANQUE!$E:$E,
              BANQUE!$F:$F,$A22,
              BANQUE!$G:$G,T$1)
-
SUMIFS(BANQUE!$D:$D,
              BANQUE!$F:$F,$A22,
              BANQUE!$G:$G,T$1)</f>
        <v>0</v>
      </c>
      <c r="U22" s="586">
        <f t="shared" si="0"/>
        <v>0</v>
      </c>
      <c r="V22" s="522">
        <f>'Prévisionnel 25-26'!E21</f>
        <v>1000</v>
      </c>
      <c r="W22" s="569">
        <f>V22-U22</f>
        <v>1000</v>
      </c>
    </row>
    <row r="23" spans="1:23" ht="20" customHeight="1">
      <c r="A23" s="573" t="s">
        <v>170</v>
      </c>
      <c r="B23" s="527" t="s">
        <v>559</v>
      </c>
      <c r="C23" s="521">
        <f>SUMIFS(BANQUE!$E:$E,
              BANQUE!$F:$F,$A23,
              BANQUE!$G:$G,C$1)
-
SUMIFS(BANQUE!$D:$D,
              BANQUE!$F:$F,$A23,
              BANQUE!$G:$G,C$1)</f>
        <v>0</v>
      </c>
      <c r="D23" s="521">
        <f>SUMIFS(BANQUE!$E:$E,
              BANQUE!$F:$F,$A23,
              BANQUE!$G:$G,D$1)
-
SUMIFS(BANQUE!$D:$D,
              BANQUE!$F:$F,$A23,
              BANQUE!$G:$G,D$1)</f>
        <v>0</v>
      </c>
      <c r="E23" s="521">
        <f>SUMIFS(BANQUE!$E:$E,
              BANQUE!$F:$F,$A23,
              BANQUE!$G:$G,E$1)
-
SUMIFS(BANQUE!$D:$D,
              BANQUE!$F:$F,$A23,
              BANQUE!$G:$G,E$1)</f>
        <v>8</v>
      </c>
      <c r="F23" s="521">
        <f>SUMIFS(BANQUE!$E:$E,
              BANQUE!$F:$F,$A23,
              BANQUE!$G:$G,F$1)
-
SUMIFS(BANQUE!$D:$D,
              BANQUE!$F:$F,$A23,
              BANQUE!$G:$G,F$1)</f>
        <v>0</v>
      </c>
      <c r="G23" s="521">
        <f>SUMIFS(BANQUE!$E:$E,
              BANQUE!$F:$F,$A23,
              BANQUE!$G:$G,G$1)
-
SUMIFS(BANQUE!$D:$D,
              BANQUE!$F:$F,$A23,
              BANQUE!$G:$G,G$1)</f>
        <v>55</v>
      </c>
      <c r="H23" s="521">
        <f>SUMIFS(BANQUE!$E:$E,
              BANQUE!$F:$F,$A23,
              BANQUE!$G:$G,H$1)
-
SUMIFS(BANQUE!$D:$D,
              BANQUE!$F:$F,$A23,
              BANQUE!$G:$G,H$1)</f>
        <v>30</v>
      </c>
      <c r="I23" s="521">
        <f>SUMIFS(BANQUE!$E:$E,
              BANQUE!$F:$F,$A23,
              BANQUE!$G:$G,I$1)
-
SUMIFS(BANQUE!$D:$D,
              BANQUE!$F:$F,$A23,
              BANQUE!$G:$G,I$1)</f>
        <v>0</v>
      </c>
      <c r="J23" s="521">
        <f>SUMIFS(BANQUE!$E:$E,
              BANQUE!$F:$F,$A23,
              BANQUE!$G:$G,J$1)
-
SUMIFS(BANQUE!$D:$D,
              BANQUE!$F:$F,$A23,
              BANQUE!$G:$G,J$1)</f>
        <v>0</v>
      </c>
      <c r="K23" s="521">
        <f>SUMIFS(BANQUE!$E:$E,
              BANQUE!$F:$F,$A23,
              BANQUE!$G:$G,K$1)
-
SUMIFS(BANQUE!$D:$D,
              BANQUE!$F:$F,$A23,
              BANQUE!$G:$G,K$1)</f>
        <v>0</v>
      </c>
      <c r="L23" s="521">
        <f>SUMIFS(BANQUE!$E:$E,
              BANQUE!$F:$F,$A23,
              BANQUE!$G:$G,L$1)
-
SUMIFS(BANQUE!$D:$D,
              BANQUE!$F:$F,$A23,
              BANQUE!$G:$G,L$1)</f>
        <v>0</v>
      </c>
      <c r="M23" s="521">
        <f>SUMIFS(BANQUE!$E:$E,
              BANQUE!$F:$F,$A23,
              BANQUE!$G:$G,M$1)
-
SUMIFS(BANQUE!$D:$D,
              BANQUE!$F:$F,$A23,
              BANQUE!$G:$G,M$1)</f>
        <v>0</v>
      </c>
      <c r="N23" s="583">
        <f>SUMIFS(BANQUE!$E:$E,
              BANQUE!$F:$F,$A23,
              BANQUE!$G:$G,N$1)
-
SUMIFS(BANQUE!$D:$D,
              BANQUE!$F:$F,$A23,
              BANQUE!$G:$G,N$1)</f>
        <v>0</v>
      </c>
      <c r="O23" s="583">
        <f>SUMIFS(BANQUE!$E:$E,
              BANQUE!$F:$F,$A23,
              BANQUE!$G:$G,O$1)
-
SUMIFS(BANQUE!$D:$D,
              BANQUE!$F:$F,$A23,
              BANQUE!$G:$G,O$1)</f>
        <v>0</v>
      </c>
      <c r="P23" s="583">
        <f>SUMIFS(BANQUE!$E:$E,
              BANQUE!$F:$F,$A23,
              BANQUE!$G:$G,P$1)
-
SUMIFS(BANQUE!$D:$D,
              BANQUE!$F:$F,$A23,
              BANQUE!$G:$G,P$1)</f>
        <v>0</v>
      </c>
      <c r="Q23" s="583">
        <f>SUMIFS(BANQUE!$E:$E,
              BANQUE!$F:$F,$A23,
              BANQUE!$G:$G,Q$1)
-
SUMIFS(BANQUE!$D:$D,
              BANQUE!$F:$F,$A23,
              BANQUE!$G:$G,Q$1)</f>
        <v>0</v>
      </c>
      <c r="R23" s="583">
        <f>SUMIFS(BANQUE!$E:$E,
              BANQUE!$F:$F,$A23,
              BANQUE!$G:$G,R$1)
-
SUMIFS(BANQUE!$D:$D,
              BANQUE!$F:$F,$A23,
              BANQUE!$G:$G,R$1)</f>
        <v>0</v>
      </c>
      <c r="S23" s="583">
        <f>SUMIFS(BANQUE!$E:$E,
              BANQUE!$F:$F,$A23,
              BANQUE!$G:$G,S$1)
-
SUMIFS(BANQUE!$D:$D,
              BANQUE!$F:$F,$A23,
              BANQUE!$G:$G,S$1)</f>
        <v>0</v>
      </c>
      <c r="T23" s="583">
        <f>SUMIFS(BANQUE!$E:$E,
              BANQUE!$F:$F,$A23,
              BANQUE!$G:$G,T$1)
-
SUMIFS(BANQUE!$D:$D,
              BANQUE!$F:$F,$A23,
              BANQUE!$G:$G,T$1)</f>
        <v>0</v>
      </c>
      <c r="U23" s="586">
        <f t="shared" si="0"/>
        <v>93</v>
      </c>
      <c r="V23" s="522">
        <f>'Prévisionnel 25-26'!E22</f>
        <v>120</v>
      </c>
      <c r="W23" s="569">
        <f t="shared" si="2"/>
        <v>27</v>
      </c>
    </row>
    <row r="24" spans="1:23" ht="20" customHeight="1">
      <c r="A24" s="573" t="s">
        <v>158</v>
      </c>
      <c r="B24" s="527" t="s">
        <v>553</v>
      </c>
      <c r="C24" s="521">
        <f>SUMIFS(BANQUE!$E:$E,
              BANQUE!$F:$F,$A24,
              BANQUE!$G:$G,C$1)
-
SUMIFS(BANQUE!$D:$D,
              BANQUE!$F:$F,$A24,
              BANQUE!$G:$G,C$1)</f>
        <v>65.710000000000008</v>
      </c>
      <c r="D24" s="521">
        <f>SUMIFS(BANQUE!$E:$E,
              BANQUE!$F:$F,$A24,
              BANQUE!$G:$G,D$1)
-
SUMIFS(BANQUE!$D:$D,
              BANQUE!$F:$F,$A24,
              BANQUE!$G:$G,D$1)</f>
        <v>42.75</v>
      </c>
      <c r="E24" s="521">
        <f>SUMIFS(BANQUE!$E:$E,
              BANQUE!$F:$F,$A24,
              BANQUE!$G:$G,E$1)
-
SUMIFS(BANQUE!$D:$D,
              BANQUE!$F:$F,$A24,
              BANQUE!$G:$G,E$1)</f>
        <v>63.510000000000005</v>
      </c>
      <c r="F24" s="521">
        <f>SUMIFS(BANQUE!$E:$E,
              BANQUE!$F:$F,$A24,
              BANQUE!$G:$G,F$1)
-
SUMIFS(BANQUE!$D:$D,
              BANQUE!$F:$F,$A24,
              BANQUE!$G:$G,F$1)</f>
        <v>0</v>
      </c>
      <c r="G24" s="521">
        <f>SUMIFS(BANQUE!$E:$E,
              BANQUE!$F:$F,$A24,
              BANQUE!$G:$G,G$1)
-
SUMIFS(BANQUE!$D:$D,
              BANQUE!$F:$F,$A24,
              BANQUE!$G:$G,G$1)</f>
        <v>73.760000000000005</v>
      </c>
      <c r="H24" s="521">
        <f>SUMIFS(BANQUE!$E:$E,
              BANQUE!$F:$F,$A24,
              BANQUE!$G:$G,H$1)
-
SUMIFS(BANQUE!$D:$D,
              BANQUE!$F:$F,$A24,
              BANQUE!$G:$G,H$1)</f>
        <v>152.07</v>
      </c>
      <c r="I24" s="521">
        <f>SUMIFS(BANQUE!$E:$E,
              BANQUE!$F:$F,$A24,
              BANQUE!$G:$G,I$1)
-
SUMIFS(BANQUE!$D:$D,
              BANQUE!$F:$F,$A24,
              BANQUE!$G:$G,I$1)</f>
        <v>0</v>
      </c>
      <c r="J24" s="521">
        <f>SUMIFS(BANQUE!$E:$E,
              BANQUE!$F:$F,$A24,
              BANQUE!$G:$G,J$1)
-
SUMIFS(BANQUE!$D:$D,
              BANQUE!$F:$F,$A24,
              BANQUE!$G:$G,J$1)</f>
        <v>0</v>
      </c>
      <c r="K24" s="521">
        <f>SUMIFS(BANQUE!$E:$E,
              BANQUE!$F:$F,$A24,
              BANQUE!$G:$G,K$1)
-
SUMIFS(BANQUE!$D:$D,
              BANQUE!$F:$F,$A24,
              BANQUE!$G:$G,K$1)</f>
        <v>0</v>
      </c>
      <c r="L24" s="521">
        <f>SUMIFS(BANQUE!$E:$E,
              BANQUE!$F:$F,$A24,
              BANQUE!$G:$G,L$1)
-
SUMIFS(BANQUE!$D:$D,
              BANQUE!$F:$F,$A24,
              BANQUE!$G:$G,L$1)</f>
        <v>0</v>
      </c>
      <c r="M24" s="521">
        <f>SUMIFS(BANQUE!$E:$E,
              BANQUE!$F:$F,$A24,
              BANQUE!$G:$G,M$1)
-
SUMIFS(BANQUE!$D:$D,
              BANQUE!$F:$F,$A24,
              BANQUE!$G:$G,M$1)</f>
        <v>0</v>
      </c>
      <c r="N24" s="583">
        <f>SUMIFS(BANQUE!$E:$E,
              BANQUE!$F:$F,$A24,
              BANQUE!$G:$G,N$1)
-
SUMIFS(BANQUE!$D:$D,
              BANQUE!$F:$F,$A24,
              BANQUE!$G:$G,N$1)</f>
        <v>0</v>
      </c>
      <c r="O24" s="583">
        <f>SUMIFS(BANQUE!$E:$E,
              BANQUE!$F:$F,$A24,
              BANQUE!$G:$G,O$1)
-
SUMIFS(BANQUE!$D:$D,
              BANQUE!$F:$F,$A24,
              BANQUE!$G:$G,O$1)</f>
        <v>0</v>
      </c>
      <c r="P24" s="583">
        <f>SUMIFS(BANQUE!$E:$E,
              BANQUE!$F:$F,$A24,
              BANQUE!$G:$G,P$1)
-
SUMIFS(BANQUE!$D:$D,
              BANQUE!$F:$F,$A24,
              BANQUE!$G:$G,P$1)</f>
        <v>0</v>
      </c>
      <c r="Q24" s="583">
        <f>SUMIFS(BANQUE!$E:$E,
              BANQUE!$F:$F,$A24,
              BANQUE!$G:$G,Q$1)
-
SUMIFS(BANQUE!$D:$D,
              BANQUE!$F:$F,$A24,
              BANQUE!$G:$G,Q$1)</f>
        <v>0</v>
      </c>
      <c r="R24" s="583">
        <f>SUMIFS(BANQUE!$E:$E,
              BANQUE!$F:$F,$A24,
              BANQUE!$G:$G,R$1)
-
SUMIFS(BANQUE!$D:$D,
              BANQUE!$F:$F,$A24,
              BANQUE!$G:$G,R$1)</f>
        <v>0</v>
      </c>
      <c r="S24" s="583">
        <f>SUMIFS(BANQUE!$E:$E,
              BANQUE!$F:$F,$A24,
              BANQUE!$G:$G,S$1)
-
SUMIFS(BANQUE!$D:$D,
              BANQUE!$F:$F,$A24,
              BANQUE!$G:$G,S$1)</f>
        <v>0</v>
      </c>
      <c r="T24" s="583">
        <f>SUMIFS(BANQUE!$E:$E,
              BANQUE!$F:$F,$A24,
              BANQUE!$G:$G,T$1)
-
SUMIFS(BANQUE!$D:$D,
              BANQUE!$F:$F,$A24,
              BANQUE!$G:$G,T$1)</f>
        <v>0</v>
      </c>
      <c r="U24" s="586">
        <f t="shared" si="0"/>
        <v>397.8</v>
      </c>
      <c r="V24" s="522">
        <f>'Prévisionnel 25-26'!E23</f>
        <v>600</v>
      </c>
      <c r="W24" s="569">
        <f t="shared" si="2"/>
        <v>202.2</v>
      </c>
    </row>
    <row r="25" spans="1:23" ht="20" customHeight="1">
      <c r="A25" s="573" t="s">
        <v>151</v>
      </c>
      <c r="B25" s="527" t="s">
        <v>560</v>
      </c>
      <c r="C25" s="521">
        <f>SUMIFS(BANQUE!$E:$E,
              BANQUE!$F:$F,$A25,
              BANQUE!$G:$G,C$1)
-
SUMIFS(BANQUE!$D:$D,
              BANQUE!$F:$F,$A25,
              BANQUE!$G:$G,C$1)</f>
        <v>0</v>
      </c>
      <c r="D25" s="521">
        <f>SUMIFS(BANQUE!$E:$E,
              BANQUE!$F:$F,$A25,
              BANQUE!$G:$G,D$1)
-
SUMIFS(BANQUE!$D:$D,
              BANQUE!$F:$F,$A25,
              BANQUE!$G:$G,D$1)</f>
        <v>1202.3599999999999</v>
      </c>
      <c r="E25" s="521">
        <f>SUMIFS(BANQUE!$E:$E,
              BANQUE!$F:$F,$A25,
              BANQUE!$G:$G,E$1)
-
SUMIFS(BANQUE!$D:$D,
              BANQUE!$F:$F,$A25,
              BANQUE!$G:$G,E$1)</f>
        <v>406.8</v>
      </c>
      <c r="F25" s="521">
        <f>SUMIFS(BANQUE!$E:$E,
              BANQUE!$F:$F,$A25,
              BANQUE!$G:$G,F$1)
-
SUMIFS(BANQUE!$D:$D,
              BANQUE!$F:$F,$A25,
              BANQUE!$G:$G,F$1)</f>
        <v>0</v>
      </c>
      <c r="G25" s="521">
        <f>SUMIFS(BANQUE!$E:$E,
              BANQUE!$F:$F,$A25,
              BANQUE!$G:$G,G$1)
-
SUMIFS(BANQUE!$D:$D,
              BANQUE!$F:$F,$A25,
              BANQUE!$G:$G,G$1)</f>
        <v>0</v>
      </c>
      <c r="H25" s="521">
        <f>SUMIFS(BANQUE!$E:$E,
              BANQUE!$F:$F,$A25,
              BANQUE!$G:$G,H$1)
-
SUMIFS(BANQUE!$D:$D,
              BANQUE!$F:$F,$A25,
              BANQUE!$G:$G,H$1)</f>
        <v>0</v>
      </c>
      <c r="I25" s="521">
        <f>SUMIFS(BANQUE!$E:$E,
              BANQUE!$F:$F,$A25,
              BANQUE!$G:$G,I$1)
-
SUMIFS(BANQUE!$D:$D,
              BANQUE!$F:$F,$A25,
              BANQUE!$G:$G,I$1)</f>
        <v>1460.17</v>
      </c>
      <c r="J25" s="521">
        <f>SUMIFS(BANQUE!$E:$E,
              BANQUE!$F:$F,$A25,
              BANQUE!$G:$G,J$1)
-
SUMIFS(BANQUE!$D:$D,
              BANQUE!$F:$F,$A25,
              BANQUE!$G:$G,J$1)</f>
        <v>0</v>
      </c>
      <c r="K25" s="521">
        <f>SUMIFS(BANQUE!$E:$E,
              BANQUE!$F:$F,$A25,
              BANQUE!$G:$G,K$1)
-
SUMIFS(BANQUE!$D:$D,
              BANQUE!$F:$F,$A25,
              BANQUE!$G:$G,K$1)</f>
        <v>0</v>
      </c>
      <c r="L25" s="521">
        <f>SUMIFS(BANQUE!$E:$E,
              BANQUE!$F:$F,$A25,
              BANQUE!$G:$G,L$1)
-
SUMIFS(BANQUE!$D:$D,
              BANQUE!$F:$F,$A25,
              BANQUE!$G:$G,L$1)</f>
        <v>0</v>
      </c>
      <c r="M25" s="521">
        <f>SUMIFS(BANQUE!$E:$E,
              BANQUE!$F:$F,$A25,
              BANQUE!$G:$G,M$1)
-
SUMIFS(BANQUE!$D:$D,
              BANQUE!$F:$F,$A25,
              BANQUE!$G:$G,M$1)</f>
        <v>0</v>
      </c>
      <c r="N25" s="583">
        <f>SUMIFS(BANQUE!$E:$E,
              BANQUE!$F:$F,$A25,
              BANQUE!$G:$G,N$1)
-
SUMIFS(BANQUE!$D:$D,
              BANQUE!$F:$F,$A25,
              BANQUE!$G:$G,N$1)</f>
        <v>0</v>
      </c>
      <c r="O25" s="583">
        <f>SUMIFS(BANQUE!$E:$E,
              BANQUE!$F:$F,$A25,
              BANQUE!$G:$G,O$1)
-
SUMIFS(BANQUE!$D:$D,
              BANQUE!$F:$F,$A25,
              BANQUE!$G:$G,O$1)</f>
        <v>0</v>
      </c>
      <c r="P25" s="583">
        <f>SUMIFS(BANQUE!$E:$E,
              BANQUE!$F:$F,$A25,
              BANQUE!$G:$G,P$1)
-
SUMIFS(BANQUE!$D:$D,
              BANQUE!$F:$F,$A25,
              BANQUE!$G:$G,P$1)</f>
        <v>0</v>
      </c>
      <c r="Q25" s="583">
        <f>SUMIFS(BANQUE!$E:$E,
              BANQUE!$F:$F,$A25,
              BANQUE!$G:$G,Q$1)
-
SUMIFS(BANQUE!$D:$D,
              BANQUE!$F:$F,$A25,
              BANQUE!$G:$G,Q$1)</f>
        <v>0</v>
      </c>
      <c r="R25" s="583">
        <f>SUMIFS(BANQUE!$E:$E,
              BANQUE!$F:$F,$A25,
              BANQUE!$G:$G,R$1)
-
SUMIFS(BANQUE!$D:$D,
              BANQUE!$F:$F,$A25,
              BANQUE!$G:$G,R$1)</f>
        <v>0</v>
      </c>
      <c r="S25" s="583">
        <f>SUMIFS(BANQUE!$E:$E,
              BANQUE!$F:$F,$A25,
              BANQUE!$G:$G,S$1)
-
SUMIFS(BANQUE!$D:$D,
              BANQUE!$F:$F,$A25,
              BANQUE!$G:$G,S$1)</f>
        <v>0</v>
      </c>
      <c r="T25" s="583">
        <f>SUMIFS(BANQUE!$E:$E,
              BANQUE!$F:$F,$A25,
              BANQUE!$G:$G,T$1)
-
SUMIFS(BANQUE!$D:$D,
              BANQUE!$F:$F,$A25,
              BANQUE!$G:$G,T$1)</f>
        <v>0</v>
      </c>
      <c r="U25" s="586">
        <f t="shared" si="0"/>
        <v>3069.33</v>
      </c>
      <c r="V25" s="522">
        <f>'Prévisionnel 25-26'!E24</f>
        <v>2400</v>
      </c>
      <c r="W25" s="569">
        <f t="shared" si="2"/>
        <v>-669.32999999999993</v>
      </c>
    </row>
    <row r="26" spans="1:23" ht="20" customHeight="1">
      <c r="A26" s="573" t="s">
        <v>166</v>
      </c>
      <c r="B26" s="527" t="s">
        <v>556</v>
      </c>
      <c r="C26" s="521">
        <f>SUMIFS(BANQUE!$E:$E,
              BANQUE!$F:$F,$A26,
              BANQUE!$G:$G,C$1)
-
SUMIFS(BANQUE!$D:$D,
              BANQUE!$F:$F,$A26,
              BANQUE!$G:$G,C$1)</f>
        <v>60</v>
      </c>
      <c r="D26" s="521">
        <f>SUMIFS(BANQUE!$E:$E,
              BANQUE!$F:$F,$A26,
              BANQUE!$G:$G,D$1)
-
SUMIFS(BANQUE!$D:$D,
              BANQUE!$F:$F,$A26,
              BANQUE!$G:$G,D$1)</f>
        <v>60</v>
      </c>
      <c r="E26" s="521">
        <f>SUMIFS(BANQUE!$E:$E,
              BANQUE!$F:$F,$A26,
              BANQUE!$G:$G,E$1)
-
SUMIFS(BANQUE!$D:$D,
              BANQUE!$F:$F,$A26,
              BANQUE!$G:$G,E$1)</f>
        <v>323.97000000000003</v>
      </c>
      <c r="F26" s="521">
        <f>SUMIFS(BANQUE!$E:$E,
              BANQUE!$F:$F,$A26,
              BANQUE!$G:$G,F$1)
-
SUMIFS(BANQUE!$D:$D,
              BANQUE!$F:$F,$A26,
              BANQUE!$G:$G,F$1)</f>
        <v>79.17</v>
      </c>
      <c r="G26" s="521">
        <f>SUMIFS(BANQUE!$E:$E,
              BANQUE!$F:$F,$A26,
              BANQUE!$G:$G,G$1)
-
SUMIFS(BANQUE!$D:$D,
              BANQUE!$F:$F,$A26,
              BANQUE!$G:$G,G$1)</f>
        <v>79.17</v>
      </c>
      <c r="H26" s="521">
        <f>SUMIFS(BANQUE!$E:$E,
              BANQUE!$F:$F,$A26,
              BANQUE!$G:$G,H$1)
-
SUMIFS(BANQUE!$D:$D,
              BANQUE!$F:$F,$A26,
              BANQUE!$G:$G,H$1)</f>
        <v>79.17</v>
      </c>
      <c r="I26" s="521">
        <f>SUMIFS(BANQUE!$E:$E,
              BANQUE!$F:$F,$A26,
              BANQUE!$G:$G,I$1)
-
SUMIFS(BANQUE!$D:$D,
              BANQUE!$F:$F,$A26,
              BANQUE!$G:$G,I$1)</f>
        <v>208.17000000000002</v>
      </c>
      <c r="J26" s="521">
        <f>SUMIFS(BANQUE!$E:$E,
              BANQUE!$F:$F,$A26,
              BANQUE!$G:$G,J$1)
-
SUMIFS(BANQUE!$D:$D,
              BANQUE!$F:$F,$A26,
              BANQUE!$G:$G,J$1)</f>
        <v>79.17</v>
      </c>
      <c r="K26" s="521">
        <f>SUMIFS(BANQUE!$E:$E,
              BANQUE!$F:$F,$A26,
              BANQUE!$G:$G,K$1)
-
SUMIFS(BANQUE!$D:$D,
              BANQUE!$F:$F,$A26,
              BANQUE!$G:$G,K$1)</f>
        <v>0</v>
      </c>
      <c r="L26" s="521">
        <f>SUMIFS(BANQUE!$E:$E,
              BANQUE!$F:$F,$A26,
              BANQUE!$G:$G,L$1)
-
SUMIFS(BANQUE!$D:$D,
              BANQUE!$F:$F,$A26,
              BANQUE!$G:$G,L$1)</f>
        <v>0</v>
      </c>
      <c r="M26" s="521">
        <f>SUMIFS(BANQUE!$E:$E,
              BANQUE!$F:$F,$A26,
              BANQUE!$G:$G,M$1)
-
SUMIFS(BANQUE!$D:$D,
              BANQUE!$F:$F,$A26,
              BANQUE!$G:$G,M$1)</f>
        <v>0</v>
      </c>
      <c r="N26" s="583">
        <f>SUMIFS(BANQUE!$E:$E,
              BANQUE!$F:$F,$A26,
              BANQUE!$G:$G,N$1)
-
SUMIFS(BANQUE!$D:$D,
              BANQUE!$F:$F,$A26,
              BANQUE!$G:$G,N$1)</f>
        <v>0</v>
      </c>
      <c r="O26" s="583">
        <f>SUMIFS(BANQUE!$E:$E,
              BANQUE!$F:$F,$A26,
              BANQUE!$G:$G,O$1)
-
SUMIFS(BANQUE!$D:$D,
              BANQUE!$F:$F,$A26,
              BANQUE!$G:$G,O$1)</f>
        <v>0</v>
      </c>
      <c r="P26" s="583">
        <f>SUMIFS(BANQUE!$E:$E,
              BANQUE!$F:$F,$A26,
              BANQUE!$G:$G,P$1)
-
SUMIFS(BANQUE!$D:$D,
              BANQUE!$F:$F,$A26,
              BANQUE!$G:$G,P$1)</f>
        <v>0</v>
      </c>
      <c r="Q26" s="583">
        <f>SUMIFS(BANQUE!$E:$E,
              BANQUE!$F:$F,$A26,
              BANQUE!$G:$G,Q$1)
-
SUMIFS(BANQUE!$D:$D,
              BANQUE!$F:$F,$A26,
              BANQUE!$G:$G,Q$1)</f>
        <v>0</v>
      </c>
      <c r="R26" s="583">
        <f>SUMIFS(BANQUE!$E:$E,
              BANQUE!$F:$F,$A26,
              BANQUE!$G:$G,R$1)
-
SUMIFS(BANQUE!$D:$D,
              BANQUE!$F:$F,$A26,
              BANQUE!$G:$G,R$1)</f>
        <v>0</v>
      </c>
      <c r="S26" s="583">
        <f>SUMIFS(BANQUE!$E:$E,
              BANQUE!$F:$F,$A26,
              BANQUE!$G:$G,S$1)
-
SUMIFS(BANQUE!$D:$D,
              BANQUE!$F:$F,$A26,
              BANQUE!$G:$G,S$1)</f>
        <v>0</v>
      </c>
      <c r="T26" s="583">
        <f>SUMIFS(BANQUE!$E:$E,
              BANQUE!$F:$F,$A26,
              BANQUE!$G:$G,T$1)
-
SUMIFS(BANQUE!$D:$D,
              BANQUE!$F:$F,$A26,
              BANQUE!$G:$G,T$1)</f>
        <v>0</v>
      </c>
      <c r="U26" s="586">
        <f t="shared" si="0"/>
        <v>968.81999999999982</v>
      </c>
      <c r="V26" s="522">
        <f>'Prévisionnel 25-26'!E25</f>
        <v>1200</v>
      </c>
      <c r="W26" s="569">
        <f>V26-U26</f>
        <v>231.18000000000018</v>
      </c>
    </row>
    <row r="27" spans="1:23" ht="20" customHeight="1">
      <c r="A27" s="573" t="s">
        <v>192</v>
      </c>
      <c r="B27" s="527" t="s">
        <v>78</v>
      </c>
      <c r="C27" s="521">
        <f>SUMIFS(BANQUE!$E:$E,
              BANQUE!$F:$F,$A27,
              BANQUE!$G:$G,C$1)
-
SUMIFS(BANQUE!$D:$D,
              BANQUE!$F:$F,$A27,
              BANQUE!$G:$G,C$1)</f>
        <v>0</v>
      </c>
      <c r="D27" s="521">
        <f>SUMIFS(BANQUE!$E:$E,
              BANQUE!$F:$F,$A27,
              BANQUE!$G:$G,D$1)
-
SUMIFS(BANQUE!$D:$D,
              BANQUE!$F:$F,$A27,
              BANQUE!$G:$G,D$1)</f>
        <v>0</v>
      </c>
      <c r="E27" s="521">
        <f>SUMIFS(BANQUE!$E:$E,
              BANQUE!$F:$F,$A27,
              BANQUE!$G:$G,E$1)
-
SUMIFS(BANQUE!$D:$D,
              BANQUE!$F:$F,$A27,
              BANQUE!$G:$G,E$1)</f>
        <v>0</v>
      </c>
      <c r="F27" s="521">
        <f>SUMIFS(BANQUE!$E:$E,
              BANQUE!$F:$F,$A27,
              BANQUE!$G:$G,F$1)
-
SUMIFS(BANQUE!$D:$D,
              BANQUE!$F:$F,$A27,
              BANQUE!$G:$G,F$1)</f>
        <v>0</v>
      </c>
      <c r="G27" s="521">
        <f>SUMIFS(BANQUE!$E:$E,
              BANQUE!$F:$F,$A27,
              BANQUE!$G:$G,G$1)
-
SUMIFS(BANQUE!$D:$D,
              BANQUE!$F:$F,$A27,
              BANQUE!$G:$G,G$1)</f>
        <v>0</v>
      </c>
      <c r="H27" s="521">
        <f>SUMIFS(BANQUE!$E:$E,
              BANQUE!$F:$F,$A27,
              BANQUE!$G:$G,H$1)
-
SUMIFS(BANQUE!$D:$D,
              BANQUE!$F:$F,$A27,
              BANQUE!$G:$G,H$1)</f>
        <v>0</v>
      </c>
      <c r="I27" s="521">
        <f>SUMIFS(BANQUE!$E:$E,
              BANQUE!$F:$F,$A27,
              BANQUE!$G:$G,I$1)
-
SUMIFS(BANQUE!$D:$D,
              BANQUE!$F:$F,$A27,
              BANQUE!$G:$G,I$1)</f>
        <v>0</v>
      </c>
      <c r="J27" s="521">
        <f>SUMIFS(BANQUE!$E:$E,
              BANQUE!$F:$F,$A27,
              BANQUE!$G:$G,J$1)
-
SUMIFS(BANQUE!$D:$D,
              BANQUE!$F:$F,$A27,
              BANQUE!$G:$G,J$1)</f>
        <v>0</v>
      </c>
      <c r="K27" s="521">
        <f>SUMIFS(BANQUE!$E:$E,
              BANQUE!$F:$F,$A27,
              BANQUE!$G:$G,K$1)
-
SUMIFS(BANQUE!$D:$D,
              BANQUE!$F:$F,$A27,
              BANQUE!$G:$G,K$1)</f>
        <v>0</v>
      </c>
      <c r="L27" s="521">
        <f>SUMIFS(BANQUE!$E:$E,
              BANQUE!$F:$F,$A27,
              BANQUE!$G:$G,L$1)
-
SUMIFS(BANQUE!$D:$D,
              BANQUE!$F:$F,$A27,
              BANQUE!$G:$G,L$1)</f>
        <v>0</v>
      </c>
      <c r="M27" s="521">
        <f>SUMIFS(BANQUE!$E:$E,
              BANQUE!$F:$F,$A27,
              BANQUE!$G:$G,M$1)
-
SUMIFS(BANQUE!$D:$D,
              BANQUE!$F:$F,$A27,
              BANQUE!$G:$G,M$1)</f>
        <v>0</v>
      </c>
      <c r="N27" s="583">
        <f>SUMIFS(BANQUE!$E:$E,
              BANQUE!$F:$F,$A27,
              BANQUE!$G:$G,N$1)
-
SUMIFS(BANQUE!$D:$D,
              BANQUE!$F:$F,$A27,
              BANQUE!$G:$G,N$1)</f>
        <v>0</v>
      </c>
      <c r="O27" s="583">
        <f>SUMIFS(BANQUE!$E:$E,
              BANQUE!$F:$F,$A27,
              BANQUE!$G:$G,O$1)
-
SUMIFS(BANQUE!$D:$D,
              BANQUE!$F:$F,$A27,
              BANQUE!$G:$G,O$1)</f>
        <v>0</v>
      </c>
      <c r="P27" s="583">
        <f>SUMIFS(BANQUE!$E:$E,
              BANQUE!$F:$F,$A27,
              BANQUE!$G:$G,P$1)
-
SUMIFS(BANQUE!$D:$D,
              BANQUE!$F:$F,$A27,
              BANQUE!$G:$G,P$1)</f>
        <v>0</v>
      </c>
      <c r="Q27" s="583">
        <f>SUMIFS(BANQUE!$E:$E,
              BANQUE!$F:$F,$A27,
              BANQUE!$G:$G,Q$1)
-
SUMIFS(BANQUE!$D:$D,
              BANQUE!$F:$F,$A27,
              BANQUE!$G:$G,Q$1)</f>
        <v>0</v>
      </c>
      <c r="R27" s="583">
        <f>SUMIFS(BANQUE!$E:$E,
              BANQUE!$F:$F,$A27,
              BANQUE!$G:$G,R$1)
-
SUMIFS(BANQUE!$D:$D,
              BANQUE!$F:$F,$A27,
              BANQUE!$G:$G,R$1)</f>
        <v>0</v>
      </c>
      <c r="S27" s="583">
        <f>SUMIFS(BANQUE!$E:$E,
              BANQUE!$F:$F,$A27,
              BANQUE!$G:$G,S$1)
-
SUMIFS(BANQUE!$D:$D,
              BANQUE!$F:$F,$A27,
              BANQUE!$G:$G,S$1)</f>
        <v>0</v>
      </c>
      <c r="T27" s="583">
        <f>SUMIFS(BANQUE!$E:$E,
              BANQUE!$F:$F,$A27,
              BANQUE!$G:$G,T$1)
-
SUMIFS(BANQUE!$D:$D,
              BANQUE!$F:$F,$A27,
              BANQUE!$G:$G,T$1)</f>
        <v>0</v>
      </c>
      <c r="U27" s="586">
        <f t="shared" si="0"/>
        <v>0</v>
      </c>
      <c r="V27" s="522">
        <f>'Prévisionnel 25-26'!E26</f>
        <v>1200</v>
      </c>
      <c r="W27" s="569">
        <f>V27-U27</f>
        <v>1200</v>
      </c>
    </row>
    <row r="28" spans="1:23" ht="20" customHeight="1">
      <c r="A28" s="573" t="s">
        <v>160</v>
      </c>
      <c r="B28" s="527" t="s">
        <v>26</v>
      </c>
      <c r="C28" s="521">
        <f>SUMIFS(BANQUE!$E:$E,
              BANQUE!$F:$F,$A28,
              BANQUE!$G:$G,C$1)
-
SUMIFS(BANQUE!$D:$D,
              BANQUE!$F:$F,$A28,
              BANQUE!$G:$G,C$1)</f>
        <v>230.4</v>
      </c>
      <c r="D28" s="521">
        <f>SUMIFS(BANQUE!$E:$E,
              BANQUE!$F:$F,$A28,
              BANQUE!$G:$G,D$1)
-
SUMIFS(BANQUE!$D:$D,
              BANQUE!$F:$F,$A28,
              BANQUE!$G:$G,D$1)</f>
        <v>0</v>
      </c>
      <c r="E28" s="521">
        <f>SUMIFS(BANQUE!$E:$E,
              BANQUE!$F:$F,$A28,
              BANQUE!$G:$G,E$1)
-
SUMIFS(BANQUE!$D:$D,
              BANQUE!$F:$F,$A28,
              BANQUE!$G:$G,E$1)</f>
        <v>0</v>
      </c>
      <c r="F28" s="521">
        <f>SUMIFS(BANQUE!$E:$E,
              BANQUE!$F:$F,$A28,
              BANQUE!$G:$G,F$1)
-
SUMIFS(BANQUE!$D:$D,
              BANQUE!$F:$F,$A28,
              BANQUE!$G:$G,F$1)</f>
        <v>0</v>
      </c>
      <c r="G28" s="521">
        <f>SUMIFS(BANQUE!$E:$E,
              BANQUE!$F:$F,$A28,
              BANQUE!$G:$G,G$1)
-
SUMIFS(BANQUE!$D:$D,
              BANQUE!$F:$F,$A28,
              BANQUE!$G:$G,G$1)</f>
        <v>213.51</v>
      </c>
      <c r="H28" s="521">
        <f>SUMIFS(BANQUE!$E:$E,
              BANQUE!$F:$F,$A28,
              BANQUE!$G:$G,H$1)
-
SUMIFS(BANQUE!$D:$D,
              BANQUE!$F:$F,$A28,
              BANQUE!$G:$G,H$1)</f>
        <v>0</v>
      </c>
      <c r="I28" s="521">
        <f>SUMIFS(BANQUE!$E:$E,
              BANQUE!$F:$F,$A28,
              BANQUE!$G:$G,I$1)
-
SUMIFS(BANQUE!$D:$D,
              BANQUE!$F:$F,$A28,
              BANQUE!$G:$G,I$1)</f>
        <v>0</v>
      </c>
      <c r="J28" s="521">
        <f>SUMIFS(BANQUE!$E:$E,
              BANQUE!$F:$F,$A28,
              BANQUE!$G:$G,J$1)
-
SUMIFS(BANQUE!$D:$D,
              BANQUE!$F:$F,$A28,
              BANQUE!$G:$G,J$1)</f>
        <v>0</v>
      </c>
      <c r="K28" s="521">
        <f>SUMIFS(BANQUE!$E:$E,
              BANQUE!$F:$F,$A28,
              BANQUE!$G:$G,K$1)
-
SUMIFS(BANQUE!$D:$D,
              BANQUE!$F:$F,$A28,
              BANQUE!$G:$G,K$1)</f>
        <v>0</v>
      </c>
      <c r="L28" s="521">
        <f>SUMIFS(BANQUE!$E:$E,
              BANQUE!$F:$F,$A28,
              BANQUE!$G:$G,L$1)
-
SUMIFS(BANQUE!$D:$D,
              BANQUE!$F:$F,$A28,
              BANQUE!$G:$G,L$1)</f>
        <v>0</v>
      </c>
      <c r="M28" s="521">
        <f>SUMIFS(BANQUE!$E:$E,
              BANQUE!$F:$F,$A28,
              BANQUE!$G:$G,M$1)
-
SUMIFS(BANQUE!$D:$D,
              BANQUE!$F:$F,$A28,
              BANQUE!$G:$G,M$1)</f>
        <v>0</v>
      </c>
      <c r="N28" s="583">
        <f>SUMIFS(BANQUE!$E:$E,
              BANQUE!$F:$F,$A28,
              BANQUE!$G:$G,N$1)
-
SUMIFS(BANQUE!$D:$D,
              BANQUE!$F:$F,$A28,
              BANQUE!$G:$G,N$1)</f>
        <v>0</v>
      </c>
      <c r="O28" s="583">
        <f>SUMIFS(BANQUE!$E:$E,
              BANQUE!$F:$F,$A28,
              BANQUE!$G:$G,O$1)
-
SUMIFS(BANQUE!$D:$D,
              BANQUE!$F:$F,$A28,
              BANQUE!$G:$G,O$1)</f>
        <v>0</v>
      </c>
      <c r="P28" s="583">
        <f>SUMIFS(BANQUE!$E:$E,
              BANQUE!$F:$F,$A28,
              BANQUE!$G:$G,P$1)
-
SUMIFS(BANQUE!$D:$D,
              BANQUE!$F:$F,$A28,
              BANQUE!$G:$G,P$1)</f>
        <v>0</v>
      </c>
      <c r="Q28" s="583">
        <f>SUMIFS(BANQUE!$E:$E,
              BANQUE!$F:$F,$A28,
              BANQUE!$G:$G,Q$1)
-
SUMIFS(BANQUE!$D:$D,
              BANQUE!$F:$F,$A28,
              BANQUE!$G:$G,Q$1)</f>
        <v>0</v>
      </c>
      <c r="R28" s="583">
        <f>SUMIFS(BANQUE!$E:$E,
              BANQUE!$F:$F,$A28,
              BANQUE!$G:$G,R$1)
-
SUMIFS(BANQUE!$D:$D,
              BANQUE!$F:$F,$A28,
              BANQUE!$G:$G,R$1)</f>
        <v>0</v>
      </c>
      <c r="S28" s="583">
        <f>SUMIFS(BANQUE!$E:$E,
              BANQUE!$F:$F,$A28,
              BANQUE!$G:$G,S$1)
-
SUMIFS(BANQUE!$D:$D,
              BANQUE!$F:$F,$A28,
              BANQUE!$G:$G,S$1)</f>
        <v>0</v>
      </c>
      <c r="T28" s="583">
        <f>SUMIFS(BANQUE!$E:$E,
              BANQUE!$F:$F,$A28,
              BANQUE!$G:$G,T$1)
-
SUMIFS(BANQUE!$D:$D,
              BANQUE!$F:$F,$A28,
              BANQUE!$G:$G,T$1)</f>
        <v>0</v>
      </c>
      <c r="U28" s="586">
        <f t="shared" si="0"/>
        <v>443.90999999999997</v>
      </c>
      <c r="V28" s="522">
        <f>'Prévisionnel 25-26'!E27</f>
        <v>600</v>
      </c>
      <c r="W28" s="569">
        <f>V28-U28</f>
        <v>156.09000000000003</v>
      </c>
    </row>
    <row r="29" spans="1:23" ht="20" customHeight="1">
      <c r="A29" s="573" t="s">
        <v>148</v>
      </c>
      <c r="B29" s="527" t="s">
        <v>23</v>
      </c>
      <c r="C29" s="521">
        <f>SUMIFS(BANQUE!$E:$E,
              BANQUE!$F:$F,$A29,
              BANQUE!$G:$G,C$1)
-
SUMIFS(BANQUE!$D:$D,
              BANQUE!$F:$F,$A29,
              BANQUE!$G:$G,C$1)</f>
        <v>214.05</v>
      </c>
      <c r="D29" s="521">
        <f>SUMIFS(BANQUE!$E:$E,
              BANQUE!$F:$F,$A29,
              BANQUE!$G:$G,D$1)
-
SUMIFS(BANQUE!$D:$D,
              BANQUE!$F:$F,$A29,
              BANQUE!$G:$G,D$1)</f>
        <v>0</v>
      </c>
      <c r="E29" s="521">
        <f>SUMIFS(BANQUE!$E:$E,
              BANQUE!$F:$F,$A29,
              BANQUE!$G:$G,E$1)
-
SUMIFS(BANQUE!$D:$D,
              BANQUE!$F:$F,$A29,
              BANQUE!$G:$G,E$1)</f>
        <v>66.599999999999994</v>
      </c>
      <c r="F29" s="521">
        <f>SUMIFS(BANQUE!$E:$E,
              BANQUE!$F:$F,$A29,
              BANQUE!$G:$G,F$1)
-
SUMIFS(BANQUE!$D:$D,
              BANQUE!$F:$F,$A29,
              BANQUE!$G:$G,F$1)</f>
        <v>117.30000000000001</v>
      </c>
      <c r="G29" s="521">
        <f>SUMIFS(BANQUE!$E:$E,
              BANQUE!$F:$F,$A29,
              BANQUE!$G:$G,G$1)
-
SUMIFS(BANQUE!$D:$D,
              BANQUE!$F:$F,$A29,
              BANQUE!$G:$G,G$1)</f>
        <v>270.74</v>
      </c>
      <c r="H29" s="521">
        <f>SUMIFS(BANQUE!$E:$E,
              BANQUE!$F:$F,$A29,
              BANQUE!$G:$G,H$1)
-
SUMIFS(BANQUE!$D:$D,
              BANQUE!$F:$F,$A29,
              BANQUE!$G:$G,H$1)</f>
        <v>123.35000000000001</v>
      </c>
      <c r="I29" s="521">
        <f>SUMIFS(BANQUE!$E:$E,
              BANQUE!$F:$F,$A29,
              BANQUE!$G:$G,I$1)
-
SUMIFS(BANQUE!$D:$D,
              BANQUE!$F:$F,$A29,
              BANQUE!$G:$G,I$1)</f>
        <v>32.47</v>
      </c>
      <c r="J29" s="521">
        <f>SUMIFS(BANQUE!$E:$E,
              BANQUE!$F:$F,$A29,
              BANQUE!$G:$G,J$1)
-
SUMIFS(BANQUE!$D:$D,
              BANQUE!$F:$F,$A29,
              BANQUE!$G:$G,J$1)</f>
        <v>44</v>
      </c>
      <c r="K29" s="521">
        <f>SUMIFS(BANQUE!$E:$E,
              BANQUE!$F:$F,$A29,
              BANQUE!$G:$G,K$1)
-
SUMIFS(BANQUE!$D:$D,
              BANQUE!$F:$F,$A29,
              BANQUE!$G:$G,K$1)</f>
        <v>0</v>
      </c>
      <c r="L29" s="521">
        <f>SUMIFS(BANQUE!$E:$E,
              BANQUE!$F:$F,$A29,
              BANQUE!$G:$G,L$1)
-
SUMIFS(BANQUE!$D:$D,
              BANQUE!$F:$F,$A29,
              BANQUE!$G:$G,L$1)</f>
        <v>0</v>
      </c>
      <c r="M29" s="521">
        <f>SUMIFS(BANQUE!$E:$E,
              BANQUE!$F:$F,$A29,
              BANQUE!$G:$G,M$1)
-
SUMIFS(BANQUE!$D:$D,
              BANQUE!$F:$F,$A29,
              BANQUE!$G:$G,M$1)</f>
        <v>0</v>
      </c>
      <c r="N29" s="583">
        <f>SUMIFS(BANQUE!$E:$E,
              BANQUE!$F:$F,$A29,
              BANQUE!$G:$G,N$1)
-
SUMIFS(BANQUE!$D:$D,
              BANQUE!$F:$F,$A29,
              BANQUE!$G:$G,N$1)</f>
        <v>0</v>
      </c>
      <c r="O29" s="583">
        <f>SUMIFS(BANQUE!$E:$E,
              BANQUE!$F:$F,$A29,
              BANQUE!$G:$G,O$1)
-
SUMIFS(BANQUE!$D:$D,
              BANQUE!$F:$F,$A29,
              BANQUE!$G:$G,O$1)</f>
        <v>0</v>
      </c>
      <c r="P29" s="583">
        <f>SUMIFS(BANQUE!$E:$E,
              BANQUE!$F:$F,$A29,
              BANQUE!$G:$G,P$1)
-
SUMIFS(BANQUE!$D:$D,
              BANQUE!$F:$F,$A29,
              BANQUE!$G:$G,P$1)</f>
        <v>0</v>
      </c>
      <c r="Q29" s="583">
        <f>SUMIFS(BANQUE!$E:$E,
              BANQUE!$F:$F,$A29,
              BANQUE!$G:$G,Q$1)
-
SUMIFS(BANQUE!$D:$D,
              BANQUE!$F:$F,$A29,
              BANQUE!$G:$G,Q$1)</f>
        <v>0</v>
      </c>
      <c r="R29" s="583">
        <f>SUMIFS(BANQUE!$E:$E,
              BANQUE!$F:$F,$A29,
              BANQUE!$G:$G,R$1)
-
SUMIFS(BANQUE!$D:$D,
              BANQUE!$F:$F,$A29,
              BANQUE!$G:$G,R$1)</f>
        <v>0</v>
      </c>
      <c r="S29" s="583">
        <f>SUMIFS(BANQUE!$E:$E,
              BANQUE!$F:$F,$A29,
              BANQUE!$G:$G,S$1)
-
SUMIFS(BANQUE!$D:$D,
              BANQUE!$F:$F,$A29,
              BANQUE!$G:$G,S$1)</f>
        <v>0</v>
      </c>
      <c r="T29" s="583">
        <f>SUMIFS(BANQUE!$E:$E,
              BANQUE!$F:$F,$A29,
              BANQUE!$G:$G,T$1)
-
SUMIFS(BANQUE!$D:$D,
              BANQUE!$F:$F,$A29,
              BANQUE!$G:$G,T$1)</f>
        <v>0</v>
      </c>
      <c r="U29" s="586">
        <f t="shared" si="0"/>
        <v>868.5100000000001</v>
      </c>
      <c r="V29" s="522">
        <f>'Prévisionnel 25-26'!E28</f>
        <v>1200</v>
      </c>
      <c r="W29" s="569">
        <f t="shared" si="2"/>
        <v>331.4899999999999</v>
      </c>
    </row>
    <row r="30" spans="1:23" ht="20" customHeight="1">
      <c r="A30" s="573" t="s">
        <v>159</v>
      </c>
      <c r="B30" s="527" t="s">
        <v>24</v>
      </c>
      <c r="C30" s="521">
        <f>SUMIFS(BANQUE!$E:$E,
              BANQUE!$F:$F,$A30,
              BANQUE!$G:$G,C$1)
-
SUMIFS(BANQUE!$D:$D,
              BANQUE!$F:$F,$A30,
              BANQUE!$G:$G,C$1)</f>
        <v>0</v>
      </c>
      <c r="D30" s="521">
        <f>SUMIFS(BANQUE!$E:$E,
              BANQUE!$F:$F,$A30,
              BANQUE!$G:$G,D$1)
-
SUMIFS(BANQUE!$D:$D,
              BANQUE!$F:$F,$A30,
              BANQUE!$G:$G,D$1)</f>
        <v>0</v>
      </c>
      <c r="E30" s="521">
        <f>SUMIFS(BANQUE!$E:$E,
              BANQUE!$F:$F,$A30,
              BANQUE!$G:$G,E$1)
-
SUMIFS(BANQUE!$D:$D,
              BANQUE!$F:$F,$A30,
              BANQUE!$G:$G,E$1)</f>
        <v>10.7</v>
      </c>
      <c r="F30" s="521">
        <f>SUMIFS(BANQUE!$E:$E,
              BANQUE!$F:$F,$A30,
              BANQUE!$G:$G,F$1)
-
SUMIFS(BANQUE!$D:$D,
              BANQUE!$F:$F,$A30,
              BANQUE!$G:$G,F$1)</f>
        <v>0</v>
      </c>
      <c r="G30" s="521">
        <f>SUMIFS(BANQUE!$E:$E,
              BANQUE!$F:$F,$A30,
              BANQUE!$G:$G,G$1)
-
SUMIFS(BANQUE!$D:$D,
              BANQUE!$F:$F,$A30,
              BANQUE!$G:$G,G$1)</f>
        <v>0</v>
      </c>
      <c r="H30" s="521">
        <f>SUMIFS(BANQUE!$E:$E,
              BANQUE!$F:$F,$A30,
              BANQUE!$G:$G,H$1)
-
SUMIFS(BANQUE!$D:$D,
              BANQUE!$F:$F,$A30,
              BANQUE!$G:$G,H$1)</f>
        <v>0</v>
      </c>
      <c r="I30" s="521">
        <f>SUMIFS(BANQUE!$E:$E,
              BANQUE!$F:$F,$A30,
              BANQUE!$G:$G,I$1)
-
SUMIFS(BANQUE!$D:$D,
              BANQUE!$F:$F,$A30,
              BANQUE!$G:$G,I$1)</f>
        <v>0</v>
      </c>
      <c r="J30" s="521">
        <f>SUMIFS(BANQUE!$E:$E,
              BANQUE!$F:$F,$A30,
              BANQUE!$G:$G,J$1)
-
SUMIFS(BANQUE!$D:$D,
              BANQUE!$F:$F,$A30,
              BANQUE!$G:$G,J$1)</f>
        <v>0</v>
      </c>
      <c r="K30" s="521">
        <f>SUMIFS(BANQUE!$E:$E,
              BANQUE!$F:$F,$A30,
              BANQUE!$G:$G,K$1)
-
SUMIFS(BANQUE!$D:$D,
              BANQUE!$F:$F,$A30,
              BANQUE!$G:$G,K$1)</f>
        <v>0</v>
      </c>
      <c r="L30" s="521">
        <f>SUMIFS(BANQUE!$E:$E,
              BANQUE!$F:$F,$A30,
              BANQUE!$G:$G,L$1)
-
SUMIFS(BANQUE!$D:$D,
              BANQUE!$F:$F,$A30,
              BANQUE!$G:$G,L$1)</f>
        <v>0</v>
      </c>
      <c r="M30" s="521">
        <f>SUMIFS(BANQUE!$E:$E,
              BANQUE!$F:$F,$A30,
              BANQUE!$G:$G,M$1)
-
SUMIFS(BANQUE!$D:$D,
              BANQUE!$F:$F,$A30,
              BANQUE!$G:$G,M$1)</f>
        <v>0</v>
      </c>
      <c r="N30" s="583">
        <f>SUMIFS(BANQUE!$E:$E,
              BANQUE!$F:$F,$A30,
              BANQUE!$G:$G,N$1)
-
SUMIFS(BANQUE!$D:$D,
              BANQUE!$F:$F,$A30,
              BANQUE!$G:$G,N$1)</f>
        <v>0</v>
      </c>
      <c r="O30" s="583">
        <f>SUMIFS(BANQUE!$E:$E,
              BANQUE!$F:$F,$A30,
              BANQUE!$G:$G,O$1)
-
SUMIFS(BANQUE!$D:$D,
              BANQUE!$F:$F,$A30,
              BANQUE!$G:$G,O$1)</f>
        <v>0</v>
      </c>
      <c r="P30" s="583">
        <f>SUMIFS(BANQUE!$E:$E,
              BANQUE!$F:$F,$A30,
              BANQUE!$G:$G,P$1)
-
SUMIFS(BANQUE!$D:$D,
              BANQUE!$F:$F,$A30,
              BANQUE!$G:$G,P$1)</f>
        <v>0</v>
      </c>
      <c r="Q30" s="583">
        <f>SUMIFS(BANQUE!$E:$E,
              BANQUE!$F:$F,$A30,
              BANQUE!$G:$G,Q$1)
-
SUMIFS(BANQUE!$D:$D,
              BANQUE!$F:$F,$A30,
              BANQUE!$G:$G,Q$1)</f>
        <v>0</v>
      </c>
      <c r="R30" s="583">
        <f>SUMIFS(BANQUE!$E:$E,
              BANQUE!$F:$F,$A30,
              BANQUE!$G:$G,R$1)
-
SUMIFS(BANQUE!$D:$D,
              BANQUE!$F:$F,$A30,
              BANQUE!$G:$G,R$1)</f>
        <v>0</v>
      </c>
      <c r="S30" s="583">
        <f>SUMIFS(BANQUE!$E:$E,
              BANQUE!$F:$F,$A30,
              BANQUE!$G:$G,S$1)
-
SUMIFS(BANQUE!$D:$D,
              BANQUE!$F:$F,$A30,
              BANQUE!$G:$G,S$1)</f>
        <v>0</v>
      </c>
      <c r="T30" s="583">
        <f>SUMIFS(BANQUE!$E:$E,
              BANQUE!$F:$F,$A30,
              BANQUE!$G:$G,T$1)
-
SUMIFS(BANQUE!$D:$D,
              BANQUE!$F:$F,$A30,
              BANQUE!$G:$G,T$1)</f>
        <v>0</v>
      </c>
      <c r="U30" s="586">
        <f t="shared" si="0"/>
        <v>10.7</v>
      </c>
      <c r="V30" s="522">
        <f>'Prévisionnel 25-26'!E29</f>
        <v>40</v>
      </c>
      <c r="W30" s="569">
        <f t="shared" si="2"/>
        <v>29.3</v>
      </c>
    </row>
    <row r="31" spans="1:23" ht="20" customHeight="1">
      <c r="A31" s="573" t="s">
        <v>149</v>
      </c>
      <c r="B31" s="527" t="s">
        <v>554</v>
      </c>
      <c r="C31" s="521">
        <f>SUMIFS(BANQUE!$E:$E,
              BANQUE!$F:$F,$A31,
              BANQUE!$G:$G,C$1)
-
SUMIFS(BANQUE!$D:$D,
              BANQUE!$F:$F,$A31,
              BANQUE!$G:$G,C$1)</f>
        <v>32.4</v>
      </c>
      <c r="D31" s="521">
        <f>SUMIFS(BANQUE!$E:$E,
              BANQUE!$F:$F,$A31,
              BANQUE!$G:$G,D$1)
-
SUMIFS(BANQUE!$D:$D,
              BANQUE!$F:$F,$A31,
              BANQUE!$G:$G,D$1)</f>
        <v>32.4</v>
      </c>
      <c r="E31" s="521">
        <f>SUMIFS(BANQUE!$E:$E,
              BANQUE!$F:$F,$A31,
              BANQUE!$G:$G,E$1)
-
SUMIFS(BANQUE!$D:$D,
              BANQUE!$F:$F,$A31,
              BANQUE!$G:$G,E$1)</f>
        <v>32.4</v>
      </c>
      <c r="F31" s="521">
        <f>SUMIFS(BANQUE!$E:$E,
              BANQUE!$F:$F,$A31,
              BANQUE!$G:$G,F$1)
-
SUMIFS(BANQUE!$D:$D,
              BANQUE!$F:$F,$A31,
              BANQUE!$G:$G,F$1)</f>
        <v>32.4</v>
      </c>
      <c r="G31" s="521">
        <f>SUMIFS(BANQUE!$E:$E,
              BANQUE!$F:$F,$A31,
              BANQUE!$G:$G,G$1)
-
SUMIFS(BANQUE!$D:$D,
              BANQUE!$F:$F,$A31,
              BANQUE!$G:$G,G$1)</f>
        <v>32.4</v>
      </c>
      <c r="H31" s="521">
        <f>SUMIFS(BANQUE!$E:$E,
              BANQUE!$F:$F,$A31,
              BANQUE!$G:$G,H$1)
-
SUMIFS(BANQUE!$D:$D,
              BANQUE!$F:$F,$A31,
              BANQUE!$G:$G,H$1)</f>
        <v>32.4</v>
      </c>
      <c r="I31" s="521">
        <f>SUMIFS(BANQUE!$E:$E,
              BANQUE!$F:$F,$A31,
              BANQUE!$G:$G,I$1)
-
SUMIFS(BANQUE!$D:$D,
              BANQUE!$F:$F,$A31,
              BANQUE!$G:$G,I$1)</f>
        <v>33.32</v>
      </c>
      <c r="J31" s="521">
        <f>SUMIFS(BANQUE!$E:$E,
              BANQUE!$F:$F,$A31,
              BANQUE!$G:$G,J$1)
-
SUMIFS(BANQUE!$D:$D,
              BANQUE!$F:$F,$A31,
              BANQUE!$G:$G,J$1)</f>
        <v>0</v>
      </c>
      <c r="K31" s="521">
        <f>SUMIFS(BANQUE!$E:$E,
              BANQUE!$F:$F,$A31,
              BANQUE!$G:$G,K$1)
-
SUMIFS(BANQUE!$D:$D,
              BANQUE!$F:$F,$A31,
              BANQUE!$G:$G,K$1)</f>
        <v>0</v>
      </c>
      <c r="L31" s="521">
        <f>SUMIFS(BANQUE!$E:$E,
              BANQUE!$F:$F,$A31,
              BANQUE!$G:$G,L$1)
-
SUMIFS(BANQUE!$D:$D,
              BANQUE!$F:$F,$A31,
              BANQUE!$G:$G,L$1)</f>
        <v>0</v>
      </c>
      <c r="M31" s="521">
        <f>SUMIFS(BANQUE!$E:$E,
              BANQUE!$F:$F,$A31,
              BANQUE!$G:$G,M$1)
-
SUMIFS(BANQUE!$D:$D,
              BANQUE!$F:$F,$A31,
              BANQUE!$G:$G,M$1)</f>
        <v>0</v>
      </c>
      <c r="N31" s="583">
        <f>SUMIFS(BANQUE!$E:$E,
              BANQUE!$F:$F,$A31,
              BANQUE!$G:$G,N$1)
-
SUMIFS(BANQUE!$D:$D,
              BANQUE!$F:$F,$A31,
              BANQUE!$G:$G,N$1)</f>
        <v>0</v>
      </c>
      <c r="O31" s="583">
        <f>SUMIFS(BANQUE!$E:$E,
              BANQUE!$F:$F,$A31,
              BANQUE!$G:$G,O$1)
-
SUMIFS(BANQUE!$D:$D,
              BANQUE!$F:$F,$A31,
              BANQUE!$G:$G,O$1)</f>
        <v>0</v>
      </c>
      <c r="P31" s="583">
        <f>SUMIFS(BANQUE!$E:$E,
              BANQUE!$F:$F,$A31,
              BANQUE!$G:$G,P$1)
-
SUMIFS(BANQUE!$D:$D,
              BANQUE!$F:$F,$A31,
              BANQUE!$G:$G,P$1)</f>
        <v>0</v>
      </c>
      <c r="Q31" s="583">
        <f>SUMIFS(BANQUE!$E:$E,
              BANQUE!$F:$F,$A31,
              BANQUE!$G:$G,Q$1)
-
SUMIFS(BANQUE!$D:$D,
              BANQUE!$F:$F,$A31,
              BANQUE!$G:$G,Q$1)</f>
        <v>0</v>
      </c>
      <c r="R31" s="583">
        <f>SUMIFS(BANQUE!$E:$E,
              BANQUE!$F:$F,$A31,
              BANQUE!$G:$G,R$1)
-
SUMIFS(BANQUE!$D:$D,
              BANQUE!$F:$F,$A31,
              BANQUE!$G:$G,R$1)</f>
        <v>0</v>
      </c>
      <c r="S31" s="583">
        <f>SUMIFS(BANQUE!$E:$E,
              BANQUE!$F:$F,$A31,
              BANQUE!$G:$G,S$1)
-
SUMIFS(BANQUE!$D:$D,
              BANQUE!$F:$F,$A31,
              BANQUE!$G:$G,S$1)</f>
        <v>0</v>
      </c>
      <c r="T31" s="583">
        <f>SUMIFS(BANQUE!$E:$E,
              BANQUE!$F:$F,$A31,
              BANQUE!$G:$G,T$1)
-
SUMIFS(BANQUE!$D:$D,
              BANQUE!$F:$F,$A31,
              BANQUE!$G:$G,T$1)</f>
        <v>0</v>
      </c>
      <c r="U31" s="586">
        <f t="shared" si="0"/>
        <v>227.72</v>
      </c>
      <c r="V31" s="522">
        <f>'Prévisionnel 25-26'!E30</f>
        <v>320.39999999999998</v>
      </c>
      <c r="W31" s="569">
        <f t="shared" si="2"/>
        <v>92.679999999999978</v>
      </c>
    </row>
    <row r="32" spans="1:23" ht="20" customHeight="1">
      <c r="A32" s="573" t="s">
        <v>249</v>
      </c>
      <c r="B32" s="527" t="s">
        <v>572</v>
      </c>
      <c r="C32" s="521">
        <f>SUMIFS(BANQUE!$E:$E,
              BANQUE!$F:$F,$A32,
              BANQUE!$G:$G,C$1)
-
SUMIFS(BANQUE!$D:$D,
              BANQUE!$F:$F,$A32,
              BANQUE!$G:$G,C$1)</f>
        <v>0</v>
      </c>
      <c r="D32" s="521">
        <f>SUMIFS(BANQUE!$E:$E,
              BANQUE!$F:$F,$A32,
              BANQUE!$G:$G,D$1)
-
SUMIFS(BANQUE!$D:$D,
              BANQUE!$F:$F,$A32,
              BANQUE!$G:$G,D$1)</f>
        <v>0</v>
      </c>
      <c r="E32" s="521">
        <f>SUMIFS(BANQUE!$E:$E,
              BANQUE!$F:$F,$A32,
              BANQUE!$G:$G,E$1)
-
SUMIFS(BANQUE!$D:$D,
              BANQUE!$F:$F,$A32,
              BANQUE!$G:$G,E$1)</f>
        <v>0</v>
      </c>
      <c r="F32" s="521">
        <f>SUMIFS(BANQUE!$E:$E,
              BANQUE!$F:$F,$A32,
              BANQUE!$G:$G,F$1)
-
SUMIFS(BANQUE!$D:$D,
              BANQUE!$F:$F,$A32,
              BANQUE!$G:$G,F$1)</f>
        <v>72.989999999999995</v>
      </c>
      <c r="G32" s="521">
        <f>SUMIFS(BANQUE!$E:$E,
              BANQUE!$F:$F,$A32,
              BANQUE!$G:$G,G$1)
-
SUMIFS(BANQUE!$D:$D,
              BANQUE!$F:$F,$A32,
              BANQUE!$G:$G,G$1)</f>
        <v>23.99</v>
      </c>
      <c r="H32" s="521">
        <f>SUMIFS(BANQUE!$E:$E,
              BANQUE!$F:$F,$A32,
              BANQUE!$G:$G,H$1)
-
SUMIFS(BANQUE!$D:$D,
              BANQUE!$F:$F,$A32,
              BANQUE!$G:$G,H$1)</f>
        <v>23.99</v>
      </c>
      <c r="I32" s="521">
        <f>SUMIFS(BANQUE!$E:$E,
              BANQUE!$F:$F,$A32,
              BANQUE!$G:$G,I$1)
-
SUMIFS(BANQUE!$D:$D,
              BANQUE!$F:$F,$A32,
              BANQUE!$G:$G,I$1)</f>
        <v>23.99</v>
      </c>
      <c r="J32" s="521">
        <f>SUMIFS(BANQUE!$E:$E,
              BANQUE!$F:$F,$A32,
              BANQUE!$G:$G,J$1)
-
SUMIFS(BANQUE!$D:$D,
              BANQUE!$F:$F,$A32,
              BANQUE!$G:$G,J$1)</f>
        <v>23.99</v>
      </c>
      <c r="K32" s="521">
        <f>SUMIFS(BANQUE!$E:$E,
              BANQUE!$F:$F,$A32,
              BANQUE!$G:$G,K$1)
-
SUMIFS(BANQUE!$D:$D,
              BANQUE!$F:$F,$A32,
              BANQUE!$G:$G,K$1)</f>
        <v>0</v>
      </c>
      <c r="L32" s="521">
        <f>SUMIFS(BANQUE!$E:$E,
              BANQUE!$F:$F,$A32,
              BANQUE!$G:$G,L$1)
-
SUMIFS(BANQUE!$D:$D,
              BANQUE!$F:$F,$A32,
              BANQUE!$G:$G,L$1)</f>
        <v>0</v>
      </c>
      <c r="M32" s="521">
        <f>SUMIFS(BANQUE!$E:$E,
              BANQUE!$F:$F,$A32,
              BANQUE!$G:$G,M$1)
-
SUMIFS(BANQUE!$D:$D,
              BANQUE!$F:$F,$A32,
              BANQUE!$G:$G,M$1)</f>
        <v>0</v>
      </c>
      <c r="N32" s="583">
        <f>SUMIFS(BANQUE!$E:$E,
              BANQUE!$F:$F,$A32,
              BANQUE!$G:$G,N$1)
-
SUMIFS(BANQUE!$D:$D,
              BANQUE!$F:$F,$A32,
              BANQUE!$G:$G,N$1)</f>
        <v>0</v>
      </c>
      <c r="O32" s="583">
        <f>SUMIFS(BANQUE!$E:$E,
              BANQUE!$F:$F,$A32,
              BANQUE!$G:$G,O$1)
-
SUMIFS(BANQUE!$D:$D,
              BANQUE!$F:$F,$A32,
              BANQUE!$G:$G,O$1)</f>
        <v>0</v>
      </c>
      <c r="P32" s="583">
        <f>SUMIFS(BANQUE!$E:$E,
              BANQUE!$F:$F,$A32,
              BANQUE!$G:$G,P$1)
-
SUMIFS(BANQUE!$D:$D,
              BANQUE!$F:$F,$A32,
              BANQUE!$G:$G,P$1)</f>
        <v>0</v>
      </c>
      <c r="Q32" s="583">
        <f>SUMIFS(BANQUE!$E:$E,
              BANQUE!$F:$F,$A32,
              BANQUE!$G:$G,Q$1)
-
SUMIFS(BANQUE!$D:$D,
              BANQUE!$F:$F,$A32,
              BANQUE!$G:$G,Q$1)</f>
        <v>0</v>
      </c>
      <c r="R32" s="583">
        <f>SUMIFS(BANQUE!$E:$E,
              BANQUE!$F:$F,$A32,
              BANQUE!$G:$G,R$1)
-
SUMIFS(BANQUE!$D:$D,
              BANQUE!$F:$F,$A32,
              BANQUE!$G:$G,R$1)</f>
        <v>0</v>
      </c>
      <c r="S32" s="583">
        <f>SUMIFS(BANQUE!$E:$E,
              BANQUE!$F:$F,$A32,
              BANQUE!$G:$G,S$1)
-
SUMIFS(BANQUE!$D:$D,
              BANQUE!$F:$F,$A32,
              BANQUE!$G:$G,S$1)</f>
        <v>0</v>
      </c>
      <c r="T32" s="583">
        <f>SUMIFS(BANQUE!$E:$E,
              BANQUE!$F:$F,$A32,
              BANQUE!$G:$G,T$1)
-
SUMIFS(BANQUE!$D:$D,
              BANQUE!$F:$F,$A32,
              BANQUE!$G:$G,T$1)</f>
        <v>0</v>
      </c>
      <c r="U32" s="586">
        <f t="shared" si="0"/>
        <v>168.95</v>
      </c>
      <c r="V32" s="522">
        <f>'Prévisionnel 25-26'!E31</f>
        <v>312</v>
      </c>
      <c r="W32" s="569">
        <f t="shared" ref="W32" si="6">V32-U32</f>
        <v>143.05000000000001</v>
      </c>
    </row>
    <row r="33" spans="1:23" ht="20" customHeight="1">
      <c r="A33" s="573" t="s">
        <v>444</v>
      </c>
      <c r="B33" s="527" t="s">
        <v>552</v>
      </c>
      <c r="C33" s="521">
        <f>SUMIFS(BANQUE!$E:$E,
              BANQUE!$F:$F,$A33,
              BANQUE!$G:$G,C$1)
-
SUMIFS(BANQUE!$D:$D,
              BANQUE!$F:$F,$A33,
              BANQUE!$G:$G,C$1)</f>
        <v>18.8</v>
      </c>
      <c r="D33" s="521">
        <f>SUMIFS(BANQUE!$E:$E,
              BANQUE!$F:$F,$A33,
              BANQUE!$G:$G,D$1)
-
SUMIFS(BANQUE!$D:$D,
              BANQUE!$F:$F,$A33,
              BANQUE!$G:$G,D$1)</f>
        <v>0</v>
      </c>
      <c r="E33" s="521">
        <f>SUMIFS(BANQUE!$E:$E,
              BANQUE!$F:$F,$A33,
              BANQUE!$G:$G,E$1)
-
SUMIFS(BANQUE!$D:$D,
              BANQUE!$F:$F,$A33,
              BANQUE!$G:$G,E$1)</f>
        <v>0</v>
      </c>
      <c r="F33" s="521">
        <f>SUMIFS(BANQUE!$E:$E,
              BANQUE!$F:$F,$A33,
              BANQUE!$G:$G,F$1)
-
SUMIFS(BANQUE!$D:$D,
              BANQUE!$F:$F,$A33,
              BANQUE!$G:$G,F$1)</f>
        <v>6.4</v>
      </c>
      <c r="G33" s="521">
        <f>SUMIFS(BANQUE!$E:$E,
              BANQUE!$F:$F,$A33,
              BANQUE!$G:$G,G$1)
-
SUMIFS(BANQUE!$D:$D,
              BANQUE!$F:$F,$A33,
              BANQUE!$G:$G,G$1)</f>
        <v>10.030000000000001</v>
      </c>
      <c r="H33" s="521">
        <f>SUMIFS(BANQUE!$E:$E,
              BANQUE!$F:$F,$A33,
              BANQUE!$G:$G,H$1)
-
SUMIFS(BANQUE!$D:$D,
              BANQUE!$F:$F,$A33,
              BANQUE!$G:$G,H$1)</f>
        <v>10.4</v>
      </c>
      <c r="I33" s="521">
        <f>SUMIFS(BANQUE!$E:$E,
              BANQUE!$F:$F,$A33,
              BANQUE!$G:$G,I$1)
-
SUMIFS(BANQUE!$D:$D,
              BANQUE!$F:$F,$A33,
              BANQUE!$G:$G,I$1)</f>
        <v>10.3</v>
      </c>
      <c r="J33" s="521">
        <f>SUMIFS(BANQUE!$E:$E,
              BANQUE!$F:$F,$A33,
              BANQUE!$G:$G,J$1)
-
SUMIFS(BANQUE!$D:$D,
              BANQUE!$F:$F,$A33,
              BANQUE!$G:$G,J$1)</f>
        <v>5.3</v>
      </c>
      <c r="K33" s="521">
        <f>SUMIFS(BANQUE!$E:$E,
              BANQUE!$F:$F,$A33,
              BANQUE!$G:$G,K$1)
-
SUMIFS(BANQUE!$D:$D,
              BANQUE!$F:$F,$A33,
              BANQUE!$G:$G,K$1)</f>
        <v>0</v>
      </c>
      <c r="L33" s="521">
        <f>SUMIFS(BANQUE!$E:$E,
              BANQUE!$F:$F,$A33,
              BANQUE!$G:$G,L$1)
-
SUMIFS(BANQUE!$D:$D,
              BANQUE!$F:$F,$A33,
              BANQUE!$G:$G,L$1)</f>
        <v>0</v>
      </c>
      <c r="M33" s="521">
        <f>SUMIFS(BANQUE!$E:$E,
              BANQUE!$F:$F,$A33,
              BANQUE!$G:$G,M$1)
-
SUMIFS(BANQUE!$D:$D,
              BANQUE!$F:$F,$A33,
              BANQUE!$G:$G,M$1)</f>
        <v>0</v>
      </c>
      <c r="N33" s="583">
        <f>SUMIFS(BANQUE!$E:$E,
              BANQUE!$F:$F,$A33,
              BANQUE!$G:$G,N$1)
-
SUMIFS(BANQUE!$D:$D,
              BANQUE!$F:$F,$A33,
              BANQUE!$G:$G,N$1)</f>
        <v>0</v>
      </c>
      <c r="O33" s="583">
        <f>SUMIFS(BANQUE!$E:$E,
              BANQUE!$F:$F,$A33,
              BANQUE!$G:$G,O$1)
-
SUMIFS(BANQUE!$D:$D,
              BANQUE!$F:$F,$A33,
              BANQUE!$G:$G,O$1)</f>
        <v>0</v>
      </c>
      <c r="P33" s="583">
        <f>SUMIFS(BANQUE!$E:$E,
              BANQUE!$F:$F,$A33,
              BANQUE!$G:$G,P$1)
-
SUMIFS(BANQUE!$D:$D,
              BANQUE!$F:$F,$A33,
              BANQUE!$G:$G,P$1)</f>
        <v>0</v>
      </c>
      <c r="Q33" s="583">
        <f>SUMIFS(BANQUE!$E:$E,
              BANQUE!$F:$F,$A33,
              BANQUE!$G:$G,Q$1)
-
SUMIFS(BANQUE!$D:$D,
              BANQUE!$F:$F,$A33,
              BANQUE!$G:$G,Q$1)</f>
        <v>0</v>
      </c>
      <c r="R33" s="583">
        <f>SUMIFS(BANQUE!$E:$E,
              BANQUE!$F:$F,$A33,
              BANQUE!$G:$G,R$1)
-
SUMIFS(BANQUE!$D:$D,
              BANQUE!$F:$F,$A33,
              BANQUE!$G:$G,R$1)</f>
        <v>0</v>
      </c>
      <c r="S33" s="583">
        <f>SUMIFS(BANQUE!$E:$E,
              BANQUE!$F:$F,$A33,
              BANQUE!$G:$G,S$1)
-
SUMIFS(BANQUE!$D:$D,
              BANQUE!$F:$F,$A33,
              BANQUE!$G:$G,S$1)</f>
        <v>0</v>
      </c>
      <c r="T33" s="583">
        <f>SUMIFS(BANQUE!$E:$E,
              BANQUE!$F:$F,$A33,
              BANQUE!$G:$G,T$1)
-
SUMIFS(BANQUE!$D:$D,
              BANQUE!$F:$F,$A33,
              BANQUE!$G:$G,T$1)</f>
        <v>0</v>
      </c>
      <c r="U33" s="586">
        <f t="shared" si="0"/>
        <v>61.230000000000004</v>
      </c>
      <c r="V33" s="522">
        <f>'Prévisionnel 25-26'!E32</f>
        <v>180</v>
      </c>
      <c r="W33" s="569">
        <f t="shared" si="2"/>
        <v>118.77</v>
      </c>
    </row>
    <row r="34" spans="1:23" ht="20" customHeight="1">
      <c r="A34" s="574" t="s">
        <v>167</v>
      </c>
      <c r="B34" s="528" t="s">
        <v>25</v>
      </c>
      <c r="C34" s="521">
        <f>SUMIFS(BANQUE!$E:$E,
              BANQUE!$F:$F,$A34,
              BANQUE!$G:$G,C$1)
-
SUMIFS(BANQUE!$D:$D,
              BANQUE!$F:$F,$A34,
              BANQUE!$G:$G,C$1)</f>
        <v>146.15</v>
      </c>
      <c r="D34" s="521">
        <f>SUMIFS(BANQUE!$E:$E,
              BANQUE!$F:$F,$A34,
              BANQUE!$G:$G,D$1)
-
SUMIFS(BANQUE!$D:$D,
              BANQUE!$F:$F,$A34,
              BANQUE!$G:$G,D$1)</f>
        <v>268.36</v>
      </c>
      <c r="E34" s="521">
        <f>SUMIFS(BANQUE!$E:$E,
              BANQUE!$F:$F,$A34,
              BANQUE!$G:$G,E$1)
-
SUMIFS(BANQUE!$D:$D,
              BANQUE!$F:$F,$A34,
              BANQUE!$G:$G,E$1)</f>
        <v>46.15</v>
      </c>
      <c r="F34" s="521">
        <f>SUMIFS(BANQUE!$E:$E,
              BANQUE!$F:$F,$A34,
              BANQUE!$G:$G,F$1)
-
SUMIFS(BANQUE!$D:$D,
              BANQUE!$F:$F,$A34,
              BANQUE!$G:$G,F$1)</f>
        <v>267.94</v>
      </c>
      <c r="G34" s="521">
        <f>SUMIFS(BANQUE!$E:$E,
              BANQUE!$F:$F,$A34,
              BANQUE!$G:$G,G$1)
-
SUMIFS(BANQUE!$D:$D,
              BANQUE!$F:$F,$A34,
              BANQUE!$G:$G,G$1)</f>
        <v>45.94</v>
      </c>
      <c r="H34" s="521">
        <f>SUMIFS(BANQUE!$E:$E,
              BANQUE!$F:$F,$A34,
              BANQUE!$G:$G,H$1)
-
SUMIFS(BANQUE!$D:$D,
              BANQUE!$F:$F,$A34,
              BANQUE!$G:$G,H$1)</f>
        <v>46.99</v>
      </c>
      <c r="I34" s="521">
        <f>SUMIFS(BANQUE!$E:$E,
              BANQUE!$F:$F,$A34,
              BANQUE!$G:$G,I$1)
-
SUMIFS(BANQUE!$D:$D,
              BANQUE!$F:$F,$A34,
              BANQUE!$G:$G,I$1)</f>
        <v>45.52</v>
      </c>
      <c r="J34" s="521">
        <f>SUMIFS(BANQUE!$E:$E,
              BANQUE!$F:$F,$A34,
              BANQUE!$G:$G,J$1)
-
SUMIFS(BANQUE!$D:$D,
              BANQUE!$F:$F,$A34,
              BANQUE!$G:$G,J$1)</f>
        <v>45.73</v>
      </c>
      <c r="K34" s="521">
        <f>SUMIFS(BANQUE!$E:$E,
              BANQUE!$F:$F,$A34,
              BANQUE!$G:$G,K$1)
-
SUMIFS(BANQUE!$D:$D,
              BANQUE!$F:$F,$A34,
              BANQUE!$G:$G,K$1)</f>
        <v>0</v>
      </c>
      <c r="L34" s="521">
        <f>SUMIFS(BANQUE!$E:$E,
              BANQUE!$F:$F,$A34,
              BANQUE!$G:$G,L$1)
-
SUMIFS(BANQUE!$D:$D,
              BANQUE!$F:$F,$A34,
              BANQUE!$G:$G,L$1)</f>
        <v>0</v>
      </c>
      <c r="M34" s="521">
        <f>SUMIFS(BANQUE!$E:$E,
              BANQUE!$F:$F,$A34,
              BANQUE!$G:$G,M$1)
-
SUMIFS(BANQUE!$D:$D,
              BANQUE!$F:$F,$A34,
              BANQUE!$G:$G,M$1)</f>
        <v>0</v>
      </c>
      <c r="N34" s="583">
        <f>SUMIFS(BANQUE!$E:$E,
              BANQUE!$F:$F,$A34,
              BANQUE!$G:$G,N$1)
-
SUMIFS(BANQUE!$D:$D,
              BANQUE!$F:$F,$A34,
              BANQUE!$G:$G,N$1)</f>
        <v>0</v>
      </c>
      <c r="O34" s="583">
        <f>SUMIFS(BANQUE!$E:$E,
              BANQUE!$F:$F,$A34,
              BANQUE!$G:$G,O$1)
-
SUMIFS(BANQUE!$D:$D,
              BANQUE!$F:$F,$A34,
              BANQUE!$G:$G,O$1)</f>
        <v>0</v>
      </c>
      <c r="P34" s="583">
        <f>SUMIFS(BANQUE!$E:$E,
              BANQUE!$F:$F,$A34,
              BANQUE!$G:$G,P$1)
-
SUMIFS(BANQUE!$D:$D,
              BANQUE!$F:$F,$A34,
              BANQUE!$G:$G,P$1)</f>
        <v>0</v>
      </c>
      <c r="Q34" s="583">
        <f>SUMIFS(BANQUE!$E:$E,
              BANQUE!$F:$F,$A34,
              BANQUE!$G:$G,Q$1)
-
SUMIFS(BANQUE!$D:$D,
              BANQUE!$F:$F,$A34,
              BANQUE!$G:$G,Q$1)</f>
        <v>0</v>
      </c>
      <c r="R34" s="583">
        <f>SUMIFS(BANQUE!$E:$E,
              BANQUE!$F:$F,$A34,
              BANQUE!$G:$G,R$1)
-
SUMIFS(BANQUE!$D:$D,
              BANQUE!$F:$F,$A34,
              BANQUE!$G:$G,R$1)</f>
        <v>0</v>
      </c>
      <c r="S34" s="583">
        <f>SUMIFS(BANQUE!$E:$E,
              BANQUE!$F:$F,$A34,
              BANQUE!$G:$G,S$1)
-
SUMIFS(BANQUE!$D:$D,
              BANQUE!$F:$F,$A34,
              BANQUE!$G:$G,S$1)</f>
        <v>0</v>
      </c>
      <c r="T34" s="583">
        <f>SUMIFS(BANQUE!$E:$E,
              BANQUE!$F:$F,$A34,
              BANQUE!$G:$G,T$1)
-
SUMIFS(BANQUE!$D:$D,
              BANQUE!$F:$F,$A34,
              BANQUE!$G:$G,T$1)</f>
        <v>0</v>
      </c>
      <c r="U34" s="586">
        <f t="shared" si="0"/>
        <v>912.78</v>
      </c>
      <c r="V34" s="522">
        <f>'Prévisionnel 25-26'!E33</f>
        <v>700</v>
      </c>
      <c r="W34" s="569">
        <f>V34-U34</f>
        <v>-212.77999999999997</v>
      </c>
    </row>
    <row r="35" spans="1:23">
      <c r="A35" s="574" t="s">
        <v>193</v>
      </c>
      <c r="B35" s="528" t="s">
        <v>558</v>
      </c>
      <c r="C35" s="521">
        <f>SUMIFS(BANQUE!$E:$E,
              BANQUE!$F:$F,$A35,
              BANQUE!$G:$G,C$1)
-
SUMIFS(BANQUE!$D:$D,
              BANQUE!$F:$F,$A35,
              BANQUE!$G:$G,C$1)</f>
        <v>0</v>
      </c>
      <c r="D35" s="521">
        <f>SUMIFS(BANQUE!$E:$E,
              BANQUE!$F:$F,$A35,
              BANQUE!$G:$G,D$1)
-
SUMIFS(BANQUE!$D:$D,
              BANQUE!$F:$F,$A35,
              BANQUE!$G:$G,D$1)</f>
        <v>0</v>
      </c>
      <c r="E35" s="521">
        <f>SUMIFS(BANQUE!$E:$E,
              BANQUE!$F:$F,$A35,
              BANQUE!$G:$G,E$1)
-
SUMIFS(BANQUE!$D:$D,
              BANQUE!$F:$F,$A35,
              BANQUE!$G:$G,E$1)</f>
        <v>0</v>
      </c>
      <c r="F35" s="521">
        <f>SUMIFS(BANQUE!$E:$E,
              BANQUE!$F:$F,$A35,
              BANQUE!$G:$G,F$1)
-
SUMIFS(BANQUE!$D:$D,
              BANQUE!$F:$F,$A35,
              BANQUE!$G:$G,F$1)</f>
        <v>15179.44</v>
      </c>
      <c r="G35" s="521">
        <f>SUMIFS(BANQUE!$E:$E,
              BANQUE!$F:$F,$A35,
              BANQUE!$G:$G,G$1)
-
SUMIFS(BANQUE!$D:$D,
              BANQUE!$F:$F,$A35,
              BANQUE!$G:$G,G$1)</f>
        <v>0</v>
      </c>
      <c r="H35" s="521">
        <f>SUMIFS(BANQUE!$E:$E,
              BANQUE!$F:$F,$A35,
              BANQUE!$G:$G,H$1)
-
SUMIFS(BANQUE!$D:$D,
              BANQUE!$F:$F,$A35,
              BANQUE!$G:$G,H$1)</f>
        <v>0</v>
      </c>
      <c r="I35" s="521">
        <f>SUMIFS(BANQUE!$E:$E,
              BANQUE!$F:$F,$A35,
              BANQUE!$G:$G,I$1)
-
SUMIFS(BANQUE!$D:$D,
              BANQUE!$F:$F,$A35,
              BANQUE!$G:$G,I$1)</f>
        <v>0</v>
      </c>
      <c r="J35" s="521">
        <f>SUMIFS(BANQUE!$E:$E,
              BANQUE!$F:$F,$A35,
              BANQUE!$G:$G,J$1)
-
SUMIFS(BANQUE!$D:$D,
              BANQUE!$F:$F,$A35,
              BANQUE!$G:$G,J$1)</f>
        <v>0</v>
      </c>
      <c r="K35" s="521">
        <f>SUMIFS(BANQUE!$E:$E,
              BANQUE!$F:$F,$A35,
              BANQUE!$G:$G,K$1)
-
SUMIFS(BANQUE!$D:$D,
              BANQUE!$F:$F,$A35,
              BANQUE!$G:$G,K$1)</f>
        <v>0</v>
      </c>
      <c r="L35" s="521">
        <f>SUMIFS(BANQUE!$E:$E,
              BANQUE!$F:$F,$A35,
              BANQUE!$G:$G,L$1)
-
SUMIFS(BANQUE!$D:$D,
              BANQUE!$F:$F,$A35,
              BANQUE!$G:$G,L$1)</f>
        <v>0</v>
      </c>
      <c r="M35" s="521">
        <f>SUMIFS(BANQUE!$E:$E,
              BANQUE!$F:$F,$A35,
              BANQUE!$G:$G,M$1)
-
SUMIFS(BANQUE!$D:$D,
              BANQUE!$F:$F,$A35,
              BANQUE!$G:$G,M$1)</f>
        <v>0</v>
      </c>
      <c r="N35" s="583">
        <f>SUMIFS(BANQUE!$E:$E,
              BANQUE!$F:$F,$A35,
              BANQUE!$G:$G,N$1)
-
SUMIFS(BANQUE!$D:$D,
              BANQUE!$F:$F,$A35,
              BANQUE!$G:$G,N$1)</f>
        <v>0</v>
      </c>
      <c r="O35" s="583">
        <f>SUMIFS(BANQUE!$E:$E,
              BANQUE!$F:$F,$A35,
              BANQUE!$G:$G,O$1)
-
SUMIFS(BANQUE!$D:$D,
              BANQUE!$F:$F,$A35,
              BANQUE!$G:$G,O$1)</f>
        <v>0</v>
      </c>
      <c r="P35" s="583">
        <f>SUMIFS(BANQUE!$E:$E,
              BANQUE!$F:$F,$A35,
              BANQUE!$G:$G,P$1)
-
SUMIFS(BANQUE!$D:$D,
              BANQUE!$F:$F,$A35,
              BANQUE!$G:$G,P$1)</f>
        <v>0</v>
      </c>
      <c r="Q35" s="583">
        <f>SUMIFS(BANQUE!$E:$E,
              BANQUE!$F:$F,$A35,
              BANQUE!$G:$G,Q$1)
-
SUMIFS(BANQUE!$D:$D,
              BANQUE!$F:$F,$A35,
              BANQUE!$G:$G,Q$1)</f>
        <v>0</v>
      </c>
      <c r="R35" s="583">
        <f>SUMIFS(BANQUE!$E:$E,
              BANQUE!$F:$F,$A35,
              BANQUE!$G:$G,R$1)
-
SUMIFS(BANQUE!$D:$D,
              BANQUE!$F:$F,$A35,
              BANQUE!$G:$G,R$1)</f>
        <v>0</v>
      </c>
      <c r="S35" s="583">
        <f>SUMIFS(BANQUE!$E:$E,
              BANQUE!$F:$F,$A35,
              BANQUE!$G:$G,S$1)
-
SUMIFS(BANQUE!$D:$D,
              BANQUE!$F:$F,$A35,
              BANQUE!$G:$G,S$1)</f>
        <v>0</v>
      </c>
      <c r="T35" s="583">
        <f>SUMIFS(BANQUE!$E:$E,
              BANQUE!$F:$F,$A35,
              BANQUE!$G:$G,T$1)
-
SUMIFS(BANQUE!$D:$D,
              BANQUE!$F:$F,$A35,
              BANQUE!$G:$G,T$1)</f>
        <v>0</v>
      </c>
      <c r="U35" s="586">
        <f t="shared" si="0"/>
        <v>15179.44</v>
      </c>
      <c r="V35" s="522">
        <f>'Prévisionnel 25-26'!E34</f>
        <v>15200</v>
      </c>
      <c r="W35" s="569">
        <f>V35-U35</f>
        <v>20.559999999999491</v>
      </c>
    </row>
    <row r="36" spans="1:23" ht="20" customHeight="1">
      <c r="A36" s="575" t="s">
        <v>138</v>
      </c>
      <c r="B36" s="529" t="s">
        <v>111</v>
      </c>
      <c r="C36" s="521">
        <f>SUMIFS(BANQUE!$E:$E,
              BANQUE!$F:$F,$A36,
              BANQUE!$G:$G,C$1)
-
SUMIFS(BANQUE!$D:$D,
              BANQUE!$F:$F,$A36,
              BANQUE!$G:$G,C$1)</f>
        <v>1065</v>
      </c>
      <c r="D36" s="521">
        <f>SUMIFS(BANQUE!$E:$E,
              BANQUE!$F:$F,$A36,
              BANQUE!$G:$G,D$1)
-
SUMIFS(BANQUE!$D:$D,
              BANQUE!$F:$F,$A36,
              BANQUE!$G:$G,D$1)</f>
        <v>1065</v>
      </c>
      <c r="E36" s="521">
        <f>SUMIFS(BANQUE!$E:$E,
              BANQUE!$F:$F,$A36,
              BANQUE!$G:$G,E$1)
-
SUMIFS(BANQUE!$D:$D,
              BANQUE!$F:$F,$A36,
              BANQUE!$G:$G,E$1)</f>
        <v>1065</v>
      </c>
      <c r="F36" s="521">
        <f>SUMIFS(BANQUE!$E:$E,
              BANQUE!$F:$F,$A36,
              BANQUE!$G:$G,F$1)
-
SUMIFS(BANQUE!$D:$D,
              BANQUE!$F:$F,$A36,
              BANQUE!$G:$G,F$1)</f>
        <v>1065</v>
      </c>
      <c r="G36" s="521">
        <f>SUMIFS(BANQUE!$E:$E,
              BANQUE!$F:$F,$A36,
              BANQUE!$G:$G,G$1)
-
SUMIFS(BANQUE!$D:$D,
              BANQUE!$F:$F,$A36,
              BANQUE!$G:$G,G$1)</f>
        <v>548.29999999999995</v>
      </c>
      <c r="H36" s="521">
        <f>SUMIFS(BANQUE!$E:$E,
              BANQUE!$F:$F,$A36,
              BANQUE!$G:$G,H$1)
-
SUMIFS(BANQUE!$D:$D,
              BANQUE!$F:$F,$A36,
              BANQUE!$G:$G,H$1)</f>
        <v>0</v>
      </c>
      <c r="I36" s="521">
        <f>SUMIFS(BANQUE!$E:$E,
              BANQUE!$F:$F,$A36,
              BANQUE!$G:$G,I$1)
-
SUMIFS(BANQUE!$D:$D,
              BANQUE!$F:$F,$A36,
              BANQUE!$G:$G,I$1)</f>
        <v>0</v>
      </c>
      <c r="J36" s="521">
        <f>SUMIFS(BANQUE!$E:$E,
              BANQUE!$F:$F,$A36,
              BANQUE!$G:$G,J$1)
-
SUMIFS(BANQUE!$D:$D,
              BANQUE!$F:$F,$A36,
              BANQUE!$G:$G,J$1)</f>
        <v>0</v>
      </c>
      <c r="K36" s="521">
        <f>SUMIFS(BANQUE!$E:$E,
              BANQUE!$F:$F,$A36,
              BANQUE!$G:$G,K$1)
-
SUMIFS(BANQUE!$D:$D,
              BANQUE!$F:$F,$A36,
              BANQUE!$G:$G,K$1)</f>
        <v>0</v>
      </c>
      <c r="L36" s="521">
        <f>SUMIFS(BANQUE!$E:$E,
              BANQUE!$F:$F,$A36,
              BANQUE!$G:$G,L$1)
-
SUMIFS(BANQUE!$D:$D,
              BANQUE!$F:$F,$A36,
              BANQUE!$G:$G,L$1)</f>
        <v>0</v>
      </c>
      <c r="M36" s="521">
        <f>SUMIFS(BANQUE!$E:$E,
              BANQUE!$F:$F,$A36,
              BANQUE!$G:$G,M$1)
-
SUMIFS(BANQUE!$D:$D,
              BANQUE!$F:$F,$A36,
              BANQUE!$G:$G,M$1)</f>
        <v>0</v>
      </c>
      <c r="N36" s="583">
        <f>SUMIFS(BANQUE!$E:$E,
              BANQUE!$F:$F,$A36,
              BANQUE!$G:$G,N$1)
-
SUMIFS(BANQUE!$D:$D,
              BANQUE!$F:$F,$A36,
              BANQUE!$G:$G,N$1)</f>
        <v>0</v>
      </c>
      <c r="O36" s="583">
        <f>SUMIFS(BANQUE!$E:$E,
              BANQUE!$F:$F,$A36,
              BANQUE!$G:$G,O$1)
-
SUMIFS(BANQUE!$D:$D,
              BANQUE!$F:$F,$A36,
              BANQUE!$G:$G,O$1)</f>
        <v>0</v>
      </c>
      <c r="P36" s="583">
        <f>SUMIFS(BANQUE!$E:$E,
              BANQUE!$F:$F,$A36,
              BANQUE!$G:$G,P$1)
-
SUMIFS(BANQUE!$D:$D,
              BANQUE!$F:$F,$A36,
              BANQUE!$G:$G,P$1)</f>
        <v>0</v>
      </c>
      <c r="Q36" s="583">
        <f>SUMIFS(BANQUE!$E:$E,
              BANQUE!$F:$F,$A36,
              BANQUE!$G:$G,Q$1)
-
SUMIFS(BANQUE!$D:$D,
              BANQUE!$F:$F,$A36,
              BANQUE!$G:$G,Q$1)</f>
        <v>0</v>
      </c>
      <c r="R36" s="583">
        <f>SUMIFS(BANQUE!$E:$E,
              BANQUE!$F:$F,$A36,
              BANQUE!$G:$G,R$1)
-
SUMIFS(BANQUE!$D:$D,
              BANQUE!$F:$F,$A36,
              BANQUE!$G:$G,R$1)</f>
        <v>0</v>
      </c>
      <c r="S36" s="583">
        <f>SUMIFS(BANQUE!$E:$E,
              BANQUE!$F:$F,$A36,
              BANQUE!$G:$G,S$1)
-
SUMIFS(BANQUE!$D:$D,
              BANQUE!$F:$F,$A36,
              BANQUE!$G:$G,S$1)</f>
        <v>0</v>
      </c>
      <c r="T36" s="583">
        <f>SUMIFS(BANQUE!$E:$E,
              BANQUE!$F:$F,$A36,
              BANQUE!$G:$G,T$1)
-
SUMIFS(BANQUE!$D:$D,
              BANQUE!$F:$F,$A36,
              BANQUE!$G:$G,T$1)</f>
        <v>0</v>
      </c>
      <c r="U36" s="586">
        <f t="shared" si="0"/>
        <v>4808.3</v>
      </c>
      <c r="V36" s="522">
        <f>'Prévisionnel 25-26'!E35</f>
        <v>4810</v>
      </c>
      <c r="W36" s="569">
        <f t="shared" si="2"/>
        <v>1.6999999999998181</v>
      </c>
    </row>
    <row r="37" spans="1:23" ht="20" customHeight="1">
      <c r="A37" s="575" t="s">
        <v>150</v>
      </c>
      <c r="B37" s="529" t="s">
        <v>573</v>
      </c>
      <c r="C37" s="521">
        <f>SUMIFS(BANQUE!$E:$E,
              BANQUE!$F:$F,$A37,
              BANQUE!$G:$G,C$1)
-
SUMIFS(BANQUE!$D:$D,
              BANQUE!$F:$F,$A37,
              BANQUE!$G:$G,C$1)</f>
        <v>2400</v>
      </c>
      <c r="D37" s="521">
        <f>SUMIFS(BANQUE!$E:$E,
              BANQUE!$F:$F,$A37,
              BANQUE!$G:$G,D$1)
-
SUMIFS(BANQUE!$D:$D,
              BANQUE!$F:$F,$A37,
              BANQUE!$G:$G,D$1)</f>
        <v>0</v>
      </c>
      <c r="E37" s="521">
        <f>SUMIFS(BANQUE!$E:$E,
              BANQUE!$F:$F,$A37,
              BANQUE!$G:$G,E$1)
-
SUMIFS(BANQUE!$D:$D,
              BANQUE!$F:$F,$A37,
              BANQUE!$G:$G,E$1)</f>
        <v>0</v>
      </c>
      <c r="F37" s="521">
        <f>SUMIFS(BANQUE!$E:$E,
              BANQUE!$F:$F,$A37,
              BANQUE!$G:$G,F$1)
-
SUMIFS(BANQUE!$D:$D,
              BANQUE!$F:$F,$A37,
              BANQUE!$G:$G,F$1)</f>
        <v>0</v>
      </c>
      <c r="G37" s="521">
        <f>SUMIFS(BANQUE!$E:$E,
              BANQUE!$F:$F,$A37,
              BANQUE!$G:$G,G$1)
-
SUMIFS(BANQUE!$D:$D,
              BANQUE!$F:$F,$A37,
              BANQUE!$G:$G,G$1)</f>
        <v>1400</v>
      </c>
      <c r="H37" s="521">
        <f>SUMIFS(BANQUE!$E:$E,
              BANQUE!$F:$F,$A37,
              BANQUE!$G:$G,H$1)
-
SUMIFS(BANQUE!$D:$D,
              BANQUE!$F:$F,$A37,
              BANQUE!$G:$G,H$1)</f>
        <v>0</v>
      </c>
      <c r="I37" s="521">
        <f>SUMIFS(BANQUE!$E:$E,
              BANQUE!$F:$F,$A37,
              BANQUE!$G:$G,I$1)
-
SUMIFS(BANQUE!$D:$D,
              BANQUE!$F:$F,$A37,
              BANQUE!$G:$G,I$1)</f>
        <v>3425</v>
      </c>
      <c r="J37" s="521">
        <f>SUMIFS(BANQUE!$E:$E,
              BANQUE!$F:$F,$A37,
              BANQUE!$G:$G,J$1)
-
SUMIFS(BANQUE!$D:$D,
              BANQUE!$F:$F,$A37,
              BANQUE!$G:$G,J$1)</f>
        <v>0</v>
      </c>
      <c r="K37" s="521">
        <f>SUMIFS(BANQUE!$E:$E,
              BANQUE!$F:$F,$A37,
              BANQUE!$G:$G,K$1)
-
SUMIFS(BANQUE!$D:$D,
              BANQUE!$F:$F,$A37,
              BANQUE!$G:$G,K$1)</f>
        <v>0</v>
      </c>
      <c r="L37" s="521">
        <f>SUMIFS(BANQUE!$E:$E,
              BANQUE!$F:$F,$A37,
              BANQUE!$G:$G,L$1)
-
SUMIFS(BANQUE!$D:$D,
              BANQUE!$F:$F,$A37,
              BANQUE!$G:$G,L$1)</f>
        <v>0</v>
      </c>
      <c r="M37" s="521">
        <f>SUMIFS(BANQUE!$E:$E,
              BANQUE!$F:$F,$A37,
              BANQUE!$G:$G,M$1)
-
SUMIFS(BANQUE!$D:$D,
              BANQUE!$F:$F,$A37,
              BANQUE!$G:$G,M$1)</f>
        <v>0</v>
      </c>
      <c r="N37" s="583">
        <f>SUMIFS(BANQUE!$E:$E,
              BANQUE!$F:$F,$A37,
              BANQUE!$G:$G,N$1)
-
SUMIFS(BANQUE!$D:$D,
              BANQUE!$F:$F,$A37,
              BANQUE!$G:$G,N$1)</f>
        <v>0</v>
      </c>
      <c r="O37" s="583">
        <f>SUMIFS(BANQUE!$E:$E,
              BANQUE!$F:$F,$A37,
              BANQUE!$G:$G,O$1)
-
SUMIFS(BANQUE!$D:$D,
              BANQUE!$F:$F,$A37,
              BANQUE!$G:$G,O$1)</f>
        <v>0</v>
      </c>
      <c r="P37" s="583">
        <f>SUMIFS(BANQUE!$E:$E,
              BANQUE!$F:$F,$A37,
              BANQUE!$G:$G,P$1)
-
SUMIFS(BANQUE!$D:$D,
              BANQUE!$F:$F,$A37,
              BANQUE!$G:$G,P$1)</f>
        <v>0</v>
      </c>
      <c r="Q37" s="583">
        <f>SUMIFS(BANQUE!$E:$E,
              BANQUE!$F:$F,$A37,
              BANQUE!$G:$G,Q$1)
-
SUMIFS(BANQUE!$D:$D,
              BANQUE!$F:$F,$A37,
              BANQUE!$G:$G,Q$1)</f>
        <v>0</v>
      </c>
      <c r="R37" s="583">
        <f>SUMIFS(BANQUE!$E:$E,
              BANQUE!$F:$F,$A37,
              BANQUE!$G:$G,R$1)
-
SUMIFS(BANQUE!$D:$D,
              BANQUE!$F:$F,$A37,
              BANQUE!$G:$G,R$1)</f>
        <v>0</v>
      </c>
      <c r="S37" s="583">
        <f>SUMIFS(BANQUE!$E:$E,
              BANQUE!$F:$F,$A37,
              BANQUE!$G:$G,S$1)
-
SUMIFS(BANQUE!$D:$D,
              BANQUE!$F:$F,$A37,
              BANQUE!$G:$G,S$1)</f>
        <v>0</v>
      </c>
      <c r="T37" s="583">
        <f>SUMIFS(BANQUE!$E:$E,
              BANQUE!$F:$F,$A37,
              BANQUE!$G:$G,T$1)
-
SUMIFS(BANQUE!$D:$D,
              BANQUE!$F:$F,$A37,
              BANQUE!$G:$G,T$1)</f>
        <v>0</v>
      </c>
      <c r="U37" s="586">
        <f t="shared" si="0"/>
        <v>7225</v>
      </c>
      <c r="V37" s="522">
        <f>'Prévisionnel 25-26'!E36</f>
        <v>10000</v>
      </c>
      <c r="W37" s="569">
        <f>V37-U37</f>
        <v>2775</v>
      </c>
    </row>
    <row r="38" spans="1:23" ht="20" customHeight="1">
      <c r="A38" s="576" t="s">
        <v>207</v>
      </c>
      <c r="B38" s="530" t="s">
        <v>555</v>
      </c>
      <c r="C38" s="521">
        <f>SUMIFS(BANQUE!$E:$E,
              BANQUE!$F:$F,$A38,
              BANQUE!$G:$G,C$1)
-
SUMIFS(BANQUE!$D:$D,
              BANQUE!$F:$F,$A38,
              BANQUE!$G:$G,C$1)</f>
        <v>119.79</v>
      </c>
      <c r="D38" s="521">
        <f>SUMIFS(BANQUE!$E:$E,
              BANQUE!$F:$F,$A38,
              BANQUE!$G:$G,D$1)
-
SUMIFS(BANQUE!$D:$D,
              BANQUE!$F:$F,$A38,
              BANQUE!$G:$G,D$1)</f>
        <v>1151.6499999999999</v>
      </c>
      <c r="E38" s="521">
        <f>SUMIFS(BANQUE!$E:$E,
              BANQUE!$F:$F,$A38,
              BANQUE!$G:$G,E$1)
-
SUMIFS(BANQUE!$D:$D,
              BANQUE!$F:$F,$A38,
              BANQUE!$G:$G,E$1)</f>
        <v>2649.4</v>
      </c>
      <c r="F38" s="521">
        <f>SUMIFS(BANQUE!$E:$E,
              BANQUE!$F:$F,$A38,
              BANQUE!$G:$G,F$1)
-
SUMIFS(BANQUE!$D:$D,
              BANQUE!$F:$F,$A38,
              BANQUE!$G:$G,F$1)</f>
        <v>600</v>
      </c>
      <c r="G38" s="521">
        <f>SUMIFS(BANQUE!$E:$E,
              BANQUE!$F:$F,$A38,
              BANQUE!$G:$G,G$1)
-
SUMIFS(BANQUE!$D:$D,
              BANQUE!$F:$F,$A38,
              BANQUE!$G:$G,G$1)</f>
        <v>700</v>
      </c>
      <c r="H38" s="521">
        <f>SUMIFS(BANQUE!$E:$E,
              BANQUE!$F:$F,$A38,
              BANQUE!$G:$G,H$1)
-
SUMIFS(BANQUE!$D:$D,
              BANQUE!$F:$F,$A38,
              BANQUE!$G:$G,H$1)</f>
        <v>650</v>
      </c>
      <c r="I38" s="521">
        <f>SUMIFS(BANQUE!$E:$E,
              BANQUE!$F:$F,$A38,
              BANQUE!$G:$G,I$1)
-
SUMIFS(BANQUE!$D:$D,
              BANQUE!$F:$F,$A38,
              BANQUE!$G:$G,I$1)</f>
        <v>650</v>
      </c>
      <c r="J38" s="521">
        <f>SUMIFS(BANQUE!$E:$E,
              BANQUE!$F:$F,$A38,
              BANQUE!$G:$G,J$1)
-
SUMIFS(BANQUE!$D:$D,
              BANQUE!$F:$F,$A38,
              BANQUE!$G:$G,J$1)</f>
        <v>650</v>
      </c>
      <c r="K38" s="521">
        <f>SUMIFS(BANQUE!$E:$E,
              BANQUE!$F:$F,$A38,
              BANQUE!$G:$G,K$1)
-
SUMIFS(BANQUE!$D:$D,
              BANQUE!$F:$F,$A38,
              BANQUE!$G:$G,K$1)</f>
        <v>0</v>
      </c>
      <c r="L38" s="521">
        <f>SUMIFS(BANQUE!$E:$E,
              BANQUE!$F:$F,$A38,
              BANQUE!$G:$G,L$1)
-
SUMIFS(BANQUE!$D:$D,
              BANQUE!$F:$F,$A38,
              BANQUE!$G:$G,L$1)</f>
        <v>0</v>
      </c>
      <c r="M38" s="521">
        <f>SUMIFS(BANQUE!$E:$E,
              BANQUE!$F:$F,$A38,
              BANQUE!$G:$G,M$1)
-
SUMIFS(BANQUE!$D:$D,
              BANQUE!$F:$F,$A38,
              BANQUE!$G:$G,M$1)</f>
        <v>0</v>
      </c>
      <c r="N38" s="583">
        <f>SUMIFS(BANQUE!$E:$E,
              BANQUE!$F:$F,$A38,
              BANQUE!$G:$G,N$1)
-
SUMIFS(BANQUE!$D:$D,
              BANQUE!$F:$F,$A38,
              BANQUE!$G:$G,N$1)</f>
        <v>0</v>
      </c>
      <c r="O38" s="583">
        <f>SUMIFS(BANQUE!$E:$E,
              BANQUE!$F:$F,$A38,
              BANQUE!$G:$G,O$1)
-
SUMIFS(BANQUE!$D:$D,
              BANQUE!$F:$F,$A38,
              BANQUE!$G:$G,O$1)</f>
        <v>0</v>
      </c>
      <c r="P38" s="583">
        <f>SUMIFS(BANQUE!$E:$E,
              BANQUE!$F:$F,$A38,
              BANQUE!$G:$G,P$1)
-
SUMIFS(BANQUE!$D:$D,
              BANQUE!$F:$F,$A38,
              BANQUE!$G:$G,P$1)</f>
        <v>0</v>
      </c>
      <c r="Q38" s="583">
        <f>SUMIFS(BANQUE!$E:$E,
              BANQUE!$F:$F,$A38,
              BANQUE!$G:$G,Q$1)
-
SUMIFS(BANQUE!$D:$D,
              BANQUE!$F:$F,$A38,
              BANQUE!$G:$G,Q$1)</f>
        <v>0</v>
      </c>
      <c r="R38" s="583">
        <f>SUMIFS(BANQUE!$E:$E,
              BANQUE!$F:$F,$A38,
              BANQUE!$G:$G,R$1)
-
SUMIFS(BANQUE!$D:$D,
              BANQUE!$F:$F,$A38,
              BANQUE!$G:$G,R$1)</f>
        <v>0</v>
      </c>
      <c r="S38" s="583">
        <f>SUMIFS(BANQUE!$E:$E,
              BANQUE!$F:$F,$A38,
              BANQUE!$G:$G,S$1)
-
SUMIFS(BANQUE!$D:$D,
              BANQUE!$F:$F,$A38,
              BANQUE!$G:$G,S$1)</f>
        <v>0</v>
      </c>
      <c r="T38" s="583">
        <f>SUMIFS(BANQUE!$E:$E,
              BANQUE!$F:$F,$A38,
              BANQUE!$G:$G,T$1)
-
SUMIFS(BANQUE!$D:$D,
              BANQUE!$F:$F,$A38,
              BANQUE!$G:$G,T$1)</f>
        <v>0</v>
      </c>
      <c r="U38" s="586">
        <f t="shared" si="0"/>
        <v>7170.84</v>
      </c>
      <c r="V38" s="522">
        <f>'Prévisionnel 25-26'!E37</f>
        <v>8400</v>
      </c>
      <c r="W38" s="569">
        <f t="shared" si="2"/>
        <v>1229.1599999999999</v>
      </c>
    </row>
    <row r="39" spans="1:23" ht="21" thickBot="1">
      <c r="A39" s="577" t="s">
        <v>152</v>
      </c>
      <c r="B39" s="578" t="s">
        <v>575</v>
      </c>
      <c r="C39" s="579">
        <f>SUMIFS(BANQUE!$E:$E,
              BANQUE!$F:$F,$A39,
              BANQUE!$G:$G,C$1)
-
SUMIFS(BANQUE!$D:$D,
              BANQUE!$F:$F,$A39,
              BANQUE!$G:$G,C$1)</f>
        <v>45.36</v>
      </c>
      <c r="D39" s="579">
        <f>SUMIFS(BANQUE!$E:$E,
              BANQUE!$F:$F,$A39,
              BANQUE!$G:$G,D$1)
-
SUMIFS(BANQUE!$D:$D,
              BANQUE!$F:$F,$A39,
              BANQUE!$G:$G,D$1)</f>
        <v>0</v>
      </c>
      <c r="E39" s="579">
        <f>SUMIFS(BANQUE!$E:$E,
              BANQUE!$F:$F,$A39,
              BANQUE!$G:$G,E$1)
-
SUMIFS(BANQUE!$D:$D,
              BANQUE!$F:$F,$A39,
              BANQUE!$G:$G,E$1)</f>
        <v>238.46</v>
      </c>
      <c r="F39" s="579">
        <f>SUMIFS(BANQUE!$E:$E,
              BANQUE!$F:$F,$A39,
              BANQUE!$G:$G,F$1)
-
SUMIFS(BANQUE!$D:$D,
              BANQUE!$F:$F,$A39,
              BANQUE!$G:$G,F$1)</f>
        <v>1669.8600000000001</v>
      </c>
      <c r="G39" s="579">
        <f>SUMIFS(BANQUE!$E:$E,
              BANQUE!$F:$F,$A39,
              BANQUE!$G:$G,G$1)
-
SUMIFS(BANQUE!$D:$D,
              BANQUE!$F:$F,$A39,
              BANQUE!$G:$G,G$1)</f>
        <v>50</v>
      </c>
      <c r="H39" s="579">
        <f>SUMIFS(BANQUE!$E:$E,
              BANQUE!$F:$F,$A39,
              BANQUE!$G:$G,H$1)
-
SUMIFS(BANQUE!$D:$D,
              BANQUE!$F:$F,$A39,
              BANQUE!$G:$G,H$1)</f>
        <v>0</v>
      </c>
      <c r="I39" s="579">
        <f>SUMIFS(BANQUE!$E:$E,
              BANQUE!$F:$F,$A39,
              BANQUE!$G:$G,I$1)
-
SUMIFS(BANQUE!$D:$D,
              BANQUE!$F:$F,$A39,
              BANQUE!$G:$G,I$1)</f>
        <v>77.2</v>
      </c>
      <c r="J39" s="579">
        <f>SUMIFS(BANQUE!$E:$E,
              BANQUE!$F:$F,$A39,
              BANQUE!$G:$G,J$1)
-
SUMIFS(BANQUE!$D:$D,
              BANQUE!$F:$F,$A39,
              BANQUE!$G:$G,J$1)</f>
        <v>0</v>
      </c>
      <c r="K39" s="579">
        <f>SUMIFS(BANQUE!$E:$E,
              BANQUE!$F:$F,$A39,
              BANQUE!$G:$G,K$1)
-
SUMIFS(BANQUE!$D:$D,
              BANQUE!$F:$F,$A39,
              BANQUE!$G:$G,K$1)</f>
        <v>0</v>
      </c>
      <c r="L39" s="579">
        <f>SUMIFS(BANQUE!$E:$E,
              BANQUE!$F:$F,$A39,
              BANQUE!$G:$G,L$1)
-
SUMIFS(BANQUE!$D:$D,
              BANQUE!$F:$F,$A39,
              BANQUE!$G:$G,L$1)</f>
        <v>0</v>
      </c>
      <c r="M39" s="579">
        <f>SUMIFS(BANQUE!$E:$E,
              BANQUE!$F:$F,$A39,
              BANQUE!$G:$G,M$1)
-
SUMIFS(BANQUE!$D:$D,
              BANQUE!$F:$F,$A39,
              BANQUE!$G:$G,M$1)</f>
        <v>0</v>
      </c>
      <c r="N39" s="584">
        <f>SUMIFS(BANQUE!$E:$E,
              BANQUE!$F:$F,$A39,
              BANQUE!$G:$G,N$1)
-
SUMIFS(BANQUE!$D:$D,
              BANQUE!$F:$F,$A39,
              BANQUE!$G:$G,N$1)</f>
        <v>0</v>
      </c>
      <c r="O39" s="584">
        <f>SUMIFS(BANQUE!$E:$E,
              BANQUE!$F:$F,$A39,
              BANQUE!$G:$G,O$1)
-
SUMIFS(BANQUE!$D:$D,
              BANQUE!$F:$F,$A39,
              BANQUE!$G:$G,O$1)</f>
        <v>0</v>
      </c>
      <c r="P39" s="584">
        <f>SUMIFS(BANQUE!$E:$E,
              BANQUE!$F:$F,$A39,
              BANQUE!$G:$G,P$1)
-
SUMIFS(BANQUE!$D:$D,
              BANQUE!$F:$F,$A39,
              BANQUE!$G:$G,P$1)</f>
        <v>0</v>
      </c>
      <c r="Q39" s="584">
        <f>SUMIFS(BANQUE!$E:$E,
              BANQUE!$F:$F,$A39,
              BANQUE!$G:$G,Q$1)
-
SUMIFS(BANQUE!$D:$D,
              BANQUE!$F:$F,$A39,
              BANQUE!$G:$G,Q$1)</f>
        <v>0</v>
      </c>
      <c r="R39" s="584">
        <f>SUMIFS(BANQUE!$E:$E,
              BANQUE!$F:$F,$A39,
              BANQUE!$G:$G,R$1)
-
SUMIFS(BANQUE!$D:$D,
              BANQUE!$F:$F,$A39,
              BANQUE!$G:$G,R$1)</f>
        <v>0</v>
      </c>
      <c r="S39" s="584">
        <f>SUMIFS(BANQUE!$E:$E,
              BANQUE!$F:$F,$A39,
              BANQUE!$G:$G,S$1)
-
SUMIFS(BANQUE!$D:$D,
              BANQUE!$F:$F,$A39,
              BANQUE!$G:$G,S$1)</f>
        <v>0</v>
      </c>
      <c r="T39" s="584">
        <f>SUMIFS(BANQUE!$E:$E,
              BANQUE!$F:$F,$A39,
              BANQUE!$G:$G,T$1)
-
SUMIFS(BANQUE!$D:$D,
              BANQUE!$F:$F,$A39,
              BANQUE!$G:$G,T$1)</f>
        <v>0</v>
      </c>
      <c r="U39" s="587">
        <f t="shared" si="0"/>
        <v>2080.88</v>
      </c>
      <c r="V39" s="580">
        <f>'Prévisionnel 25-26'!E38</f>
        <v>2400</v>
      </c>
      <c r="W39" s="581">
        <f t="shared" ref="W39" si="7">V39-U39</f>
        <v>319.11999999999989</v>
      </c>
    </row>
    <row r="40" spans="1:23">
      <c r="A40" s="506"/>
      <c r="G40" s="509"/>
    </row>
    <row r="41" spans="1:23" ht="21" thickBot="1">
      <c r="A41" s="506"/>
      <c r="C41" s="509"/>
      <c r="G41" s="509"/>
    </row>
    <row r="42" spans="1:23" ht="21" thickBot="1">
      <c r="A42" s="506"/>
      <c r="B42" s="548" t="s">
        <v>566</v>
      </c>
      <c r="C42" s="549">
        <f t="shared" ref="C42:N42" si="8">SUM(C2:C39)</f>
        <v>29827.210000000003</v>
      </c>
      <c r="D42" s="549">
        <f t="shared" si="8"/>
        <v>15515.820000000002</v>
      </c>
      <c r="E42" s="549">
        <f t="shared" si="8"/>
        <v>15917.289999999999</v>
      </c>
      <c r="F42" s="549">
        <f t="shared" si="8"/>
        <v>24559.410000000003</v>
      </c>
      <c r="G42" s="549">
        <f t="shared" si="8"/>
        <v>8401.2199999999993</v>
      </c>
      <c r="H42" s="549">
        <f t="shared" si="8"/>
        <v>12735.07</v>
      </c>
      <c r="I42" s="549">
        <f t="shared" si="8"/>
        <v>18283.34</v>
      </c>
      <c r="J42" s="549">
        <f t="shared" si="8"/>
        <v>5344.48</v>
      </c>
      <c r="K42" s="549">
        <f t="shared" si="8"/>
        <v>0</v>
      </c>
      <c r="L42" s="549">
        <f t="shared" si="8"/>
        <v>0</v>
      </c>
      <c r="M42" s="549">
        <f t="shared" si="8"/>
        <v>0</v>
      </c>
      <c r="N42" s="550">
        <f t="shared" si="8"/>
        <v>0</v>
      </c>
      <c r="O42" s="550">
        <f t="shared" ref="O42:P42" si="9">SUM(O2:O39)</f>
        <v>0</v>
      </c>
      <c r="P42" s="550">
        <f t="shared" si="9"/>
        <v>0</v>
      </c>
      <c r="Q42" s="550">
        <f t="shared" ref="Q42:T42" si="10">SUM(Q2:Q39)</f>
        <v>0</v>
      </c>
      <c r="R42" s="550">
        <f t="shared" si="10"/>
        <v>0</v>
      </c>
      <c r="S42" s="550">
        <f t="shared" si="10"/>
        <v>0</v>
      </c>
      <c r="T42" s="550">
        <f t="shared" si="10"/>
        <v>0</v>
      </c>
      <c r="U42" s="507">
        <f>SUM(U4:U39)-U35</f>
        <v>68344.650000000009</v>
      </c>
      <c r="V42" s="507">
        <f>SUM(V4:V39)-V35</f>
        <v>116850.386</v>
      </c>
      <c r="W42" s="507">
        <f>SUM(W4:W39)-W35</f>
        <v>48505.735999999997</v>
      </c>
    </row>
    <row r="43" spans="1:23" ht="21" thickBot="1">
      <c r="A43" s="506"/>
      <c r="B43" s="551" t="s">
        <v>567</v>
      </c>
      <c r="C43" s="552">
        <f>SUMIFS(BANQUE!$E:$E,BANQUE!$G:$G,C$1)
-
SUMIFS(BANQUE!$D:$D,BANQUE!$G:$G,C$1)</f>
        <v>29827.210000000003</v>
      </c>
      <c r="D43" s="552">
        <f>SUMIFS(BANQUE!$E:$E,BANQUE!$G:$G,D$1)
-
SUMIFS(BANQUE!$D:$D,BANQUE!$G:$G,D$1)</f>
        <v>15515.82</v>
      </c>
      <c r="E43" s="552">
        <f>SUMIFS(BANQUE!$E:$E,BANQUE!$G:$G,E$1)
-
SUMIFS(BANQUE!$D:$D,BANQUE!$G:$G,E$1)</f>
        <v>15917.289999999999</v>
      </c>
      <c r="F43" s="552">
        <f>SUMIFS(BANQUE!$E:$E,BANQUE!$G:$G,F$1)
-
SUMIFS(BANQUE!$D:$D,BANQUE!$G:$G,F$1)</f>
        <v>24559.410000000003</v>
      </c>
      <c r="G43" s="552">
        <f>SUMIFS(BANQUE!$E:$E,BANQUE!$G:$G,G$1)
-
SUMIFS(BANQUE!$D:$D,BANQUE!$G:$G,G$1)</f>
        <v>8401.2199999999993</v>
      </c>
      <c r="H43" s="552">
        <f>SUMIFS(BANQUE!$E:$E,BANQUE!$G:$G,H$1)
-
SUMIFS(BANQUE!$D:$D,BANQUE!$G:$G,H$1)</f>
        <v>12735.069999999998</v>
      </c>
      <c r="I43" s="552">
        <f>SUMIFS(BANQUE!$E:$E,BANQUE!$G:$G,I$1)
-
SUMIFS(BANQUE!$D:$D,BANQUE!$G:$G,I$1)</f>
        <v>18283.34</v>
      </c>
      <c r="J43" s="552">
        <f>SUMIFS(BANQUE!$E:$E,BANQUE!$G:$G,J$1)
-
SUMIFS(BANQUE!$D:$D,BANQUE!$G:$G,J$1)</f>
        <v>5344.48</v>
      </c>
      <c r="K43" s="552">
        <f>SUMIFS(BANQUE!$E:$E,BANQUE!$G:$G,K$1)
-
SUMIFS(BANQUE!$D:$D,BANQUE!$G:$G,K$1)</f>
        <v>0</v>
      </c>
      <c r="L43" s="552">
        <f>SUMIFS(BANQUE!$E:$E,BANQUE!$G:$G,L$1)
-
SUMIFS(BANQUE!$D:$D,BANQUE!$G:$G,L$1)</f>
        <v>0</v>
      </c>
      <c r="M43" s="552">
        <f>SUMIFS(BANQUE!$E:$E,BANQUE!$G:$G,M$1)
-
SUMIFS(BANQUE!$D:$D,BANQUE!$G:$G,M$1)</f>
        <v>0</v>
      </c>
      <c r="N43" s="553">
        <f>SUMIFS(BANQUE!$E:$E,BANQUE!$G:$G,N$1)
-
SUMIFS(BANQUE!$D:$D,BANQUE!$G:$G,N$1)</f>
        <v>0</v>
      </c>
      <c r="O43" s="553">
        <f>SUMIFS(BANQUE!$E:$E,BANQUE!$G:$G,O$1)
-
SUMIFS(BANQUE!$D:$D,BANQUE!$G:$G,O$1)</f>
        <v>0</v>
      </c>
      <c r="P43" s="553">
        <f>SUMIFS(BANQUE!$E:$E,BANQUE!$G:$G,P$1)
-
SUMIFS(BANQUE!$D:$D,BANQUE!$G:$G,P$1)</f>
        <v>0</v>
      </c>
      <c r="Q43" s="553">
        <f>SUMIFS(BANQUE!$E:$E,BANQUE!$G:$G,Q$1)
-
SUMIFS(BANQUE!$D:$D,BANQUE!$G:$G,Q$1)</f>
        <v>0</v>
      </c>
      <c r="R43" s="553">
        <f>SUMIFS(BANQUE!$E:$E,BANQUE!$G:$G,R$1)
-
SUMIFS(BANQUE!$D:$D,BANQUE!$G:$G,R$1)</f>
        <v>0</v>
      </c>
      <c r="S43" s="553">
        <f>SUMIFS(BANQUE!$E:$E,BANQUE!$G:$G,S$1)
-
SUMIFS(BANQUE!$D:$D,BANQUE!$G:$G,S$1)</f>
        <v>0</v>
      </c>
      <c r="T43" s="553">
        <f>SUMIFS(BANQUE!$E:$E,BANQUE!$G:$G,T$1)
-
SUMIFS(BANQUE!$D:$D,BANQUE!$G:$G,T$1)</f>
        <v>0</v>
      </c>
      <c r="U43" s="509">
        <f>SUM(U2:U3)</f>
        <v>47059.75</v>
      </c>
      <c r="V43" s="509">
        <f>SUM(V2:V3)</f>
        <v>109561.65266666669</v>
      </c>
      <c r="W43" s="588">
        <f>SUM(W2:W3)</f>
        <v>62501.90266666669</v>
      </c>
    </row>
    <row r="44" spans="1:23">
      <c r="A44" s="506"/>
      <c r="C44" s="509"/>
      <c r="G44" s="509"/>
      <c r="U44" s="102"/>
      <c r="V44" s="102"/>
    </row>
    <row r="45" spans="1:23">
      <c r="A45" s="506"/>
      <c r="B45" s="554" t="s">
        <v>137</v>
      </c>
      <c r="C45" s="555">
        <f>C43-C42</f>
        <v>0</v>
      </c>
      <c r="D45" s="555">
        <f t="shared" ref="D45:N45" si="11">D43-D42</f>
        <v>0</v>
      </c>
      <c r="E45" s="555">
        <f t="shared" si="11"/>
        <v>0</v>
      </c>
      <c r="F45" s="555">
        <f t="shared" si="11"/>
        <v>0</v>
      </c>
      <c r="G45" s="555">
        <f t="shared" si="11"/>
        <v>0</v>
      </c>
      <c r="H45" s="555">
        <f t="shared" si="11"/>
        <v>0</v>
      </c>
      <c r="I45" s="555">
        <f t="shared" si="11"/>
        <v>0</v>
      </c>
      <c r="J45" s="555">
        <f t="shared" si="11"/>
        <v>0</v>
      </c>
      <c r="K45" s="555">
        <f t="shared" si="11"/>
        <v>0</v>
      </c>
      <c r="L45" s="555">
        <f t="shared" si="11"/>
        <v>0</v>
      </c>
      <c r="M45" s="555">
        <f t="shared" si="11"/>
        <v>0</v>
      </c>
      <c r="N45" s="555">
        <f t="shared" si="11"/>
        <v>0</v>
      </c>
      <c r="O45" s="555">
        <f t="shared" ref="O45:P45" si="12">O43-O42</f>
        <v>0</v>
      </c>
      <c r="P45" s="555">
        <f t="shared" si="12"/>
        <v>0</v>
      </c>
      <c r="Q45" s="555">
        <f t="shared" ref="Q45:T45" si="13">Q43-Q42</f>
        <v>0</v>
      </c>
      <c r="R45" s="555">
        <f t="shared" si="13"/>
        <v>0</v>
      </c>
      <c r="S45" s="555">
        <f t="shared" si="13"/>
        <v>0</v>
      </c>
      <c r="T45" s="555">
        <f t="shared" si="13"/>
        <v>0</v>
      </c>
      <c r="U45" s="555">
        <f>U43-U42</f>
        <v>-21284.900000000009</v>
      </c>
      <c r="V45" s="555">
        <f t="shared" ref="V45:W45" si="14">V43-V42</f>
        <v>-7288.7333333333081</v>
      </c>
      <c r="W45" s="555">
        <f t="shared" si="14"/>
        <v>13996.166666666693</v>
      </c>
    </row>
    <row r="46" spans="1:23">
      <c r="A46" s="506"/>
      <c r="C46" s="509"/>
      <c r="G46" s="509"/>
      <c r="N46" s="511"/>
      <c r="O46" s="511"/>
      <c r="P46" s="511"/>
      <c r="Q46" s="511"/>
      <c r="R46" s="511"/>
      <c r="S46" s="511"/>
      <c r="T46" s="511"/>
    </row>
    <row r="47" spans="1:23">
      <c r="A47" s="506"/>
      <c r="C47" s="509"/>
      <c r="N47" s="511"/>
      <c r="O47" s="511"/>
      <c r="P47" s="511"/>
      <c r="Q47" s="511"/>
      <c r="R47" s="511"/>
      <c r="S47" s="511"/>
      <c r="T47" s="511"/>
    </row>
    <row r="48" spans="1:23">
      <c r="A48" s="506"/>
      <c r="N48" s="511"/>
      <c r="O48" s="511"/>
      <c r="P48" s="511"/>
      <c r="Q48" s="511"/>
      <c r="R48" s="511"/>
      <c r="S48" s="511"/>
      <c r="T48" s="511"/>
    </row>
    <row r="49" spans="1:20">
      <c r="A49" s="506"/>
      <c r="C49" s="512"/>
      <c r="N49" s="511"/>
      <c r="O49" s="511"/>
      <c r="P49" s="511"/>
      <c r="Q49" s="511"/>
      <c r="R49" s="511"/>
      <c r="S49" s="511"/>
      <c r="T49" s="511"/>
    </row>
    <row r="50" spans="1:20">
      <c r="A50" s="506"/>
      <c r="N50" s="511"/>
      <c r="O50" s="511"/>
      <c r="P50" s="511"/>
      <c r="Q50" s="511"/>
      <c r="R50" s="511"/>
      <c r="S50" s="511"/>
      <c r="T50" s="511"/>
    </row>
    <row r="51" spans="1:20">
      <c r="A51" s="506"/>
      <c r="N51" s="511"/>
      <c r="O51" s="511"/>
      <c r="P51" s="511"/>
      <c r="Q51" s="511"/>
      <c r="R51" s="511"/>
      <c r="S51" s="511"/>
      <c r="T51" s="511"/>
    </row>
    <row r="52" spans="1:20">
      <c r="A52" s="506"/>
      <c r="N52" s="511"/>
      <c r="O52" s="511"/>
      <c r="P52" s="511"/>
      <c r="Q52" s="511"/>
      <c r="R52" s="511"/>
      <c r="S52" s="511"/>
      <c r="T52" s="511"/>
    </row>
    <row r="53" spans="1:20">
      <c r="A53" s="506"/>
      <c r="N53" s="511"/>
      <c r="O53" s="511"/>
      <c r="P53" s="511"/>
      <c r="Q53" s="511"/>
      <c r="R53" s="511"/>
      <c r="S53" s="511"/>
      <c r="T53" s="511"/>
    </row>
    <row r="54" spans="1:20">
      <c r="A54" s="506"/>
      <c r="D54" s="507"/>
      <c r="N54" s="511"/>
      <c r="O54" s="511"/>
      <c r="P54" s="511"/>
      <c r="Q54" s="511"/>
      <c r="R54" s="511"/>
      <c r="S54" s="511"/>
      <c r="T54" s="511"/>
    </row>
    <row r="55" spans="1:20">
      <c r="A55" s="506"/>
      <c r="C55" s="507"/>
      <c r="N55" s="511"/>
      <c r="O55" s="511"/>
      <c r="P55" s="511"/>
      <c r="Q55" s="511"/>
      <c r="R55" s="511"/>
      <c r="S55" s="511"/>
      <c r="T55" s="511"/>
    </row>
    <row r="56" spans="1:20">
      <c r="A56" s="506"/>
      <c r="N56" s="511"/>
      <c r="O56" s="511"/>
      <c r="P56" s="511"/>
      <c r="Q56" s="511"/>
      <c r="R56" s="511"/>
      <c r="S56" s="511"/>
      <c r="T56" s="511"/>
    </row>
    <row r="57" spans="1:20">
      <c r="A57" s="506"/>
    </row>
    <row r="58" spans="1:20">
      <c r="A58" s="506"/>
    </row>
    <row r="59" spans="1:20">
      <c r="A59" s="506"/>
    </row>
    <row r="60" spans="1:20">
      <c r="A60" s="506"/>
    </row>
    <row r="61" spans="1:20">
      <c r="A61" s="506"/>
    </row>
    <row r="62" spans="1:20">
      <c r="A62" s="506"/>
    </row>
    <row r="63" spans="1:20">
      <c r="A63" s="506"/>
    </row>
    <row r="64" spans="1:20">
      <c r="A64" s="506"/>
    </row>
    <row r="65" spans="1:1">
      <c r="A65" s="506"/>
    </row>
    <row r="66" spans="1:1">
      <c r="A66" s="506"/>
    </row>
    <row r="67" spans="1:1">
      <c r="A67" s="506"/>
    </row>
  </sheetData>
  <conditionalFormatting sqref="W2:W39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5CBAB-EBF5-4BA2-AABA-190D8272A400}">
  <sheetPr codeName="Feuil4" filterMode="1">
    <tabColor rgb="FF92D050"/>
  </sheetPr>
  <dimension ref="A1:J342"/>
  <sheetViews>
    <sheetView zoomScale="120" zoomScaleNormal="120" workbookViewId="0">
      <pane ySplit="1" topLeftCell="A224" activePane="bottomLeft" state="frozen"/>
      <selection pane="bottomLeft" activeCell="C259" sqref="C259"/>
    </sheetView>
  </sheetViews>
  <sheetFormatPr baseColWidth="10" defaultColWidth="11.5703125" defaultRowHeight="16" outlineLevelRow="1"/>
  <cols>
    <col min="1" max="1" width="11.5703125" style="437"/>
    <col min="2" max="2" width="14.28515625" style="437" bestFit="1" customWidth="1"/>
    <col min="3" max="3" width="119" style="373" customWidth="1"/>
    <col min="4" max="4" width="12.140625" style="538" customWidth="1"/>
    <col min="5" max="5" width="16" style="538" customWidth="1"/>
    <col min="6" max="6" width="13.140625" style="395" bestFit="1" customWidth="1"/>
    <col min="7" max="7" width="6.140625" style="373" bestFit="1" customWidth="1"/>
    <col min="8" max="8" width="13.140625" style="374" bestFit="1" customWidth="1"/>
    <col min="9" max="9" width="26.7109375" style="373" customWidth="1"/>
    <col min="10" max="16384" width="11.5703125" style="373"/>
  </cols>
  <sheetData>
    <row r="1" spans="1:9" ht="17">
      <c r="A1" s="436" t="s">
        <v>129</v>
      </c>
      <c r="B1" s="436" t="s">
        <v>130</v>
      </c>
      <c r="C1" s="371" t="s">
        <v>133</v>
      </c>
      <c r="D1" s="531" t="s">
        <v>131</v>
      </c>
      <c r="E1" s="531" t="s">
        <v>132</v>
      </c>
      <c r="F1" s="372" t="s">
        <v>134</v>
      </c>
      <c r="G1" s="372" t="s">
        <v>565</v>
      </c>
    </row>
    <row r="2" spans="1:9" s="378" customFormat="1" ht="17" hidden="1" outlineLevel="1">
      <c r="A2" s="375">
        <v>45839</v>
      </c>
      <c r="B2" s="375">
        <v>45839</v>
      </c>
      <c r="C2" s="376" t="s">
        <v>336</v>
      </c>
      <c r="D2" s="435">
        <v>-1650</v>
      </c>
      <c r="E2" s="433"/>
      <c r="F2" s="377" t="s">
        <v>141</v>
      </c>
      <c r="G2" s="377" t="str">
        <f>TEXT(B2,"aaaamm")</f>
        <v>202507</v>
      </c>
      <c r="H2" s="415"/>
      <c r="I2" s="432"/>
    </row>
    <row r="3" spans="1:9" s="378" customFormat="1" ht="17" hidden="1" outlineLevel="1">
      <c r="A3" s="375">
        <v>45838</v>
      </c>
      <c r="B3" s="375">
        <v>45839</v>
      </c>
      <c r="C3" s="376" t="s">
        <v>335</v>
      </c>
      <c r="D3" s="435">
        <v>-25.5</v>
      </c>
      <c r="E3" s="433"/>
      <c r="F3" s="377" t="s">
        <v>148</v>
      </c>
      <c r="G3" s="377" t="str">
        <f>TEXT(B3,"aaaamm")</f>
        <v>202507</v>
      </c>
      <c r="H3" s="415"/>
      <c r="I3" s="432"/>
    </row>
    <row r="4" spans="1:9" s="378" customFormat="1" ht="17" hidden="1" outlineLevel="1">
      <c r="A4" s="375">
        <v>45839</v>
      </c>
      <c r="B4" s="375">
        <v>45839</v>
      </c>
      <c r="C4" s="376" t="s">
        <v>337</v>
      </c>
      <c r="D4" s="435">
        <v>-550</v>
      </c>
      <c r="E4" s="433"/>
      <c r="F4" s="377" t="s">
        <v>141</v>
      </c>
      <c r="G4" s="377" t="str">
        <f t="shared" ref="G4:G66" si="0">TEXT(B4,"aaaamm")</f>
        <v>202507</v>
      </c>
      <c r="H4" s="415"/>
      <c r="I4" s="432"/>
    </row>
    <row r="5" spans="1:9" s="378" customFormat="1" ht="17" hidden="1" outlineLevel="1">
      <c r="A5" s="375">
        <v>45840</v>
      </c>
      <c r="B5" s="375">
        <v>45840</v>
      </c>
      <c r="C5" s="376" t="s">
        <v>338</v>
      </c>
      <c r="D5" s="435"/>
      <c r="E5" s="433">
        <v>7980</v>
      </c>
      <c r="F5" s="377" t="s">
        <v>139</v>
      </c>
      <c r="G5" s="377" t="str">
        <f t="shared" si="0"/>
        <v>202507</v>
      </c>
      <c r="H5" s="415"/>
      <c r="I5" s="432"/>
    </row>
    <row r="6" spans="1:9" s="378" customFormat="1" ht="17" hidden="1" outlineLevel="1">
      <c r="A6" s="375">
        <v>45840</v>
      </c>
      <c r="B6" s="375">
        <v>45840</v>
      </c>
      <c r="C6" s="376" t="s">
        <v>339</v>
      </c>
      <c r="D6" s="435">
        <v>-1065</v>
      </c>
      <c r="E6" s="433"/>
      <c r="F6" s="377" t="s">
        <v>138</v>
      </c>
      <c r="G6" s="377" t="str">
        <f t="shared" si="0"/>
        <v>202507</v>
      </c>
      <c r="H6" s="415"/>
      <c r="I6" s="432"/>
    </row>
    <row r="7" spans="1:9" s="378" customFormat="1" ht="17" hidden="1" outlineLevel="1">
      <c r="A7" s="375">
        <v>45840</v>
      </c>
      <c r="B7" s="375">
        <v>45840</v>
      </c>
      <c r="C7" s="376" t="s">
        <v>340</v>
      </c>
      <c r="D7" s="435">
        <v>-2400</v>
      </c>
      <c r="E7" s="433"/>
      <c r="F7" s="377" t="s">
        <v>150</v>
      </c>
      <c r="G7" s="377" t="str">
        <f t="shared" si="0"/>
        <v>202507</v>
      </c>
      <c r="H7" s="415"/>
      <c r="I7" s="432"/>
    </row>
    <row r="8" spans="1:9" s="378" customFormat="1" ht="17" hidden="1" outlineLevel="1">
      <c r="A8" s="375">
        <v>45840</v>
      </c>
      <c r="B8" s="375">
        <v>45840</v>
      </c>
      <c r="C8" s="376" t="s">
        <v>341</v>
      </c>
      <c r="D8" s="435">
        <v>-60</v>
      </c>
      <c r="E8" s="433"/>
      <c r="F8" s="377" t="s">
        <v>166</v>
      </c>
      <c r="G8" s="377" t="str">
        <f t="shared" si="0"/>
        <v>202507</v>
      </c>
      <c r="H8" s="415"/>
      <c r="I8" s="432"/>
    </row>
    <row r="9" spans="1:9" s="378" customFormat="1" ht="17" hidden="1" outlineLevel="1">
      <c r="A9" s="375">
        <v>45840</v>
      </c>
      <c r="B9" s="375">
        <v>45840</v>
      </c>
      <c r="C9" s="380" t="s">
        <v>342</v>
      </c>
      <c r="D9" s="435">
        <v>-68</v>
      </c>
      <c r="E9" s="433"/>
      <c r="F9" s="377" t="s">
        <v>148</v>
      </c>
      <c r="G9" s="377" t="str">
        <f t="shared" si="0"/>
        <v>202507</v>
      </c>
      <c r="H9" s="415"/>
      <c r="I9" s="432"/>
    </row>
    <row r="10" spans="1:9" s="378" customFormat="1" ht="17" hidden="1" outlineLevel="1">
      <c r="A10" s="375">
        <v>45841</v>
      </c>
      <c r="B10" s="375">
        <v>45841</v>
      </c>
      <c r="C10" s="376" t="s">
        <v>344</v>
      </c>
      <c r="D10" s="435">
        <v>-196.5</v>
      </c>
      <c r="E10" s="433"/>
      <c r="F10" s="377" t="s">
        <v>146</v>
      </c>
      <c r="G10" s="377" t="str">
        <f t="shared" si="0"/>
        <v>202507</v>
      </c>
      <c r="H10" s="415"/>
      <c r="I10" s="432"/>
    </row>
    <row r="11" spans="1:9" s="378" customFormat="1" ht="17" hidden="1" outlineLevel="1">
      <c r="A11" s="375">
        <v>45842</v>
      </c>
      <c r="B11" s="375">
        <v>45842</v>
      </c>
      <c r="C11" s="380" t="s">
        <v>343</v>
      </c>
      <c r="D11" s="435">
        <v>-2500</v>
      </c>
      <c r="E11" s="433"/>
      <c r="F11" s="377" t="s">
        <v>29</v>
      </c>
      <c r="G11" s="377" t="str">
        <f t="shared" si="0"/>
        <v>202507</v>
      </c>
      <c r="H11" s="415"/>
      <c r="I11" s="432"/>
    </row>
    <row r="12" spans="1:9" s="378" customFormat="1" ht="17" hidden="1" outlineLevel="1">
      <c r="A12" s="375">
        <v>45845</v>
      </c>
      <c r="B12" s="375">
        <v>45845</v>
      </c>
      <c r="C12" s="376" t="s">
        <v>345</v>
      </c>
      <c r="D12" s="435">
        <v>-1526</v>
      </c>
      <c r="E12" s="433"/>
      <c r="F12" s="377" t="s">
        <v>142</v>
      </c>
      <c r="G12" s="377" t="str">
        <f t="shared" si="0"/>
        <v>202507</v>
      </c>
      <c r="H12" s="415"/>
      <c r="I12" s="432"/>
    </row>
    <row r="13" spans="1:9" s="378" customFormat="1" ht="17" hidden="1" outlineLevel="1">
      <c r="A13" s="375">
        <v>45845</v>
      </c>
      <c r="B13" s="375">
        <v>45845</v>
      </c>
      <c r="C13" s="376" t="s">
        <v>346</v>
      </c>
      <c r="D13" s="435">
        <v>-71.28</v>
      </c>
      <c r="E13" s="433"/>
      <c r="F13" s="377" t="s">
        <v>144</v>
      </c>
      <c r="G13" s="377" t="str">
        <f t="shared" si="0"/>
        <v>202507</v>
      </c>
      <c r="H13" s="415"/>
      <c r="I13" s="432"/>
    </row>
    <row r="14" spans="1:9" s="378" customFormat="1" ht="17" hidden="1" outlineLevel="1">
      <c r="A14" s="375">
        <v>45845</v>
      </c>
      <c r="B14" s="375">
        <v>45845</v>
      </c>
      <c r="C14" s="376" t="s">
        <v>347</v>
      </c>
      <c r="D14" s="435"/>
      <c r="E14" s="433">
        <v>550</v>
      </c>
      <c r="F14" s="377" t="s">
        <v>139</v>
      </c>
      <c r="G14" s="377" t="str">
        <f t="shared" si="0"/>
        <v>202507</v>
      </c>
      <c r="H14" s="415"/>
      <c r="I14" s="432"/>
    </row>
    <row r="15" spans="1:9" s="378" customFormat="1" ht="17" hidden="1" outlineLevel="1">
      <c r="A15" s="375">
        <v>45845</v>
      </c>
      <c r="B15" s="375">
        <v>45845</v>
      </c>
      <c r="C15" s="376" t="s">
        <v>348</v>
      </c>
      <c r="D15" s="435">
        <v>-3.1</v>
      </c>
      <c r="E15" s="433"/>
      <c r="F15" s="377" t="s">
        <v>444</v>
      </c>
      <c r="G15" s="377" t="str">
        <f t="shared" si="0"/>
        <v>202507</v>
      </c>
      <c r="H15" s="415"/>
      <c r="I15" s="432"/>
    </row>
    <row r="16" spans="1:9" s="378" customFormat="1" ht="17" hidden="1" outlineLevel="1">
      <c r="A16" s="375">
        <v>45845</v>
      </c>
      <c r="B16" s="375">
        <v>45845</v>
      </c>
      <c r="C16" s="376" t="s">
        <v>349</v>
      </c>
      <c r="D16" s="435">
        <v>-45</v>
      </c>
      <c r="E16" s="433"/>
      <c r="F16" s="377" t="s">
        <v>158</v>
      </c>
      <c r="G16" s="377" t="str">
        <f t="shared" si="0"/>
        <v>202507</v>
      </c>
      <c r="H16" s="415"/>
      <c r="I16" s="432"/>
    </row>
    <row r="17" spans="1:10" s="378" customFormat="1" ht="17" hidden="1" outlineLevel="1">
      <c r="A17" s="375">
        <v>45846</v>
      </c>
      <c r="B17" s="375">
        <v>45846</v>
      </c>
      <c r="C17" s="376" t="s">
        <v>350</v>
      </c>
      <c r="D17" s="435">
        <v>-15.7</v>
      </c>
      <c r="E17" s="433"/>
      <c r="F17" s="377" t="s">
        <v>444</v>
      </c>
      <c r="G17" s="377" t="str">
        <f t="shared" si="0"/>
        <v>202507</v>
      </c>
      <c r="H17" s="415"/>
      <c r="I17" s="432"/>
    </row>
    <row r="18" spans="1:10" s="378" customFormat="1" ht="17" hidden="1" outlineLevel="1">
      <c r="A18" s="375">
        <v>45848</v>
      </c>
      <c r="B18" s="375">
        <v>45839</v>
      </c>
      <c r="C18" s="380" t="s">
        <v>351</v>
      </c>
      <c r="D18" s="532">
        <v>-46.15</v>
      </c>
      <c r="E18" s="533"/>
      <c r="F18" s="377" t="s">
        <v>167</v>
      </c>
      <c r="G18" s="377" t="str">
        <f t="shared" si="0"/>
        <v>202507</v>
      </c>
      <c r="H18" s="415"/>
      <c r="I18" s="432"/>
    </row>
    <row r="19" spans="1:10" s="378" customFormat="1" ht="17" hidden="1" outlineLevel="1">
      <c r="A19" s="375">
        <v>45848</v>
      </c>
      <c r="B19" s="375">
        <v>45848</v>
      </c>
      <c r="C19" s="376" t="s">
        <v>352</v>
      </c>
      <c r="D19" s="435">
        <v>-24.27</v>
      </c>
      <c r="E19" s="433"/>
      <c r="F19" s="377" t="s">
        <v>147</v>
      </c>
      <c r="G19" s="377" t="str">
        <f t="shared" si="0"/>
        <v>202507</v>
      </c>
      <c r="H19" s="415"/>
      <c r="I19" s="432"/>
    </row>
    <row r="20" spans="1:10" s="378" customFormat="1" ht="17" hidden="1" outlineLevel="1">
      <c r="A20" s="375">
        <v>45848</v>
      </c>
      <c r="B20" s="375">
        <v>45848</v>
      </c>
      <c r="C20" s="376" t="s">
        <v>353</v>
      </c>
      <c r="D20" s="435">
        <v>-787.38</v>
      </c>
      <c r="E20" s="433"/>
      <c r="F20" s="377" t="s">
        <v>145</v>
      </c>
      <c r="G20" s="377" t="str">
        <f t="shared" si="0"/>
        <v>202507</v>
      </c>
      <c r="H20" s="415"/>
      <c r="I20" s="432"/>
    </row>
    <row r="21" spans="1:10" s="378" customFormat="1" ht="17" hidden="1" outlineLevel="1">
      <c r="A21" s="375">
        <v>45849</v>
      </c>
      <c r="B21" s="375">
        <v>45849</v>
      </c>
      <c r="C21" s="376" t="s">
        <v>354</v>
      </c>
      <c r="D21" s="435">
        <v>-45.36</v>
      </c>
      <c r="E21" s="433"/>
      <c r="F21" s="377" t="s">
        <v>152</v>
      </c>
      <c r="G21" s="377" t="str">
        <f t="shared" si="0"/>
        <v>202507</v>
      </c>
      <c r="H21" s="415"/>
      <c r="I21" s="432"/>
    </row>
    <row r="22" spans="1:10" s="378" customFormat="1" ht="17" hidden="1" outlineLevel="1">
      <c r="A22" s="375">
        <v>45853</v>
      </c>
      <c r="B22" s="375">
        <v>45853</v>
      </c>
      <c r="C22" s="376" t="s">
        <v>355</v>
      </c>
      <c r="D22" s="435">
        <v>-483</v>
      </c>
      <c r="E22" s="433"/>
      <c r="F22" s="377" t="s">
        <v>21</v>
      </c>
      <c r="G22" s="377" t="str">
        <f t="shared" si="0"/>
        <v>202507</v>
      </c>
      <c r="H22" s="415"/>
      <c r="I22" s="432"/>
    </row>
    <row r="23" spans="1:10" s="378" customFormat="1" ht="17" hidden="1" outlineLevel="1">
      <c r="A23" s="375">
        <v>45854</v>
      </c>
      <c r="B23" s="375">
        <v>45839</v>
      </c>
      <c r="C23" s="376" t="s">
        <v>356</v>
      </c>
      <c r="D23" s="532"/>
      <c r="E23" s="533">
        <v>100</v>
      </c>
      <c r="F23" s="377" t="s">
        <v>167</v>
      </c>
      <c r="G23" s="377" t="str">
        <f t="shared" si="0"/>
        <v>202507</v>
      </c>
      <c r="H23" s="415"/>
      <c r="I23" s="432"/>
    </row>
    <row r="24" spans="1:10" s="378" customFormat="1" ht="17" hidden="1" outlineLevel="1">
      <c r="A24" s="375">
        <v>45854</v>
      </c>
      <c r="B24" s="375">
        <v>45854</v>
      </c>
      <c r="C24" s="376" t="s">
        <v>357</v>
      </c>
      <c r="D24" s="435">
        <v>-10.65</v>
      </c>
      <c r="E24" s="433"/>
      <c r="F24" s="377" t="s">
        <v>148</v>
      </c>
      <c r="G24" s="377" t="str">
        <f t="shared" si="0"/>
        <v>202507</v>
      </c>
      <c r="H24" s="415"/>
      <c r="I24" s="432"/>
    </row>
    <row r="25" spans="1:10" s="378" customFormat="1" ht="17" hidden="1" outlineLevel="1">
      <c r="A25" s="375">
        <v>45859</v>
      </c>
      <c r="B25" s="375">
        <v>45859</v>
      </c>
      <c r="C25" s="376" t="s">
        <v>358</v>
      </c>
      <c r="D25" s="435">
        <v>-32.4</v>
      </c>
      <c r="E25" s="433"/>
      <c r="F25" s="377" t="s">
        <v>149</v>
      </c>
      <c r="G25" s="377" t="str">
        <f t="shared" si="0"/>
        <v>202507</v>
      </c>
      <c r="H25" s="415"/>
      <c r="I25" s="432"/>
    </row>
    <row r="26" spans="1:10" s="378" customFormat="1" ht="17" hidden="1" outlineLevel="1">
      <c r="A26" s="375">
        <v>45859</v>
      </c>
      <c r="B26" s="375">
        <v>45859</v>
      </c>
      <c r="C26" s="376" t="s">
        <v>359</v>
      </c>
      <c r="D26" s="435">
        <v>-20.71</v>
      </c>
      <c r="E26" s="433"/>
      <c r="F26" s="381" t="s">
        <v>158</v>
      </c>
      <c r="G26" s="381" t="str">
        <f t="shared" si="0"/>
        <v>202507</v>
      </c>
      <c r="H26" s="415"/>
      <c r="I26" s="432"/>
    </row>
    <row r="27" spans="1:10" s="378" customFormat="1" ht="17" hidden="1" outlineLevel="1">
      <c r="A27" s="375">
        <v>45861</v>
      </c>
      <c r="B27" s="375">
        <v>45861</v>
      </c>
      <c r="C27" s="376" t="s">
        <v>360</v>
      </c>
      <c r="D27" s="435">
        <v>-1363</v>
      </c>
      <c r="E27" s="433"/>
      <c r="F27" s="377" t="s">
        <v>1</v>
      </c>
      <c r="G27" s="377" t="str">
        <f t="shared" si="0"/>
        <v>202507</v>
      </c>
      <c r="H27" s="415"/>
      <c r="I27" s="432"/>
    </row>
    <row r="28" spans="1:10" s="378" customFormat="1" ht="17" hidden="1" outlineLevel="1">
      <c r="A28" s="375">
        <v>45862</v>
      </c>
      <c r="B28" s="375">
        <v>45862</v>
      </c>
      <c r="C28" s="376" t="s">
        <v>361</v>
      </c>
      <c r="D28" s="435"/>
      <c r="E28" s="433">
        <v>295.25</v>
      </c>
      <c r="F28" s="377" t="s">
        <v>139</v>
      </c>
      <c r="G28" s="377" t="str">
        <f t="shared" si="0"/>
        <v>202507</v>
      </c>
      <c r="H28" s="415"/>
      <c r="I28" s="432"/>
      <c r="J28" s="382"/>
    </row>
    <row r="29" spans="1:10" s="378" customFormat="1" ht="17" hidden="1" outlineLevel="1">
      <c r="A29" s="375">
        <v>45862</v>
      </c>
      <c r="B29" s="375">
        <v>45862</v>
      </c>
      <c r="C29" s="376" t="s">
        <v>362</v>
      </c>
      <c r="D29" s="435">
        <v>-66.2</v>
      </c>
      <c r="E29" s="433"/>
      <c r="F29" s="377" t="s">
        <v>148</v>
      </c>
      <c r="G29" s="377" t="str">
        <f t="shared" si="0"/>
        <v>202507</v>
      </c>
      <c r="H29" s="415"/>
      <c r="I29" s="432"/>
      <c r="J29" s="382"/>
    </row>
    <row r="30" spans="1:10" s="378" customFormat="1" ht="16" hidden="1" customHeight="1" outlineLevel="1">
      <c r="A30" s="375">
        <v>45863</v>
      </c>
      <c r="B30" s="375">
        <v>45863</v>
      </c>
      <c r="C30" s="376" t="s">
        <v>363</v>
      </c>
      <c r="D30" s="435">
        <v>-152.37</v>
      </c>
      <c r="E30" s="433"/>
      <c r="F30" s="377" t="s">
        <v>157</v>
      </c>
      <c r="G30" s="377" t="str">
        <f t="shared" si="0"/>
        <v>202507</v>
      </c>
      <c r="H30" s="415"/>
      <c r="I30" s="432"/>
      <c r="J30" s="382"/>
    </row>
    <row r="31" spans="1:10" s="378" customFormat="1" ht="17" hidden="1" outlineLevel="1">
      <c r="A31" s="375">
        <v>45866</v>
      </c>
      <c r="B31" s="375">
        <v>45866</v>
      </c>
      <c r="C31" s="376" t="s">
        <v>364</v>
      </c>
      <c r="D31" s="435">
        <v>-230.4</v>
      </c>
      <c r="E31" s="433"/>
      <c r="F31" s="377" t="s">
        <v>160</v>
      </c>
      <c r="G31" s="377" t="str">
        <f t="shared" si="0"/>
        <v>202507</v>
      </c>
      <c r="H31" s="415"/>
      <c r="I31" s="432"/>
      <c r="J31" s="382"/>
    </row>
    <row r="32" spans="1:10" s="378" customFormat="1" ht="17" hidden="1" outlineLevel="1">
      <c r="A32" s="375">
        <v>45867</v>
      </c>
      <c r="B32" s="375">
        <v>45867</v>
      </c>
      <c r="C32" s="376" t="s">
        <v>365</v>
      </c>
      <c r="D32" s="435"/>
      <c r="E32" s="433">
        <v>1050.5</v>
      </c>
      <c r="F32" s="377" t="s">
        <v>139</v>
      </c>
      <c r="G32" s="377" t="str">
        <f t="shared" si="0"/>
        <v>202507</v>
      </c>
      <c r="H32" s="415"/>
      <c r="I32" s="432"/>
      <c r="J32" s="382"/>
    </row>
    <row r="33" spans="1:10" s="378" customFormat="1" ht="17" hidden="1" outlineLevel="1">
      <c r="A33" s="375">
        <v>45867</v>
      </c>
      <c r="B33" s="375">
        <v>45867</v>
      </c>
      <c r="C33" s="376" t="s">
        <v>366</v>
      </c>
      <c r="D33" s="435">
        <v>-43.7</v>
      </c>
      <c r="E33" s="433"/>
      <c r="F33" s="377" t="s">
        <v>148</v>
      </c>
      <c r="G33" s="377" t="str">
        <f t="shared" si="0"/>
        <v>202507</v>
      </c>
      <c r="J33" s="382"/>
    </row>
    <row r="34" spans="1:10" s="378" customFormat="1" ht="17" hidden="1" outlineLevel="1">
      <c r="A34" s="375">
        <v>45869</v>
      </c>
      <c r="B34" s="375">
        <v>45869</v>
      </c>
      <c r="C34" s="376" t="s">
        <v>367</v>
      </c>
      <c r="D34" s="435"/>
      <c r="E34" s="433">
        <v>1000</v>
      </c>
      <c r="F34" s="377" t="s">
        <v>139</v>
      </c>
      <c r="G34" s="377" t="str">
        <f t="shared" si="0"/>
        <v>202507</v>
      </c>
      <c r="J34" s="382"/>
    </row>
    <row r="35" spans="1:10" s="378" customFormat="1" ht="17" hidden="1" outlineLevel="1">
      <c r="A35" s="375">
        <v>45869</v>
      </c>
      <c r="B35" s="375">
        <v>45869</v>
      </c>
      <c r="C35" s="376" t="s">
        <v>368</v>
      </c>
      <c r="D35" s="435">
        <v>-119.79</v>
      </c>
      <c r="E35" s="433"/>
      <c r="F35" s="377" t="s">
        <v>207</v>
      </c>
      <c r="G35" s="377" t="str">
        <f t="shared" si="0"/>
        <v>202507</v>
      </c>
      <c r="H35" s="379"/>
      <c r="J35" s="382"/>
    </row>
    <row r="36" spans="1:10" s="378" customFormat="1" ht="17" hidden="1" outlineLevel="1">
      <c r="A36" s="375">
        <v>45869</v>
      </c>
      <c r="B36" s="375">
        <v>45869</v>
      </c>
      <c r="C36" s="376" t="s">
        <v>369</v>
      </c>
      <c r="D36" s="435">
        <v>-5250</v>
      </c>
      <c r="E36" s="433"/>
      <c r="F36" s="377" t="s">
        <v>569</v>
      </c>
      <c r="G36" s="377" t="str">
        <f t="shared" si="0"/>
        <v>202507</v>
      </c>
      <c r="H36" s="379"/>
      <c r="J36" s="382"/>
    </row>
    <row r="37" spans="1:10" s="378" customFormat="1" hidden="1" outlineLevel="1">
      <c r="A37" s="638"/>
      <c r="B37" s="638"/>
      <c r="C37" s="438"/>
      <c r="D37" s="434">
        <f>SUM(D2:D36)</f>
        <v>-18851.460000000003</v>
      </c>
      <c r="E37" s="434">
        <f>SUM(E2:E36)</f>
        <v>10975.75</v>
      </c>
      <c r="F37" s="383"/>
      <c r="G37" s="383"/>
      <c r="I37" s="439"/>
      <c r="J37" s="382"/>
    </row>
    <row r="38" spans="1:10" s="378" customFormat="1" hidden="1" outlineLevel="1" collapsed="1">
      <c r="A38" s="391">
        <v>45870</v>
      </c>
      <c r="B38" s="391">
        <v>45870</v>
      </c>
      <c r="C38" s="392" t="s">
        <v>370</v>
      </c>
      <c r="D38" s="435">
        <v>-1650</v>
      </c>
      <c r="E38" s="433"/>
      <c r="F38" s="377" t="s">
        <v>141</v>
      </c>
      <c r="G38" s="377" t="str">
        <f t="shared" si="0"/>
        <v>202508</v>
      </c>
    </row>
    <row r="39" spans="1:10" s="378" customFormat="1" hidden="1" outlineLevel="1">
      <c r="A39" s="391">
        <v>45870</v>
      </c>
      <c r="B39" s="391">
        <v>45870</v>
      </c>
      <c r="C39" s="392" t="s">
        <v>371</v>
      </c>
      <c r="D39" s="435">
        <v>-550</v>
      </c>
      <c r="E39" s="433"/>
      <c r="F39" s="377" t="s">
        <v>141</v>
      </c>
      <c r="G39" s="377" t="str">
        <f t="shared" si="0"/>
        <v>202508</v>
      </c>
    </row>
    <row r="40" spans="1:10" s="378" customFormat="1" hidden="1" outlineLevel="1">
      <c r="A40" s="391">
        <v>45870</v>
      </c>
      <c r="B40" s="391">
        <v>45870</v>
      </c>
      <c r="C40" s="392" t="s">
        <v>372</v>
      </c>
      <c r="D40" s="435">
        <v>-617.89</v>
      </c>
      <c r="E40" s="433"/>
      <c r="F40" s="377" t="s">
        <v>207</v>
      </c>
      <c r="G40" s="377" t="str">
        <f t="shared" si="0"/>
        <v>202508</v>
      </c>
      <c r="H40" s="385"/>
    </row>
    <row r="41" spans="1:10" s="378" customFormat="1" hidden="1" outlineLevel="1">
      <c r="A41" s="391">
        <v>45873</v>
      </c>
      <c r="B41" s="391">
        <v>45873</v>
      </c>
      <c r="C41" s="392" t="s">
        <v>373</v>
      </c>
      <c r="D41" s="435">
        <v>-1202.3599999999999</v>
      </c>
      <c r="E41" s="433"/>
      <c r="F41" s="377" t="s">
        <v>151</v>
      </c>
      <c r="G41" s="377" t="str">
        <f t="shared" si="0"/>
        <v>202508</v>
      </c>
      <c r="H41" s="385"/>
    </row>
    <row r="42" spans="1:10" s="378" customFormat="1" hidden="1" outlineLevel="1">
      <c r="A42" s="391">
        <v>45873</v>
      </c>
      <c r="B42" s="391">
        <v>45873</v>
      </c>
      <c r="C42" s="392" t="s">
        <v>374</v>
      </c>
      <c r="D42" s="435">
        <v>-153.19</v>
      </c>
      <c r="E42" s="433"/>
      <c r="F42" s="377" t="s">
        <v>207</v>
      </c>
      <c r="G42" s="377" t="str">
        <f t="shared" si="0"/>
        <v>202508</v>
      </c>
      <c r="H42" s="385"/>
    </row>
    <row r="43" spans="1:10" s="378" customFormat="1" hidden="1" outlineLevel="1">
      <c r="A43" s="391">
        <v>45873</v>
      </c>
      <c r="B43" s="391">
        <v>45873</v>
      </c>
      <c r="C43" s="392" t="s">
        <v>375</v>
      </c>
      <c r="D43" s="435">
        <v>-60</v>
      </c>
      <c r="E43" s="433"/>
      <c r="F43" s="377" t="s">
        <v>166</v>
      </c>
      <c r="G43" s="377" t="str">
        <f t="shared" si="0"/>
        <v>202508</v>
      </c>
      <c r="H43" s="385"/>
    </row>
    <row r="44" spans="1:10" s="378" customFormat="1" hidden="1" outlineLevel="1">
      <c r="A44" s="391">
        <v>45873</v>
      </c>
      <c r="B44" s="391">
        <v>45873</v>
      </c>
      <c r="C44" s="392" t="s">
        <v>376</v>
      </c>
      <c r="D44" s="435">
        <v>-208.91</v>
      </c>
      <c r="E44" s="433"/>
      <c r="F44" s="377" t="s">
        <v>207</v>
      </c>
      <c r="G44" s="377" t="str">
        <f t="shared" si="0"/>
        <v>202508</v>
      </c>
      <c r="H44" s="385"/>
    </row>
    <row r="45" spans="1:10" s="378" customFormat="1" hidden="1" outlineLevel="1">
      <c r="A45" s="391">
        <v>45874</v>
      </c>
      <c r="B45" s="391">
        <v>45874</v>
      </c>
      <c r="C45" s="392" t="s">
        <v>377</v>
      </c>
      <c r="D45" s="435">
        <v>-1526</v>
      </c>
      <c r="E45" s="433"/>
      <c r="F45" s="377" t="s">
        <v>142</v>
      </c>
      <c r="G45" s="377" t="str">
        <f t="shared" si="0"/>
        <v>202508</v>
      </c>
      <c r="H45" s="385"/>
    </row>
    <row r="46" spans="1:10" s="378" customFormat="1" hidden="1" outlineLevel="1">
      <c r="A46" s="391">
        <v>45874</v>
      </c>
      <c r="B46" s="391">
        <v>45874</v>
      </c>
      <c r="C46" s="392" t="s">
        <v>378</v>
      </c>
      <c r="D46" s="435">
        <v>-71.28</v>
      </c>
      <c r="E46" s="433"/>
      <c r="F46" s="377" t="s">
        <v>144</v>
      </c>
      <c r="G46" s="377" t="str">
        <f t="shared" si="0"/>
        <v>202508</v>
      </c>
      <c r="H46" s="385"/>
    </row>
    <row r="47" spans="1:10" s="378" customFormat="1" hidden="1" outlineLevel="1">
      <c r="A47" s="391">
        <v>45880</v>
      </c>
      <c r="B47" s="391">
        <v>45870</v>
      </c>
      <c r="C47" s="392" t="s">
        <v>379</v>
      </c>
      <c r="D47" s="532">
        <v>-268.36</v>
      </c>
      <c r="E47" s="533"/>
      <c r="F47" s="377" t="s">
        <v>167</v>
      </c>
      <c r="G47" s="377" t="str">
        <f t="shared" si="0"/>
        <v>202508</v>
      </c>
      <c r="H47" s="385"/>
    </row>
    <row r="48" spans="1:10" s="378" customFormat="1" hidden="1" outlineLevel="1">
      <c r="A48" s="391">
        <v>45880</v>
      </c>
      <c r="B48" s="391">
        <v>45880</v>
      </c>
      <c r="C48" s="392" t="s">
        <v>380</v>
      </c>
      <c r="D48" s="435">
        <v>-24.27</v>
      </c>
      <c r="E48" s="433"/>
      <c r="F48" s="377" t="s">
        <v>147</v>
      </c>
      <c r="G48" s="377" t="str">
        <f t="shared" si="0"/>
        <v>202508</v>
      </c>
      <c r="H48" s="385"/>
    </row>
    <row r="49" spans="1:8" s="378" customFormat="1" hidden="1" outlineLevel="1">
      <c r="A49" s="391">
        <v>45880</v>
      </c>
      <c r="B49" s="391">
        <v>45880</v>
      </c>
      <c r="C49" s="392" t="s">
        <v>381</v>
      </c>
      <c r="D49" s="435">
        <v>-787.38</v>
      </c>
      <c r="E49" s="433"/>
      <c r="F49" s="377" t="s">
        <v>145</v>
      </c>
      <c r="G49" s="377" t="str">
        <f t="shared" si="0"/>
        <v>202508</v>
      </c>
      <c r="H49" s="385"/>
    </row>
    <row r="50" spans="1:8" s="378" customFormat="1" hidden="1" outlineLevel="1">
      <c r="A50" s="391">
        <v>45883</v>
      </c>
      <c r="B50" s="391">
        <v>45883</v>
      </c>
      <c r="C50" s="392" t="s">
        <v>382</v>
      </c>
      <c r="D50" s="435"/>
      <c r="E50" s="433">
        <v>227</v>
      </c>
      <c r="F50" s="377" t="s">
        <v>31</v>
      </c>
      <c r="G50" s="377" t="str">
        <f t="shared" si="0"/>
        <v>202508</v>
      </c>
      <c r="H50" s="385"/>
    </row>
    <row r="51" spans="1:8" s="378" customFormat="1" hidden="1" outlineLevel="1">
      <c r="A51" s="391">
        <v>45883</v>
      </c>
      <c r="B51" s="391">
        <v>45883</v>
      </c>
      <c r="C51" s="392" t="s">
        <v>383</v>
      </c>
      <c r="D51" s="435">
        <v>-171.66</v>
      </c>
      <c r="E51" s="433"/>
      <c r="F51" s="377" t="s">
        <v>207</v>
      </c>
      <c r="G51" s="377" t="str">
        <f t="shared" si="0"/>
        <v>202508</v>
      </c>
      <c r="H51" s="385"/>
    </row>
    <row r="52" spans="1:8" s="378" customFormat="1" hidden="1" outlineLevel="1">
      <c r="A52" s="391">
        <v>45884</v>
      </c>
      <c r="B52" s="391">
        <v>45884</v>
      </c>
      <c r="C52" s="392" t="s">
        <v>384</v>
      </c>
      <c r="D52" s="435">
        <v>-1610</v>
      </c>
      <c r="E52" s="433"/>
      <c r="F52" s="377" t="s">
        <v>511</v>
      </c>
      <c r="G52" s="377" t="str">
        <f t="shared" si="0"/>
        <v>202508</v>
      </c>
      <c r="H52" s="385"/>
    </row>
    <row r="53" spans="1:8" s="378" customFormat="1" hidden="1" outlineLevel="1">
      <c r="A53" s="391">
        <v>45890</v>
      </c>
      <c r="B53" s="391">
        <v>45890</v>
      </c>
      <c r="C53" s="392" t="s">
        <v>385</v>
      </c>
      <c r="D53" s="435">
        <v>-1090</v>
      </c>
      <c r="E53" s="433"/>
      <c r="F53" s="377" t="s">
        <v>1</v>
      </c>
      <c r="G53" s="377" t="str">
        <f t="shared" si="0"/>
        <v>202508</v>
      </c>
      <c r="H53" s="385"/>
    </row>
    <row r="54" spans="1:8" s="378" customFormat="1" hidden="1" outlineLevel="1">
      <c r="A54" s="391">
        <v>45891</v>
      </c>
      <c r="B54" s="391">
        <v>45891</v>
      </c>
      <c r="C54" s="392" t="s">
        <v>386</v>
      </c>
      <c r="D54" s="435">
        <v>-32.4</v>
      </c>
      <c r="E54" s="433"/>
      <c r="F54" s="377" t="s">
        <v>149</v>
      </c>
      <c r="G54" s="377" t="str">
        <f t="shared" si="0"/>
        <v>202508</v>
      </c>
      <c r="H54" s="385"/>
    </row>
    <row r="55" spans="1:8" s="378" customFormat="1" hidden="1" outlineLevel="1">
      <c r="A55" s="391">
        <v>45894</v>
      </c>
      <c r="B55" s="391">
        <v>45894</v>
      </c>
      <c r="C55" s="392" t="s">
        <v>387</v>
      </c>
      <c r="D55" s="435">
        <v>-152.37</v>
      </c>
      <c r="E55" s="433"/>
      <c r="F55" s="377" t="s">
        <v>157</v>
      </c>
      <c r="G55" s="377" t="str">
        <f t="shared" si="0"/>
        <v>202508</v>
      </c>
      <c r="H55" s="385"/>
    </row>
    <row r="56" spans="1:8" s="378" customFormat="1" hidden="1" outlineLevel="1">
      <c r="A56" s="391">
        <v>45894</v>
      </c>
      <c r="B56" s="391">
        <v>45894</v>
      </c>
      <c r="C56" s="392" t="s">
        <v>388</v>
      </c>
      <c r="D56" s="435">
        <v>-405</v>
      </c>
      <c r="E56" s="433"/>
      <c r="F56" s="377" t="s">
        <v>146</v>
      </c>
      <c r="G56" s="377" t="str">
        <f t="shared" si="0"/>
        <v>202508</v>
      </c>
      <c r="H56" s="385"/>
    </row>
    <row r="57" spans="1:8" s="378" customFormat="1" hidden="1" outlineLevel="1">
      <c r="A57" s="391">
        <v>45895</v>
      </c>
      <c r="B57" s="391">
        <v>45895</v>
      </c>
      <c r="C57" s="392" t="s">
        <v>389</v>
      </c>
      <c r="D57" s="435">
        <v>-1065</v>
      </c>
      <c r="E57" s="433"/>
      <c r="F57" s="377" t="s">
        <v>138</v>
      </c>
      <c r="G57" s="377" t="str">
        <f t="shared" si="0"/>
        <v>202508</v>
      </c>
      <c r="H57" s="385"/>
    </row>
    <row r="58" spans="1:8" s="378" customFormat="1" hidden="1" outlineLevel="1">
      <c r="A58" s="391">
        <v>45896</v>
      </c>
      <c r="B58" s="391">
        <v>45896</v>
      </c>
      <c r="C58" s="392" t="s">
        <v>390</v>
      </c>
      <c r="D58" s="435"/>
      <c r="E58" s="433">
        <v>3600</v>
      </c>
      <c r="F58" s="377" t="s">
        <v>139</v>
      </c>
      <c r="G58" s="377" t="str">
        <f t="shared" si="0"/>
        <v>202508</v>
      </c>
      <c r="H58" s="385"/>
    </row>
    <row r="59" spans="1:8" s="378" customFormat="1" hidden="1" outlineLevel="1">
      <c r="A59" s="391">
        <v>45897</v>
      </c>
      <c r="B59" s="391">
        <v>45897</v>
      </c>
      <c r="C59" s="392" t="s">
        <v>391</v>
      </c>
      <c r="D59" s="435">
        <v>-42.75</v>
      </c>
      <c r="E59" s="433"/>
      <c r="F59" s="377" t="s">
        <v>158</v>
      </c>
      <c r="G59" s="377" t="str">
        <f t="shared" si="0"/>
        <v>202508</v>
      </c>
      <c r="H59" s="385"/>
    </row>
    <row r="60" spans="1:8" s="378" customFormat="1" hidden="1" outlineLevel="1">
      <c r="A60" s="638"/>
      <c r="B60" s="638"/>
      <c r="C60" s="383"/>
      <c r="D60" s="434"/>
      <c r="E60" s="434"/>
      <c r="F60" s="383"/>
      <c r="G60" s="383"/>
      <c r="H60" s="385"/>
    </row>
    <row r="61" spans="1:8" s="378" customFormat="1" hidden="1" outlineLevel="1" collapsed="1">
      <c r="A61" s="391">
        <v>45901</v>
      </c>
      <c r="B61" s="391">
        <v>45901</v>
      </c>
      <c r="C61" s="392" t="s">
        <v>392</v>
      </c>
      <c r="D61" s="435">
        <v>-1650</v>
      </c>
      <c r="E61" s="433"/>
      <c r="F61" s="377" t="s">
        <v>141</v>
      </c>
      <c r="G61" s="377" t="str">
        <f t="shared" si="0"/>
        <v>202509</v>
      </c>
      <c r="H61" s="385"/>
    </row>
    <row r="62" spans="1:8" s="378" customFormat="1" hidden="1" outlineLevel="1">
      <c r="A62" s="391">
        <v>45901</v>
      </c>
      <c r="B62" s="391">
        <v>45901</v>
      </c>
      <c r="C62" s="392" t="s">
        <v>393</v>
      </c>
      <c r="D62" s="435">
        <v>-550</v>
      </c>
      <c r="E62" s="433"/>
      <c r="F62" s="377" t="s">
        <v>141</v>
      </c>
      <c r="G62" s="377" t="str">
        <f t="shared" si="0"/>
        <v>202509</v>
      </c>
      <c r="H62" s="385"/>
    </row>
    <row r="63" spans="1:8" s="378" customFormat="1" hidden="1" outlineLevel="1">
      <c r="A63" s="391">
        <v>45902</v>
      </c>
      <c r="B63" s="391">
        <v>45902</v>
      </c>
      <c r="C63" s="392" t="s">
        <v>394</v>
      </c>
      <c r="D63" s="435">
        <v>-60</v>
      </c>
      <c r="E63" s="433"/>
      <c r="F63" s="377" t="s">
        <v>166</v>
      </c>
      <c r="G63" s="377" t="str">
        <f t="shared" si="0"/>
        <v>202509</v>
      </c>
      <c r="H63" s="385"/>
    </row>
    <row r="64" spans="1:8" s="378" customFormat="1" hidden="1" outlineLevel="1">
      <c r="A64" s="391">
        <v>45902</v>
      </c>
      <c r="B64" s="391">
        <v>45902</v>
      </c>
      <c r="C64" s="392" t="s">
        <v>395</v>
      </c>
      <c r="D64" s="433">
        <v>-2612.5</v>
      </c>
      <c r="E64" s="433"/>
      <c r="F64" s="377" t="s">
        <v>207</v>
      </c>
      <c r="G64" s="377" t="str">
        <f t="shared" si="0"/>
        <v>202509</v>
      </c>
      <c r="H64" s="385"/>
    </row>
    <row r="65" spans="1:8" s="378" customFormat="1" hidden="1" outlineLevel="1">
      <c r="A65" s="391">
        <v>45903</v>
      </c>
      <c r="B65" s="391">
        <v>45902</v>
      </c>
      <c r="C65" s="392" t="s">
        <v>396</v>
      </c>
      <c r="D65" s="433"/>
      <c r="E65" s="433">
        <v>16.66</v>
      </c>
      <c r="F65" s="377" t="s">
        <v>158</v>
      </c>
      <c r="G65" s="377" t="str">
        <f t="shared" si="0"/>
        <v>202509</v>
      </c>
      <c r="H65" s="385"/>
    </row>
    <row r="66" spans="1:8" s="378" customFormat="1" hidden="1" outlineLevel="1">
      <c r="A66" s="391">
        <v>45904</v>
      </c>
      <c r="B66" s="391">
        <v>45904</v>
      </c>
      <c r="C66" s="392" t="s">
        <v>397</v>
      </c>
      <c r="D66" s="435">
        <v>-19.170000000000002</v>
      </c>
      <c r="E66" s="433"/>
      <c r="F66" s="377" t="s">
        <v>166</v>
      </c>
      <c r="G66" s="377" t="str">
        <f t="shared" si="0"/>
        <v>202509</v>
      </c>
      <c r="H66" s="385"/>
    </row>
    <row r="67" spans="1:8" s="378" customFormat="1" hidden="1" outlineLevel="1">
      <c r="A67" s="391">
        <v>45905</v>
      </c>
      <c r="B67" s="391">
        <v>45905</v>
      </c>
      <c r="C67" s="392" t="s">
        <v>398</v>
      </c>
      <c r="D67" s="435">
        <v>-1526</v>
      </c>
      <c r="E67" s="433"/>
      <c r="F67" s="377" t="s">
        <v>142</v>
      </c>
      <c r="G67" s="377" t="str">
        <f t="shared" ref="G67:G95" si="1">TEXT(B67,"aaaamm")</f>
        <v>202509</v>
      </c>
      <c r="H67" s="385"/>
    </row>
    <row r="68" spans="1:8" s="378" customFormat="1" hidden="1" outlineLevel="1">
      <c r="A68" s="391">
        <v>45905</v>
      </c>
      <c r="B68" s="391">
        <v>45905</v>
      </c>
      <c r="C68" s="392" t="s">
        <v>399</v>
      </c>
      <c r="D68" s="435">
        <v>-71.28</v>
      </c>
      <c r="E68" s="433"/>
      <c r="F68" s="377" t="s">
        <v>144</v>
      </c>
      <c r="G68" s="377" t="str">
        <f t="shared" si="1"/>
        <v>202509</v>
      </c>
      <c r="H68" s="385"/>
    </row>
    <row r="69" spans="1:8" s="378" customFormat="1" hidden="1" outlineLevel="1">
      <c r="A69" s="391">
        <v>45908</v>
      </c>
      <c r="B69" s="391">
        <v>45908</v>
      </c>
      <c r="C69" s="392" t="s">
        <v>400</v>
      </c>
      <c r="D69" s="435">
        <v>-30</v>
      </c>
      <c r="E69" s="433"/>
      <c r="F69" s="377" t="s">
        <v>561</v>
      </c>
      <c r="G69" s="377" t="str">
        <f t="shared" si="1"/>
        <v>202509</v>
      </c>
      <c r="H69" s="385"/>
    </row>
    <row r="70" spans="1:8" s="378" customFormat="1" hidden="1" outlineLevel="1">
      <c r="A70" s="391">
        <v>45908</v>
      </c>
      <c r="B70" s="391">
        <v>45908</v>
      </c>
      <c r="C70" s="392" t="s">
        <v>401</v>
      </c>
      <c r="D70" s="435">
        <v>-46.85</v>
      </c>
      <c r="E70" s="433"/>
      <c r="F70" s="377" t="s">
        <v>158</v>
      </c>
      <c r="G70" s="377" t="str">
        <f t="shared" si="1"/>
        <v>202509</v>
      </c>
      <c r="H70" s="385"/>
    </row>
    <row r="71" spans="1:8" s="378" customFormat="1" hidden="1" outlineLevel="1">
      <c r="A71" s="391">
        <v>45909</v>
      </c>
      <c r="B71" s="391">
        <v>45909</v>
      </c>
      <c r="C71" s="392" t="s">
        <v>402</v>
      </c>
      <c r="D71" s="435">
        <v>-1065</v>
      </c>
      <c r="E71" s="433"/>
      <c r="F71" s="377" t="s">
        <v>138</v>
      </c>
      <c r="G71" s="377" t="str">
        <f t="shared" si="1"/>
        <v>202509</v>
      </c>
      <c r="H71" s="385"/>
    </row>
    <row r="72" spans="1:8" s="378" customFormat="1" hidden="1" outlineLevel="1">
      <c r="A72" s="391">
        <v>45910</v>
      </c>
      <c r="B72" s="391">
        <v>45901</v>
      </c>
      <c r="C72" s="392" t="s">
        <v>403</v>
      </c>
      <c r="D72" s="532">
        <v>-46.15</v>
      </c>
      <c r="E72" s="533"/>
      <c r="F72" s="377" t="s">
        <v>167</v>
      </c>
      <c r="G72" s="377" t="str">
        <f t="shared" si="1"/>
        <v>202509</v>
      </c>
      <c r="H72" s="385"/>
    </row>
    <row r="73" spans="1:8" s="378" customFormat="1" hidden="1" outlineLevel="1">
      <c r="A73" s="391">
        <v>45910</v>
      </c>
      <c r="B73" s="391">
        <v>45910</v>
      </c>
      <c r="C73" s="392" t="s">
        <v>404</v>
      </c>
      <c r="D73" s="435">
        <v>-24.27</v>
      </c>
      <c r="E73" s="433"/>
      <c r="F73" s="377" t="s">
        <v>147</v>
      </c>
      <c r="G73" s="377" t="str">
        <f t="shared" si="1"/>
        <v>202509</v>
      </c>
      <c r="H73" s="385"/>
    </row>
    <row r="74" spans="1:8" s="378" customFormat="1" hidden="1" outlineLevel="1">
      <c r="A74" s="391">
        <v>45910</v>
      </c>
      <c r="B74" s="391">
        <v>45910</v>
      </c>
      <c r="C74" s="392" t="s">
        <v>405</v>
      </c>
      <c r="D74" s="435">
        <v>-787.38</v>
      </c>
      <c r="E74" s="433"/>
      <c r="F74" s="377" t="s">
        <v>145</v>
      </c>
      <c r="G74" s="377" t="str">
        <f t="shared" si="1"/>
        <v>202509</v>
      </c>
      <c r="H74" s="385"/>
    </row>
    <row r="75" spans="1:8" hidden="1" outlineLevel="1">
      <c r="A75" s="391">
        <v>45911</v>
      </c>
      <c r="B75" s="391">
        <v>45911</v>
      </c>
      <c r="C75" s="392" t="s">
        <v>406</v>
      </c>
      <c r="D75" s="435"/>
      <c r="E75" s="433">
        <v>3600</v>
      </c>
      <c r="F75" s="377" t="s">
        <v>139</v>
      </c>
      <c r="G75" s="377" t="str">
        <f t="shared" si="1"/>
        <v>202509</v>
      </c>
    </row>
    <row r="76" spans="1:8" hidden="1" outlineLevel="1">
      <c r="A76" s="391">
        <v>45911</v>
      </c>
      <c r="B76" s="391">
        <v>45911</v>
      </c>
      <c r="C76" s="392" t="s">
        <v>407</v>
      </c>
      <c r="D76" s="435"/>
      <c r="E76" s="433">
        <v>1000</v>
      </c>
      <c r="F76" s="377" t="s">
        <v>139</v>
      </c>
      <c r="G76" s="377" t="str">
        <f t="shared" si="1"/>
        <v>202509</v>
      </c>
    </row>
    <row r="77" spans="1:8" hidden="1" outlineLevel="1">
      <c r="A77" s="391">
        <v>45911</v>
      </c>
      <c r="B77" s="391">
        <v>45911</v>
      </c>
      <c r="C77" s="392" t="s">
        <v>408</v>
      </c>
      <c r="D77" s="435"/>
      <c r="E77" s="433">
        <v>660</v>
      </c>
      <c r="F77" s="377" t="s">
        <v>139</v>
      </c>
      <c r="G77" s="377" t="str">
        <f t="shared" si="1"/>
        <v>202509</v>
      </c>
    </row>
    <row r="78" spans="1:8" hidden="1" outlineLevel="1">
      <c r="A78" s="391">
        <v>45915</v>
      </c>
      <c r="B78" s="391">
        <v>45915</v>
      </c>
      <c r="C78" s="392" t="s">
        <v>409</v>
      </c>
      <c r="D78" s="435">
        <v>-171.67</v>
      </c>
      <c r="E78" s="433"/>
      <c r="F78" s="377" t="s">
        <v>152</v>
      </c>
      <c r="G78" s="377" t="str">
        <f t="shared" si="1"/>
        <v>202509</v>
      </c>
    </row>
    <row r="79" spans="1:8" hidden="1" outlineLevel="1">
      <c r="A79" s="391">
        <v>45916</v>
      </c>
      <c r="B79" s="391">
        <v>45916</v>
      </c>
      <c r="C79" s="392" t="s">
        <v>410</v>
      </c>
      <c r="D79" s="435">
        <v>-63.89</v>
      </c>
      <c r="E79" s="433"/>
      <c r="F79" s="377" t="s">
        <v>152</v>
      </c>
      <c r="G79" s="377" t="str">
        <f t="shared" si="1"/>
        <v>202509</v>
      </c>
    </row>
    <row r="80" spans="1:8" hidden="1" outlineLevel="1">
      <c r="A80" s="391">
        <v>45917</v>
      </c>
      <c r="B80" s="391">
        <v>45917</v>
      </c>
      <c r="C80" s="392" t="s">
        <v>411</v>
      </c>
      <c r="D80" s="435">
        <v>-10.7</v>
      </c>
      <c r="E80" s="433"/>
      <c r="F80" s="377" t="s">
        <v>159</v>
      </c>
      <c r="G80" s="377" t="str">
        <f t="shared" si="1"/>
        <v>202509</v>
      </c>
    </row>
    <row r="81" spans="1:10" hidden="1" outlineLevel="1">
      <c r="A81" s="391">
        <v>45922</v>
      </c>
      <c r="B81" s="391">
        <v>45922</v>
      </c>
      <c r="C81" s="392" t="s">
        <v>412</v>
      </c>
      <c r="D81" s="435">
        <v>-32.4</v>
      </c>
      <c r="E81" s="433"/>
      <c r="F81" s="377" t="s">
        <v>149</v>
      </c>
      <c r="G81" s="377" t="str">
        <f t="shared" si="1"/>
        <v>202509</v>
      </c>
    </row>
    <row r="82" spans="1:10" hidden="1" outlineLevel="1">
      <c r="A82" s="391">
        <v>45922</v>
      </c>
      <c r="B82" s="391">
        <v>45922</v>
      </c>
      <c r="C82" s="392" t="s">
        <v>413</v>
      </c>
      <c r="D82" s="435">
        <v>-10.5</v>
      </c>
      <c r="E82" s="433"/>
      <c r="F82" s="377" t="s">
        <v>148</v>
      </c>
      <c r="G82" s="377" t="str">
        <f t="shared" si="1"/>
        <v>202509</v>
      </c>
    </row>
    <row r="83" spans="1:10" hidden="1" outlineLevel="1">
      <c r="A83" s="391">
        <v>45922</v>
      </c>
      <c r="B83" s="391">
        <v>45922</v>
      </c>
      <c r="C83" s="392" t="s">
        <v>414</v>
      </c>
      <c r="D83" s="435">
        <v>-1.6</v>
      </c>
      <c r="E83" s="433"/>
      <c r="F83" s="377" t="s">
        <v>152</v>
      </c>
      <c r="G83" s="377" t="str">
        <f t="shared" si="1"/>
        <v>202509</v>
      </c>
    </row>
    <row r="84" spans="1:10" hidden="1" outlineLevel="1">
      <c r="A84" s="391">
        <v>45922</v>
      </c>
      <c r="B84" s="391">
        <v>45919</v>
      </c>
      <c r="C84" s="392" t="s">
        <v>415</v>
      </c>
      <c r="D84" s="435"/>
      <c r="E84" s="435">
        <v>36.9</v>
      </c>
      <c r="F84" s="377" t="s">
        <v>207</v>
      </c>
      <c r="G84" s="377" t="str">
        <f t="shared" si="1"/>
        <v>202509</v>
      </c>
    </row>
    <row r="85" spans="1:10" hidden="1" outlineLevel="1">
      <c r="A85" s="391">
        <v>45925</v>
      </c>
      <c r="B85" s="391">
        <v>45925</v>
      </c>
      <c r="C85" s="392" t="s">
        <v>416</v>
      </c>
      <c r="D85" s="435">
        <v>-152.37</v>
      </c>
      <c r="E85" s="433"/>
      <c r="F85" s="377" t="s">
        <v>157</v>
      </c>
      <c r="G85" s="377" t="str">
        <f t="shared" si="1"/>
        <v>202509</v>
      </c>
    </row>
    <row r="86" spans="1:10" hidden="1" outlineLevel="1">
      <c r="A86" s="391">
        <v>45925</v>
      </c>
      <c r="B86" s="391">
        <v>45925</v>
      </c>
      <c r="C86" s="392" t="s">
        <v>388</v>
      </c>
      <c r="D86" s="435">
        <v>-405</v>
      </c>
      <c r="E86" s="433"/>
      <c r="F86" s="377" t="s">
        <v>146</v>
      </c>
      <c r="G86" s="377" t="str">
        <f t="shared" si="1"/>
        <v>202509</v>
      </c>
    </row>
    <row r="87" spans="1:10" hidden="1" outlineLevel="1">
      <c r="A87" s="391">
        <v>45925</v>
      </c>
      <c r="B87" s="391">
        <v>45925</v>
      </c>
      <c r="C87" s="392" t="s">
        <v>417</v>
      </c>
      <c r="D87" s="435">
        <v>-244.8</v>
      </c>
      <c r="E87" s="433"/>
      <c r="F87" s="377" t="s">
        <v>166</v>
      </c>
      <c r="G87" s="377" t="str">
        <f t="shared" si="1"/>
        <v>202509</v>
      </c>
    </row>
    <row r="88" spans="1:10" hidden="1" outlineLevel="1">
      <c r="A88" s="391">
        <v>45925</v>
      </c>
      <c r="B88" s="391">
        <v>45925</v>
      </c>
      <c r="C88" s="392" t="s">
        <v>418</v>
      </c>
      <c r="D88" s="435">
        <v>-1.3</v>
      </c>
      <c r="E88" s="433"/>
      <c r="F88" s="377" t="s">
        <v>152</v>
      </c>
      <c r="G88" s="377" t="str">
        <f t="shared" si="1"/>
        <v>202509</v>
      </c>
    </row>
    <row r="89" spans="1:10" hidden="1" outlineLevel="1">
      <c r="A89" s="391">
        <v>45926</v>
      </c>
      <c r="B89" s="391">
        <v>45926</v>
      </c>
      <c r="C89" s="392" t="s">
        <v>419</v>
      </c>
      <c r="D89" s="435">
        <v>-9.41</v>
      </c>
      <c r="E89" s="433"/>
      <c r="F89" s="377" t="s">
        <v>148</v>
      </c>
      <c r="G89" s="377" t="str">
        <f t="shared" si="1"/>
        <v>202509</v>
      </c>
    </row>
    <row r="90" spans="1:10" hidden="1" outlineLevel="1">
      <c r="A90" s="391">
        <v>45926</v>
      </c>
      <c r="B90" s="391">
        <v>45926</v>
      </c>
      <c r="C90" s="392" t="s">
        <v>420</v>
      </c>
      <c r="D90" s="435"/>
      <c r="E90" s="433">
        <v>550</v>
      </c>
      <c r="F90" s="377" t="s">
        <v>139</v>
      </c>
      <c r="G90" s="377" t="str">
        <f t="shared" si="1"/>
        <v>202509</v>
      </c>
    </row>
    <row r="91" spans="1:10" hidden="1" outlineLevel="1">
      <c r="A91" s="391">
        <v>45929</v>
      </c>
      <c r="B91" s="391">
        <v>45929</v>
      </c>
      <c r="C91" s="392" t="s">
        <v>421</v>
      </c>
      <c r="D91" s="435">
        <v>-22.9</v>
      </c>
      <c r="E91" s="433"/>
      <c r="F91" s="377" t="s">
        <v>148</v>
      </c>
      <c r="G91" s="377" t="str">
        <f t="shared" si="1"/>
        <v>202509</v>
      </c>
    </row>
    <row r="92" spans="1:10" hidden="1" outlineLevel="1">
      <c r="A92" s="391">
        <v>45930</v>
      </c>
      <c r="B92" s="391">
        <v>45930</v>
      </c>
      <c r="C92" s="392" t="s">
        <v>422</v>
      </c>
      <c r="D92" s="435">
        <v>-406.8</v>
      </c>
      <c r="E92" s="433"/>
      <c r="F92" s="377" t="s">
        <v>151</v>
      </c>
      <c r="G92" s="377" t="str">
        <f t="shared" si="1"/>
        <v>202509</v>
      </c>
    </row>
    <row r="93" spans="1:10" hidden="1" outlineLevel="1">
      <c r="A93" s="391">
        <v>45930</v>
      </c>
      <c r="B93" s="391">
        <v>45930</v>
      </c>
      <c r="C93" s="392" t="s">
        <v>423</v>
      </c>
      <c r="D93" s="435">
        <v>-23.79</v>
      </c>
      <c r="E93" s="433"/>
      <c r="F93" s="377" t="s">
        <v>148</v>
      </c>
      <c r="G93" s="377" t="str">
        <f t="shared" si="1"/>
        <v>202509</v>
      </c>
    </row>
    <row r="94" spans="1:10" hidden="1" outlineLevel="1">
      <c r="A94" s="391">
        <v>45930</v>
      </c>
      <c r="B94" s="391">
        <v>45930</v>
      </c>
      <c r="C94" s="392" t="s">
        <v>424</v>
      </c>
      <c r="D94" s="435">
        <v>-8</v>
      </c>
      <c r="E94" s="433"/>
      <c r="F94" s="377" t="s">
        <v>170</v>
      </c>
      <c r="G94" s="377" t="str">
        <f t="shared" si="1"/>
        <v>202509</v>
      </c>
    </row>
    <row r="95" spans="1:10" hidden="1" outlineLevel="1">
      <c r="A95" s="391">
        <v>45931</v>
      </c>
      <c r="B95" s="391">
        <v>45931</v>
      </c>
      <c r="C95" s="392" t="s">
        <v>425</v>
      </c>
      <c r="D95" s="433">
        <v>-600</v>
      </c>
      <c r="E95" s="433"/>
      <c r="F95" s="377" t="s">
        <v>207</v>
      </c>
      <c r="G95" s="377" t="str">
        <f t="shared" si="1"/>
        <v>202510</v>
      </c>
    </row>
    <row r="96" spans="1:10" hidden="1" outlineLevel="1">
      <c r="A96" s="641"/>
      <c r="B96" s="642"/>
      <c r="C96" s="386"/>
      <c r="D96" s="430"/>
      <c r="E96" s="430"/>
      <c r="F96" s="430"/>
      <c r="G96" s="430"/>
      <c r="H96" s="388"/>
      <c r="I96" s="387"/>
      <c r="J96" s="387"/>
    </row>
    <row r="97" spans="1:7" hidden="1" collapsed="1">
      <c r="A97" s="391">
        <v>45932</v>
      </c>
      <c r="B97" s="391">
        <v>45932</v>
      </c>
      <c r="C97" s="392" t="s">
        <v>426</v>
      </c>
      <c r="D97" s="433">
        <v>-60</v>
      </c>
      <c r="E97" s="433"/>
      <c r="F97" s="377" t="s">
        <v>166</v>
      </c>
      <c r="G97" s="377" t="str">
        <f t="shared" ref="G97:G129" si="2">TEXT(B97,"aaaamm")</f>
        <v>202510</v>
      </c>
    </row>
    <row r="98" spans="1:7" hidden="1">
      <c r="A98" s="391">
        <v>45932</v>
      </c>
      <c r="B98" s="391">
        <v>45932</v>
      </c>
      <c r="C98" s="392" t="s">
        <v>427</v>
      </c>
      <c r="D98" s="435">
        <v>-2</v>
      </c>
      <c r="E98" s="433"/>
      <c r="F98" s="377" t="s">
        <v>152</v>
      </c>
      <c r="G98" s="377" t="str">
        <f t="shared" si="2"/>
        <v>202510</v>
      </c>
    </row>
    <row r="99" spans="1:7" hidden="1">
      <c r="A99" s="391">
        <v>45936</v>
      </c>
      <c r="B99" s="391">
        <v>45936</v>
      </c>
      <c r="C99" s="392" t="s">
        <v>428</v>
      </c>
      <c r="D99" s="435">
        <v>-18</v>
      </c>
      <c r="E99" s="433"/>
      <c r="F99" s="377" t="s">
        <v>142</v>
      </c>
      <c r="G99" s="377" t="str">
        <f t="shared" si="2"/>
        <v>202510</v>
      </c>
    </row>
    <row r="100" spans="1:7" hidden="1">
      <c r="A100" s="391">
        <v>45936</v>
      </c>
      <c r="B100" s="391">
        <v>45936</v>
      </c>
      <c r="C100" s="392" t="s">
        <v>429</v>
      </c>
      <c r="D100" s="435">
        <v>-71.28</v>
      </c>
      <c r="E100" s="433"/>
      <c r="F100" s="377" t="s">
        <v>144</v>
      </c>
      <c r="G100" s="377" t="str">
        <f t="shared" si="2"/>
        <v>202510</v>
      </c>
    </row>
    <row r="101" spans="1:7" hidden="1">
      <c r="A101" s="391">
        <v>45936</v>
      </c>
      <c r="B101" s="391">
        <v>45936</v>
      </c>
      <c r="C101" s="392" t="s">
        <v>430</v>
      </c>
      <c r="D101" s="435">
        <v>-72.989999999999995</v>
      </c>
      <c r="E101" s="433"/>
      <c r="F101" s="377" t="s">
        <v>249</v>
      </c>
      <c r="G101" s="377" t="str">
        <f t="shared" si="2"/>
        <v>202510</v>
      </c>
    </row>
    <row r="102" spans="1:7" hidden="1">
      <c r="A102" s="391">
        <v>45936</v>
      </c>
      <c r="B102" s="391">
        <v>45936</v>
      </c>
      <c r="C102" s="392" t="s">
        <v>431</v>
      </c>
      <c r="D102" s="435">
        <v>-19.170000000000002</v>
      </c>
      <c r="E102" s="433"/>
      <c r="F102" s="377" t="s">
        <v>166</v>
      </c>
      <c r="G102" s="377" t="str">
        <f t="shared" si="2"/>
        <v>202510</v>
      </c>
    </row>
    <row r="103" spans="1:7" hidden="1">
      <c r="A103" s="391">
        <v>45936</v>
      </c>
      <c r="B103" s="391">
        <v>45936</v>
      </c>
      <c r="C103" s="392" t="s">
        <v>432</v>
      </c>
      <c r="D103" s="435">
        <v>-11.2</v>
      </c>
      <c r="E103" s="433"/>
      <c r="F103" s="377" t="s">
        <v>148</v>
      </c>
      <c r="G103" s="377" t="str">
        <f t="shared" si="2"/>
        <v>202510</v>
      </c>
    </row>
    <row r="104" spans="1:7" hidden="1">
      <c r="A104" s="391">
        <v>45936</v>
      </c>
      <c r="B104" s="391">
        <v>45936</v>
      </c>
      <c r="C104" s="392" t="s">
        <v>433</v>
      </c>
      <c r="D104" s="435">
        <v>-41.2</v>
      </c>
      <c r="E104" s="433"/>
      <c r="F104" s="377" t="s">
        <v>148</v>
      </c>
      <c r="G104" s="377" t="str">
        <f t="shared" si="2"/>
        <v>202510</v>
      </c>
    </row>
    <row r="105" spans="1:7" hidden="1">
      <c r="A105" s="391">
        <v>45937</v>
      </c>
      <c r="B105" s="391">
        <v>45937</v>
      </c>
      <c r="C105" s="392" t="s">
        <v>439</v>
      </c>
      <c r="D105" s="435">
        <v>-1065</v>
      </c>
      <c r="E105" s="433"/>
      <c r="F105" s="377" t="s">
        <v>138</v>
      </c>
      <c r="G105" s="377" t="str">
        <f t="shared" si="2"/>
        <v>202510</v>
      </c>
    </row>
    <row r="106" spans="1:7" hidden="1">
      <c r="A106" s="391">
        <v>45938</v>
      </c>
      <c r="B106" s="391">
        <v>45938</v>
      </c>
      <c r="C106" s="392" t="s">
        <v>450</v>
      </c>
      <c r="D106" s="433">
        <v>-12.5</v>
      </c>
      <c r="E106" s="433"/>
      <c r="F106" s="377" t="s">
        <v>152</v>
      </c>
      <c r="G106" s="377" t="str">
        <f t="shared" si="2"/>
        <v>202510</v>
      </c>
    </row>
    <row r="107" spans="1:7" hidden="1">
      <c r="A107" s="391">
        <v>45938</v>
      </c>
      <c r="B107" s="391">
        <v>45938</v>
      </c>
      <c r="C107" s="392" t="s">
        <v>451</v>
      </c>
      <c r="D107" s="433">
        <v>-41.2</v>
      </c>
      <c r="E107" s="433"/>
      <c r="F107" s="377" t="s">
        <v>148</v>
      </c>
      <c r="G107" s="377" t="str">
        <f t="shared" si="2"/>
        <v>202510</v>
      </c>
    </row>
    <row r="108" spans="1:7" hidden="1">
      <c r="A108" s="391">
        <v>45939</v>
      </c>
      <c r="B108" s="391">
        <v>45939</v>
      </c>
      <c r="C108" s="392" t="s">
        <v>452</v>
      </c>
      <c r="D108" s="433">
        <v>-2</v>
      </c>
      <c r="E108" s="433"/>
      <c r="F108" s="377" t="s">
        <v>444</v>
      </c>
      <c r="G108" s="377" t="str">
        <f t="shared" si="2"/>
        <v>202510</v>
      </c>
    </row>
    <row r="109" spans="1:7" hidden="1">
      <c r="A109" s="391">
        <v>45940</v>
      </c>
      <c r="B109" s="391">
        <v>45940</v>
      </c>
      <c r="C109" s="392" t="s">
        <v>453</v>
      </c>
      <c r="D109" s="433">
        <v>-24.27</v>
      </c>
      <c r="E109" s="433"/>
      <c r="F109" s="377" t="s">
        <v>147</v>
      </c>
      <c r="G109" s="377" t="str">
        <f t="shared" si="2"/>
        <v>202510</v>
      </c>
    </row>
    <row r="110" spans="1:7" hidden="1">
      <c r="A110" s="391">
        <v>45940</v>
      </c>
      <c r="B110" s="391">
        <v>45940</v>
      </c>
      <c r="C110" s="392" t="s">
        <v>454</v>
      </c>
      <c r="D110" s="433">
        <v>-787.39</v>
      </c>
      <c r="E110" s="433"/>
      <c r="F110" s="377" t="s">
        <v>145</v>
      </c>
      <c r="G110" s="377" t="str">
        <f t="shared" si="2"/>
        <v>202510</v>
      </c>
    </row>
    <row r="111" spans="1:7" hidden="1">
      <c r="A111" s="391">
        <v>45940</v>
      </c>
      <c r="B111" s="391">
        <v>45931</v>
      </c>
      <c r="C111" s="392" t="s">
        <v>455</v>
      </c>
      <c r="D111" s="533">
        <v>-45.94</v>
      </c>
      <c r="E111" s="533"/>
      <c r="F111" s="377" t="s">
        <v>167</v>
      </c>
      <c r="G111" s="377" t="str">
        <f t="shared" si="2"/>
        <v>202510</v>
      </c>
    </row>
    <row r="112" spans="1:7" hidden="1">
      <c r="A112" s="391">
        <v>45940</v>
      </c>
      <c r="B112" s="391">
        <v>45940</v>
      </c>
      <c r="C112" s="392" t="s">
        <v>456</v>
      </c>
      <c r="D112" s="433">
        <v>-11.2</v>
      </c>
      <c r="E112" s="433"/>
      <c r="F112" s="377" t="s">
        <v>148</v>
      </c>
      <c r="G112" s="377" t="str">
        <f t="shared" si="2"/>
        <v>202510</v>
      </c>
    </row>
    <row r="113" spans="1:7" hidden="1">
      <c r="A113" s="391">
        <v>45943</v>
      </c>
      <c r="B113" s="391">
        <v>45943</v>
      </c>
      <c r="C113" s="392" t="s">
        <v>457</v>
      </c>
      <c r="D113" s="433">
        <v>-12.5</v>
      </c>
      <c r="E113" s="433"/>
      <c r="F113" s="377" t="s">
        <v>148</v>
      </c>
      <c r="G113" s="377" t="str">
        <f t="shared" si="2"/>
        <v>202510</v>
      </c>
    </row>
    <row r="114" spans="1:7" hidden="1">
      <c r="A114" s="391">
        <v>45943</v>
      </c>
      <c r="B114" s="391">
        <v>45943</v>
      </c>
      <c r="C114" s="392" t="s">
        <v>458</v>
      </c>
      <c r="D114" s="433">
        <v>-1.6</v>
      </c>
      <c r="E114" s="433"/>
      <c r="F114" s="377" t="s">
        <v>444</v>
      </c>
      <c r="G114" s="377" t="str">
        <f t="shared" si="2"/>
        <v>202510</v>
      </c>
    </row>
    <row r="115" spans="1:7" hidden="1">
      <c r="A115" s="391">
        <v>45943</v>
      </c>
      <c r="B115" s="391">
        <v>45943</v>
      </c>
      <c r="C115" s="392" t="s">
        <v>459</v>
      </c>
      <c r="D115" s="433">
        <v>-171.67</v>
      </c>
      <c r="E115" s="433"/>
      <c r="F115" s="377" t="s">
        <v>152</v>
      </c>
      <c r="G115" s="377" t="str">
        <f t="shared" si="2"/>
        <v>202510</v>
      </c>
    </row>
    <row r="116" spans="1:7" hidden="1">
      <c r="A116" s="391">
        <v>45947</v>
      </c>
      <c r="B116" s="391">
        <v>45947</v>
      </c>
      <c r="C116" s="392" t="s">
        <v>460</v>
      </c>
      <c r="D116" s="435">
        <v>-1037.8599999999999</v>
      </c>
      <c r="E116" s="433"/>
      <c r="F116" s="377" t="s">
        <v>152</v>
      </c>
      <c r="G116" s="377" t="str">
        <f t="shared" si="2"/>
        <v>202510</v>
      </c>
    </row>
    <row r="117" spans="1:7" hidden="1">
      <c r="A117" s="391">
        <v>45947</v>
      </c>
      <c r="B117" s="391">
        <v>45947</v>
      </c>
      <c r="C117" s="392" t="s">
        <v>461</v>
      </c>
      <c r="D117" s="435">
        <v>-403.87</v>
      </c>
      <c r="E117" s="433"/>
      <c r="F117" s="377" t="s">
        <v>152</v>
      </c>
      <c r="G117" s="377" t="str">
        <f t="shared" si="2"/>
        <v>202510</v>
      </c>
    </row>
    <row r="118" spans="1:7" hidden="1">
      <c r="A118" s="391">
        <v>45950</v>
      </c>
      <c r="B118" s="391">
        <v>45950</v>
      </c>
      <c r="C118" s="392" t="s">
        <v>462</v>
      </c>
      <c r="D118" s="433">
        <v>-41.96</v>
      </c>
      <c r="E118" s="433"/>
      <c r="F118" s="377" t="s">
        <v>152</v>
      </c>
      <c r="G118" s="377" t="str">
        <f t="shared" si="2"/>
        <v>202510</v>
      </c>
    </row>
    <row r="119" spans="1:7" hidden="1">
      <c r="A119" s="391">
        <v>45951</v>
      </c>
      <c r="B119" s="391">
        <v>45951</v>
      </c>
      <c r="C119" s="392" t="s">
        <v>463</v>
      </c>
      <c r="D119" s="433">
        <v>-32.4</v>
      </c>
      <c r="E119" s="433"/>
      <c r="F119" s="377" t="s">
        <v>149</v>
      </c>
      <c r="G119" s="377" t="str">
        <f t="shared" si="2"/>
        <v>202510</v>
      </c>
    </row>
    <row r="120" spans="1:7" hidden="1">
      <c r="A120" s="391">
        <v>45953</v>
      </c>
      <c r="B120" s="391">
        <v>45953</v>
      </c>
      <c r="C120" s="392" t="s">
        <v>464</v>
      </c>
      <c r="D120" s="433">
        <v>-0.8</v>
      </c>
      <c r="E120" s="433"/>
      <c r="F120" s="377" t="s">
        <v>444</v>
      </c>
      <c r="G120" s="377" t="str">
        <f t="shared" si="2"/>
        <v>202510</v>
      </c>
    </row>
    <row r="121" spans="1:7" hidden="1">
      <c r="A121" s="391">
        <v>45953</v>
      </c>
      <c r="B121" s="391">
        <v>45954</v>
      </c>
      <c r="C121" s="392" t="s">
        <v>465</v>
      </c>
      <c r="D121" s="433"/>
      <c r="E121" s="433">
        <v>15000</v>
      </c>
      <c r="F121" s="377" t="s">
        <v>193</v>
      </c>
      <c r="G121" s="377" t="str">
        <f t="shared" si="2"/>
        <v>202510</v>
      </c>
    </row>
    <row r="122" spans="1:7" hidden="1">
      <c r="A122" s="391">
        <v>45953</v>
      </c>
      <c r="B122" s="391">
        <v>45954</v>
      </c>
      <c r="C122" s="392" t="s">
        <v>466</v>
      </c>
      <c r="D122" s="433"/>
      <c r="E122" s="433">
        <v>179.44</v>
      </c>
      <c r="F122" s="377" t="s">
        <v>193</v>
      </c>
      <c r="G122" s="377" t="str">
        <f t="shared" si="2"/>
        <v>202510</v>
      </c>
    </row>
    <row r="123" spans="1:7" hidden="1">
      <c r="A123" s="391">
        <v>45957</v>
      </c>
      <c r="B123" s="391">
        <v>45957</v>
      </c>
      <c r="C123" s="392" t="s">
        <v>467</v>
      </c>
      <c r="D123" s="433">
        <v>-152.37</v>
      </c>
      <c r="E123" s="433"/>
      <c r="F123" s="377" t="s">
        <v>157</v>
      </c>
      <c r="G123" s="377" t="str">
        <f t="shared" si="2"/>
        <v>202510</v>
      </c>
    </row>
    <row r="124" spans="1:7" hidden="1">
      <c r="A124" s="391">
        <v>45957</v>
      </c>
      <c r="B124" s="391">
        <v>45957</v>
      </c>
      <c r="C124" s="392" t="s">
        <v>468</v>
      </c>
      <c r="D124" s="433">
        <v>-190</v>
      </c>
      <c r="E124" s="433"/>
      <c r="F124" s="377" t="s">
        <v>146</v>
      </c>
      <c r="G124" s="377" t="str">
        <f t="shared" si="2"/>
        <v>202510</v>
      </c>
    </row>
    <row r="125" spans="1:7" hidden="1">
      <c r="A125" s="391">
        <v>45957</v>
      </c>
      <c r="B125" s="391">
        <v>45957</v>
      </c>
      <c r="C125" s="392" t="s">
        <v>469</v>
      </c>
      <c r="D125" s="433"/>
      <c r="E125" s="433">
        <v>3000</v>
      </c>
      <c r="F125" s="377" t="s">
        <v>139</v>
      </c>
      <c r="G125" s="377" t="str">
        <f t="shared" si="2"/>
        <v>202510</v>
      </c>
    </row>
    <row r="126" spans="1:7" hidden="1">
      <c r="A126" s="391">
        <v>45958</v>
      </c>
      <c r="B126" s="391">
        <v>45870</v>
      </c>
      <c r="C126" s="392" t="s">
        <v>470</v>
      </c>
      <c r="D126" s="533"/>
      <c r="E126" s="533">
        <v>222</v>
      </c>
      <c r="F126" s="377" t="s">
        <v>167</v>
      </c>
      <c r="G126" s="377">
        <v>202510</v>
      </c>
    </row>
    <row r="127" spans="1:7" hidden="1">
      <c r="A127" s="391">
        <v>45959</v>
      </c>
      <c r="B127" s="391">
        <v>45959</v>
      </c>
      <c r="C127" s="392" t="s">
        <v>471</v>
      </c>
      <c r="D127" s="433"/>
      <c r="E127" s="433">
        <v>1000</v>
      </c>
      <c r="F127" s="377" t="s">
        <v>139</v>
      </c>
      <c r="G127" s="377" t="str">
        <f t="shared" si="2"/>
        <v>202510</v>
      </c>
    </row>
    <row r="128" spans="1:7" hidden="1">
      <c r="A128" s="391">
        <v>45960</v>
      </c>
      <c r="B128" s="391">
        <v>45960</v>
      </c>
      <c r="C128" s="392" t="s">
        <v>472</v>
      </c>
      <c r="D128" s="433">
        <v>-2</v>
      </c>
      <c r="E128" s="433"/>
      <c r="F128" s="377" t="s">
        <v>444</v>
      </c>
      <c r="G128" s="377" t="str">
        <f t="shared" si="2"/>
        <v>202510</v>
      </c>
    </row>
    <row r="129" spans="1:7" hidden="1">
      <c r="A129" s="391">
        <v>45960</v>
      </c>
      <c r="B129" s="391">
        <v>45959</v>
      </c>
      <c r="C129" s="392" t="s">
        <v>473</v>
      </c>
      <c r="D129" s="433">
        <v>-225.6</v>
      </c>
      <c r="E129" s="433"/>
      <c r="F129" s="377" t="s">
        <v>581</v>
      </c>
      <c r="G129" s="377" t="str">
        <f t="shared" si="2"/>
        <v>202510</v>
      </c>
    </row>
    <row r="130" spans="1:7" hidden="1">
      <c r="A130" s="638"/>
      <c r="B130" s="638"/>
      <c r="C130" s="389"/>
      <c r="D130" s="431"/>
      <c r="E130" s="431"/>
      <c r="F130" s="431"/>
      <c r="G130" s="431"/>
    </row>
    <row r="131" spans="1:7" hidden="1">
      <c r="A131" s="391">
        <v>45962</v>
      </c>
      <c r="B131" s="391">
        <v>45962</v>
      </c>
      <c r="C131" s="392" t="s">
        <v>474</v>
      </c>
      <c r="D131" s="433">
        <v>-600</v>
      </c>
      <c r="E131" s="433"/>
      <c r="F131" s="377" t="s">
        <v>207</v>
      </c>
      <c r="G131" s="377" t="str">
        <f t="shared" ref="G131:G170" si="3">TEXT(B131,"aaaamm")</f>
        <v>202511</v>
      </c>
    </row>
    <row r="132" spans="1:7" hidden="1">
      <c r="A132" s="391">
        <v>45962</v>
      </c>
      <c r="B132" s="391">
        <v>45962</v>
      </c>
      <c r="C132" s="392" t="s">
        <v>475</v>
      </c>
      <c r="D132" s="433">
        <v>-2200</v>
      </c>
      <c r="E132" s="433"/>
      <c r="F132" s="377" t="s">
        <v>141</v>
      </c>
      <c r="G132" s="377" t="str">
        <f t="shared" si="3"/>
        <v>202511</v>
      </c>
    </row>
    <row r="133" spans="1:7" hidden="1">
      <c r="A133" s="391">
        <v>45965</v>
      </c>
      <c r="B133" s="391">
        <v>45965</v>
      </c>
      <c r="C133" s="392" t="s">
        <v>476</v>
      </c>
      <c r="D133" s="433">
        <v>-19.170000000000002</v>
      </c>
      <c r="E133" s="433"/>
      <c r="F133" s="377" t="s">
        <v>166</v>
      </c>
      <c r="G133" s="377" t="str">
        <f t="shared" si="3"/>
        <v>202511</v>
      </c>
    </row>
    <row r="134" spans="1:7" hidden="1">
      <c r="A134" s="391">
        <v>45965</v>
      </c>
      <c r="B134" s="391">
        <v>45965</v>
      </c>
      <c r="C134" s="392" t="s">
        <v>477</v>
      </c>
      <c r="D134" s="433">
        <v>-60</v>
      </c>
      <c r="E134" s="433"/>
      <c r="F134" s="377" t="s">
        <v>166</v>
      </c>
      <c r="G134" s="377" t="str">
        <f t="shared" si="3"/>
        <v>202511</v>
      </c>
    </row>
    <row r="135" spans="1:7" hidden="1">
      <c r="A135" s="391">
        <v>45966</v>
      </c>
      <c r="B135" s="391">
        <v>45966</v>
      </c>
      <c r="C135" s="392" t="s">
        <v>478</v>
      </c>
      <c r="D135" s="433">
        <v>-718</v>
      </c>
      <c r="E135" s="433"/>
      <c r="F135" s="377" t="s">
        <v>142</v>
      </c>
      <c r="G135" s="377" t="str">
        <f t="shared" si="3"/>
        <v>202511</v>
      </c>
    </row>
    <row r="136" spans="1:7" hidden="1">
      <c r="A136" s="391">
        <v>45966</v>
      </c>
      <c r="B136" s="391">
        <v>45966</v>
      </c>
      <c r="C136" s="392" t="s">
        <v>479</v>
      </c>
      <c r="D136" s="433">
        <v>-75.180000000000007</v>
      </c>
      <c r="E136" s="433"/>
      <c r="F136" s="377" t="s">
        <v>144</v>
      </c>
      <c r="G136" s="377" t="str">
        <f t="shared" si="3"/>
        <v>202511</v>
      </c>
    </row>
    <row r="137" spans="1:7" hidden="1">
      <c r="A137" s="391">
        <v>45966</v>
      </c>
      <c r="B137" s="391">
        <v>45966</v>
      </c>
      <c r="C137" s="392" t="s">
        <v>480</v>
      </c>
      <c r="D137" s="433"/>
      <c r="E137" s="433">
        <v>60</v>
      </c>
      <c r="F137" s="377" t="s">
        <v>158</v>
      </c>
      <c r="G137" s="377" t="str">
        <f t="shared" si="3"/>
        <v>202511</v>
      </c>
    </row>
    <row r="138" spans="1:7" hidden="1">
      <c r="A138" s="391">
        <v>45966</v>
      </c>
      <c r="B138" s="391">
        <v>45966</v>
      </c>
      <c r="C138" s="392" t="s">
        <v>481</v>
      </c>
      <c r="D138" s="433">
        <v>-64.3</v>
      </c>
      <c r="E138" s="433"/>
      <c r="F138" s="377" t="s">
        <v>148</v>
      </c>
      <c r="G138" s="377" t="str">
        <f t="shared" si="3"/>
        <v>202511</v>
      </c>
    </row>
    <row r="139" spans="1:7" hidden="1">
      <c r="A139" s="391">
        <v>45967</v>
      </c>
      <c r="B139" s="391">
        <v>45967</v>
      </c>
      <c r="C139" s="392" t="s">
        <v>482</v>
      </c>
      <c r="D139" s="433">
        <v>-50</v>
      </c>
      <c r="E139" s="433"/>
      <c r="F139" s="377" t="s">
        <v>207</v>
      </c>
      <c r="G139" s="377" t="str">
        <f t="shared" si="3"/>
        <v>202511</v>
      </c>
    </row>
    <row r="140" spans="1:7" hidden="1">
      <c r="A140" s="391">
        <v>45967</v>
      </c>
      <c r="B140" s="391">
        <v>45967</v>
      </c>
      <c r="C140" s="392" t="s">
        <v>483</v>
      </c>
      <c r="D140" s="433">
        <v>-50</v>
      </c>
      <c r="E140" s="433"/>
      <c r="F140" s="377" t="s">
        <v>207</v>
      </c>
      <c r="G140" s="377" t="str">
        <f t="shared" si="3"/>
        <v>202511</v>
      </c>
    </row>
    <row r="141" spans="1:7" hidden="1">
      <c r="A141" s="391">
        <v>45967</v>
      </c>
      <c r="B141" s="391">
        <v>45967</v>
      </c>
      <c r="C141" s="392" t="s">
        <v>484</v>
      </c>
      <c r="D141" s="433">
        <v>-23.99</v>
      </c>
      <c r="E141" s="433"/>
      <c r="F141" s="377" t="s">
        <v>249</v>
      </c>
      <c r="G141" s="377" t="str">
        <f t="shared" si="3"/>
        <v>202511</v>
      </c>
    </row>
    <row r="142" spans="1:7" hidden="1">
      <c r="A142" s="391">
        <v>45967</v>
      </c>
      <c r="B142" s="391">
        <v>45967</v>
      </c>
      <c r="C142" s="392" t="s">
        <v>485</v>
      </c>
      <c r="D142" s="433">
        <v>-1.75</v>
      </c>
      <c r="E142" s="433"/>
      <c r="F142" s="377" t="s">
        <v>444</v>
      </c>
      <c r="G142" s="377" t="str">
        <f t="shared" si="3"/>
        <v>202511</v>
      </c>
    </row>
    <row r="143" spans="1:7" hidden="1">
      <c r="A143" s="391">
        <v>45967</v>
      </c>
      <c r="B143" s="391">
        <v>45967</v>
      </c>
      <c r="C143" s="392" t="s">
        <v>486</v>
      </c>
      <c r="D143" s="433">
        <v>-2</v>
      </c>
      <c r="E143" s="433"/>
      <c r="F143" s="377" t="s">
        <v>444</v>
      </c>
      <c r="G143" s="377" t="str">
        <f t="shared" si="3"/>
        <v>202511</v>
      </c>
    </row>
    <row r="144" spans="1:7" hidden="1">
      <c r="A144" s="391">
        <v>45967</v>
      </c>
      <c r="B144" s="391">
        <v>45967</v>
      </c>
      <c r="C144" s="392" t="s">
        <v>487</v>
      </c>
      <c r="D144" s="433">
        <v>-650</v>
      </c>
      <c r="E144" s="433"/>
      <c r="F144" s="377" t="s">
        <v>150</v>
      </c>
      <c r="G144" s="377" t="str">
        <f t="shared" si="3"/>
        <v>202511</v>
      </c>
    </row>
    <row r="145" spans="1:7" hidden="1">
      <c r="A145" s="391">
        <v>45967</v>
      </c>
      <c r="B145" s="391">
        <v>45967</v>
      </c>
      <c r="C145" s="392" t="s">
        <v>488</v>
      </c>
      <c r="D145" s="433">
        <v>-750</v>
      </c>
      <c r="E145" s="433"/>
      <c r="F145" s="377" t="s">
        <v>150</v>
      </c>
      <c r="G145" s="377" t="str">
        <f t="shared" si="3"/>
        <v>202511</v>
      </c>
    </row>
    <row r="146" spans="1:7" hidden="1">
      <c r="A146" s="391">
        <v>45967</v>
      </c>
      <c r="B146" s="391">
        <v>45967</v>
      </c>
      <c r="C146" s="392" t="s">
        <v>489</v>
      </c>
      <c r="D146" s="433">
        <v>-62.24</v>
      </c>
      <c r="E146" s="433"/>
      <c r="F146" s="377" t="s">
        <v>148</v>
      </c>
      <c r="G146" s="377" t="str">
        <f t="shared" si="3"/>
        <v>202511</v>
      </c>
    </row>
    <row r="147" spans="1:7" hidden="1">
      <c r="A147" s="391">
        <v>45967</v>
      </c>
      <c r="B147" s="391">
        <v>45967</v>
      </c>
      <c r="C147" s="392" t="s">
        <v>490</v>
      </c>
      <c r="D147" s="433">
        <v>-548.29999999999995</v>
      </c>
      <c r="E147" s="433"/>
      <c r="F147" s="377" t="s">
        <v>138</v>
      </c>
      <c r="G147" s="377" t="str">
        <f t="shared" si="3"/>
        <v>202511</v>
      </c>
    </row>
    <row r="148" spans="1:7" hidden="1">
      <c r="A148" s="391">
        <v>45967</v>
      </c>
      <c r="B148" s="391">
        <v>45967</v>
      </c>
      <c r="C148" s="392" t="s">
        <v>491</v>
      </c>
      <c r="D148" s="433">
        <v>-55</v>
      </c>
      <c r="E148" s="433"/>
      <c r="F148" s="377" t="s">
        <v>170</v>
      </c>
      <c r="G148" s="377" t="str">
        <f t="shared" si="3"/>
        <v>202511</v>
      </c>
    </row>
    <row r="149" spans="1:7" hidden="1">
      <c r="A149" s="391">
        <v>45971</v>
      </c>
      <c r="B149" s="391">
        <v>45971</v>
      </c>
      <c r="C149" s="392" t="s">
        <v>492</v>
      </c>
      <c r="D149" s="433">
        <v>-24.83</v>
      </c>
      <c r="E149" s="433"/>
      <c r="F149" s="377" t="s">
        <v>147</v>
      </c>
      <c r="G149" s="377" t="str">
        <f t="shared" si="3"/>
        <v>202511</v>
      </c>
    </row>
    <row r="150" spans="1:7" hidden="1">
      <c r="A150" s="391">
        <v>45971</v>
      </c>
      <c r="B150" s="391">
        <v>45962</v>
      </c>
      <c r="C150" s="392" t="s">
        <v>493</v>
      </c>
      <c r="D150" s="533">
        <v>-45.94</v>
      </c>
      <c r="E150" s="533"/>
      <c r="F150" s="377" t="s">
        <v>167</v>
      </c>
      <c r="G150" s="377" t="str">
        <f t="shared" si="3"/>
        <v>202511</v>
      </c>
    </row>
    <row r="151" spans="1:7" hidden="1">
      <c r="A151" s="391">
        <v>45971</v>
      </c>
      <c r="B151" s="391">
        <v>45971</v>
      </c>
      <c r="C151" s="392" t="s">
        <v>494</v>
      </c>
      <c r="D151" s="433">
        <v>-50</v>
      </c>
      <c r="E151" s="433"/>
      <c r="F151" s="377" t="s">
        <v>152</v>
      </c>
      <c r="G151" s="377" t="str">
        <f t="shared" si="3"/>
        <v>202511</v>
      </c>
    </row>
    <row r="152" spans="1:7" hidden="1">
      <c r="A152" s="391">
        <v>45971</v>
      </c>
      <c r="B152" s="391">
        <v>45971</v>
      </c>
      <c r="C152" s="392" t="s">
        <v>495</v>
      </c>
      <c r="D152" s="433">
        <v>-6.34</v>
      </c>
      <c r="E152" s="433"/>
      <c r="F152" s="377" t="s">
        <v>160</v>
      </c>
      <c r="G152" s="377" t="str">
        <f t="shared" si="3"/>
        <v>202511</v>
      </c>
    </row>
    <row r="153" spans="1:7" hidden="1">
      <c r="A153" s="391">
        <v>45971</v>
      </c>
      <c r="B153" s="391">
        <v>45971</v>
      </c>
      <c r="C153" s="392" t="s">
        <v>496</v>
      </c>
      <c r="D153" s="433">
        <v>-207.17</v>
      </c>
      <c r="E153" s="433"/>
      <c r="F153" s="377" t="s">
        <v>160</v>
      </c>
      <c r="G153" s="377" t="str">
        <f t="shared" si="3"/>
        <v>202511</v>
      </c>
    </row>
    <row r="154" spans="1:7" hidden="1">
      <c r="A154" s="391">
        <v>45971</v>
      </c>
      <c r="B154" s="391">
        <v>45971</v>
      </c>
      <c r="C154" s="392" t="s">
        <v>497</v>
      </c>
      <c r="D154" s="433">
        <v>-24</v>
      </c>
      <c r="E154" s="433"/>
      <c r="F154" s="377" t="s">
        <v>148</v>
      </c>
      <c r="G154" s="377" t="str">
        <f t="shared" si="3"/>
        <v>202511</v>
      </c>
    </row>
    <row r="155" spans="1:7" hidden="1">
      <c r="A155" s="391">
        <v>45973</v>
      </c>
      <c r="B155" s="391">
        <v>45973</v>
      </c>
      <c r="C155" s="392" t="s">
        <v>498</v>
      </c>
      <c r="D155" s="433">
        <v>-5.6</v>
      </c>
      <c r="E155" s="433"/>
      <c r="F155" s="377" t="s">
        <v>148</v>
      </c>
      <c r="G155" s="377" t="str">
        <f t="shared" si="3"/>
        <v>202511</v>
      </c>
    </row>
    <row r="156" spans="1:7" hidden="1">
      <c r="A156" s="391">
        <v>45973</v>
      </c>
      <c r="B156" s="391">
        <v>45973</v>
      </c>
      <c r="C156" s="392" t="s">
        <v>499</v>
      </c>
      <c r="D156" s="433">
        <v>-1.1000000000000001</v>
      </c>
      <c r="E156" s="433"/>
      <c r="F156" s="377" t="s">
        <v>444</v>
      </c>
      <c r="G156" s="377" t="str">
        <f t="shared" si="3"/>
        <v>202511</v>
      </c>
    </row>
    <row r="157" spans="1:7" hidden="1">
      <c r="A157" s="391">
        <v>45974</v>
      </c>
      <c r="B157" s="391">
        <v>45974</v>
      </c>
      <c r="C157" s="392" t="s">
        <v>500</v>
      </c>
      <c r="D157" s="433"/>
      <c r="E157" s="433">
        <v>246</v>
      </c>
      <c r="F157" s="377" t="s">
        <v>139</v>
      </c>
      <c r="G157" s="377" t="str">
        <f t="shared" si="3"/>
        <v>202511</v>
      </c>
    </row>
    <row r="158" spans="1:7" hidden="1">
      <c r="A158" s="391">
        <v>45975</v>
      </c>
      <c r="B158" s="391">
        <v>45975</v>
      </c>
      <c r="C158" s="392" t="s">
        <v>501</v>
      </c>
      <c r="D158" s="433">
        <v>-58.8</v>
      </c>
      <c r="E158" s="433"/>
      <c r="F158" s="377" t="s">
        <v>148</v>
      </c>
      <c r="G158" s="377" t="str">
        <f t="shared" si="3"/>
        <v>202511</v>
      </c>
    </row>
    <row r="159" spans="1:7" hidden="1">
      <c r="A159" s="391">
        <v>45978</v>
      </c>
      <c r="B159" s="391">
        <v>45978</v>
      </c>
      <c r="C159" s="392" t="s">
        <v>502</v>
      </c>
      <c r="D159" s="433"/>
      <c r="E159" s="433">
        <v>246</v>
      </c>
      <c r="F159" s="377" t="s">
        <v>139</v>
      </c>
      <c r="G159" s="377" t="str">
        <f t="shared" si="3"/>
        <v>202511</v>
      </c>
    </row>
    <row r="160" spans="1:7" hidden="1">
      <c r="A160" s="391">
        <v>45978</v>
      </c>
      <c r="B160" s="391">
        <v>45978</v>
      </c>
      <c r="C160" s="392" t="s">
        <v>503</v>
      </c>
      <c r="D160" s="433">
        <v>-11.5</v>
      </c>
      <c r="E160" s="433"/>
      <c r="F160" s="377" t="s">
        <v>148</v>
      </c>
      <c r="G160" s="377" t="str">
        <f t="shared" si="3"/>
        <v>202511</v>
      </c>
    </row>
    <row r="161" spans="1:7" hidden="1">
      <c r="A161" s="391">
        <v>45981</v>
      </c>
      <c r="B161" s="391">
        <v>45981</v>
      </c>
      <c r="C161" s="392" t="s">
        <v>504</v>
      </c>
      <c r="D161" s="433">
        <v>-2.48</v>
      </c>
      <c r="E161" s="433"/>
      <c r="F161" s="377" t="s">
        <v>444</v>
      </c>
      <c r="G161" s="377" t="str">
        <f t="shared" si="3"/>
        <v>202511</v>
      </c>
    </row>
    <row r="162" spans="1:7" hidden="1">
      <c r="A162" s="391">
        <v>45982</v>
      </c>
      <c r="B162" s="391">
        <v>45982</v>
      </c>
      <c r="C162" s="392" t="s">
        <v>505</v>
      </c>
      <c r="D162" s="433"/>
      <c r="E162" s="433">
        <v>246</v>
      </c>
      <c r="F162" s="377" t="s">
        <v>139</v>
      </c>
      <c r="G162" s="377" t="str">
        <f t="shared" si="3"/>
        <v>202511</v>
      </c>
    </row>
    <row r="163" spans="1:7" hidden="1">
      <c r="A163" s="391">
        <v>45982</v>
      </c>
      <c r="B163" s="391">
        <v>45982</v>
      </c>
      <c r="C163" s="392" t="s">
        <v>463</v>
      </c>
      <c r="D163" s="433">
        <v>-32.4</v>
      </c>
      <c r="E163" s="433"/>
      <c r="F163" s="377" t="s">
        <v>149</v>
      </c>
      <c r="G163" s="377" t="str">
        <f t="shared" si="3"/>
        <v>202511</v>
      </c>
    </row>
    <row r="164" spans="1:7" hidden="1">
      <c r="A164" s="391">
        <v>45982</v>
      </c>
      <c r="B164" s="391">
        <v>45982</v>
      </c>
      <c r="C164" s="392" t="s">
        <v>506</v>
      </c>
      <c r="D164" s="433">
        <v>-1.4</v>
      </c>
      <c r="E164" s="433"/>
      <c r="F164" s="377" t="s">
        <v>444</v>
      </c>
      <c r="G164" s="377" t="str">
        <f t="shared" si="3"/>
        <v>202511</v>
      </c>
    </row>
    <row r="165" spans="1:7" hidden="1">
      <c r="A165" s="391">
        <v>45982</v>
      </c>
      <c r="B165" s="391">
        <v>45982</v>
      </c>
      <c r="C165" s="392" t="s">
        <v>507</v>
      </c>
      <c r="D165" s="433">
        <v>-44.3</v>
      </c>
      <c r="E165" s="433"/>
      <c r="F165" s="377" t="s">
        <v>148</v>
      </c>
      <c r="G165" s="377" t="str">
        <f t="shared" si="3"/>
        <v>202511</v>
      </c>
    </row>
    <row r="166" spans="1:7" hidden="1">
      <c r="A166" s="391">
        <v>45985</v>
      </c>
      <c r="B166" s="391">
        <v>45985</v>
      </c>
      <c r="C166" s="392" t="s">
        <v>508</v>
      </c>
      <c r="D166" s="433">
        <v>-13.76</v>
      </c>
      <c r="E166" s="433"/>
      <c r="F166" s="377" t="s">
        <v>158</v>
      </c>
      <c r="G166" s="377" t="str">
        <f t="shared" si="3"/>
        <v>202511</v>
      </c>
    </row>
    <row r="167" spans="1:7" hidden="1">
      <c r="A167" s="391">
        <v>45986</v>
      </c>
      <c r="B167" s="391">
        <v>45986</v>
      </c>
      <c r="C167" s="392" t="s">
        <v>467</v>
      </c>
      <c r="D167" s="433">
        <v>-152.37</v>
      </c>
      <c r="E167" s="433"/>
      <c r="F167" s="377" t="s">
        <v>157</v>
      </c>
      <c r="G167" s="377" t="str">
        <f t="shared" si="3"/>
        <v>202511</v>
      </c>
    </row>
    <row r="168" spans="1:7" hidden="1">
      <c r="A168" s="391">
        <v>45986</v>
      </c>
      <c r="B168" s="391">
        <v>45986</v>
      </c>
      <c r="C168" s="392" t="s">
        <v>468</v>
      </c>
      <c r="D168" s="433">
        <v>-190</v>
      </c>
      <c r="E168" s="433"/>
      <c r="F168" s="377" t="s">
        <v>146</v>
      </c>
      <c r="G168" s="377" t="str">
        <f t="shared" si="3"/>
        <v>202511</v>
      </c>
    </row>
    <row r="169" spans="1:7" hidden="1">
      <c r="A169" s="391">
        <v>45988</v>
      </c>
      <c r="B169" s="391">
        <v>45988</v>
      </c>
      <c r="C169" s="392" t="s">
        <v>509</v>
      </c>
      <c r="D169" s="433"/>
      <c r="E169" s="433">
        <v>800</v>
      </c>
      <c r="F169" s="377" t="s">
        <v>139</v>
      </c>
      <c r="G169" s="377" t="str">
        <f t="shared" si="3"/>
        <v>202511</v>
      </c>
    </row>
    <row r="170" spans="1:7" hidden="1">
      <c r="A170" s="391">
        <v>45988</v>
      </c>
      <c r="B170" s="391">
        <v>45988</v>
      </c>
      <c r="C170" s="392" t="s">
        <v>510</v>
      </c>
      <c r="D170" s="433">
        <v>-1.3</v>
      </c>
      <c r="E170" s="433"/>
      <c r="F170" s="377" t="s">
        <v>444</v>
      </c>
      <c r="G170" s="377" t="str">
        <f t="shared" si="3"/>
        <v>202511</v>
      </c>
    </row>
    <row r="171" spans="1:7" hidden="1">
      <c r="A171" s="638"/>
      <c r="B171" s="638"/>
      <c r="C171" s="389"/>
      <c r="D171" s="431"/>
      <c r="E171" s="431"/>
      <c r="F171" s="390"/>
      <c r="G171" s="390"/>
    </row>
    <row r="172" spans="1:7" hidden="1">
      <c r="A172" s="391">
        <v>45992</v>
      </c>
      <c r="B172" s="391">
        <v>45992</v>
      </c>
      <c r="C172" s="392" t="s">
        <v>529</v>
      </c>
      <c r="D172" s="505">
        <v>-2200</v>
      </c>
      <c r="E172" s="505"/>
      <c r="F172" s="377" t="s">
        <v>141</v>
      </c>
      <c r="G172" s="377" t="str">
        <f t="shared" ref="G172:G204" si="4">TEXT(B172,"aaaamm")</f>
        <v>202512</v>
      </c>
    </row>
    <row r="173" spans="1:7" hidden="1">
      <c r="A173" s="391">
        <v>45992</v>
      </c>
      <c r="B173" s="391">
        <v>45992</v>
      </c>
      <c r="C173" s="392" t="s">
        <v>530</v>
      </c>
      <c r="D173" s="505">
        <v>-650</v>
      </c>
      <c r="E173" s="505"/>
      <c r="F173" s="377" t="s">
        <v>207</v>
      </c>
      <c r="G173" s="377" t="str">
        <f t="shared" si="4"/>
        <v>202512</v>
      </c>
    </row>
    <row r="174" spans="1:7" hidden="1">
      <c r="A174" s="391">
        <v>45992</v>
      </c>
      <c r="B174" s="391">
        <v>45992</v>
      </c>
      <c r="C174" s="392" t="s">
        <v>531</v>
      </c>
      <c r="D174" s="505">
        <v>-3.98</v>
      </c>
      <c r="E174" s="505"/>
      <c r="F174" s="377" t="s">
        <v>158</v>
      </c>
      <c r="G174" s="377" t="str">
        <f t="shared" si="4"/>
        <v>202512</v>
      </c>
    </row>
    <row r="175" spans="1:7" hidden="1">
      <c r="A175" s="391">
        <v>45992</v>
      </c>
      <c r="B175" s="391">
        <v>45992</v>
      </c>
      <c r="C175" s="392" t="s">
        <v>532</v>
      </c>
      <c r="D175" s="505">
        <v>-32.799999999999997</v>
      </c>
      <c r="E175" s="505"/>
      <c r="F175" s="377" t="s">
        <v>148</v>
      </c>
      <c r="G175" s="377" t="str">
        <f t="shared" si="4"/>
        <v>202512</v>
      </c>
    </row>
    <row r="176" spans="1:7" hidden="1">
      <c r="A176" s="391">
        <v>45992</v>
      </c>
      <c r="B176" s="391">
        <v>45992</v>
      </c>
      <c r="C176" s="392" t="s">
        <v>533</v>
      </c>
      <c r="D176" s="505">
        <v>-53.59</v>
      </c>
      <c r="E176" s="505"/>
      <c r="F176" s="377" t="s">
        <v>158</v>
      </c>
      <c r="G176" s="377" t="str">
        <f t="shared" si="4"/>
        <v>202512</v>
      </c>
    </row>
    <row r="177" spans="1:7" hidden="1">
      <c r="A177" s="391">
        <v>45992</v>
      </c>
      <c r="B177" s="391">
        <v>45992</v>
      </c>
      <c r="C177" s="392" t="s">
        <v>534</v>
      </c>
      <c r="D177" s="505">
        <v>-10.9</v>
      </c>
      <c r="E177" s="505"/>
      <c r="F177" s="377" t="s">
        <v>148</v>
      </c>
      <c r="G177" s="377" t="str">
        <f t="shared" si="4"/>
        <v>202512</v>
      </c>
    </row>
    <row r="178" spans="1:7" hidden="1">
      <c r="A178" s="391">
        <v>45993</v>
      </c>
      <c r="B178" s="391">
        <v>45993</v>
      </c>
      <c r="C178" s="392" t="s">
        <v>535</v>
      </c>
      <c r="D178" s="505">
        <v>-60</v>
      </c>
      <c r="E178" s="505"/>
      <c r="F178" s="377" t="s">
        <v>166</v>
      </c>
      <c r="G178" s="377" t="str">
        <f t="shared" si="4"/>
        <v>202512</v>
      </c>
    </row>
    <row r="179" spans="1:7" hidden="1">
      <c r="A179" s="391">
        <v>45993</v>
      </c>
      <c r="B179" s="391">
        <v>45993</v>
      </c>
      <c r="C179" s="392" t="s">
        <v>536</v>
      </c>
      <c r="D179" s="505">
        <v>-94.5</v>
      </c>
      <c r="E179" s="505"/>
      <c r="F179" s="377" t="s">
        <v>158</v>
      </c>
      <c r="G179" s="377" t="str">
        <f t="shared" si="4"/>
        <v>202512</v>
      </c>
    </row>
    <row r="180" spans="1:7" hidden="1">
      <c r="A180" s="391">
        <v>45995</v>
      </c>
      <c r="B180" s="391">
        <v>45995</v>
      </c>
      <c r="C180" s="392" t="s">
        <v>537</v>
      </c>
      <c r="D180" s="505">
        <v>-19.170000000000002</v>
      </c>
      <c r="E180" s="505"/>
      <c r="F180" s="377" t="s">
        <v>166</v>
      </c>
      <c r="G180" s="377" t="str">
        <f t="shared" si="4"/>
        <v>202512</v>
      </c>
    </row>
    <row r="181" spans="1:7" hidden="1">
      <c r="A181" s="391">
        <v>45995</v>
      </c>
      <c r="B181" s="391">
        <v>45995</v>
      </c>
      <c r="C181" s="392" t="s">
        <v>538</v>
      </c>
      <c r="D181" s="505">
        <v>-30</v>
      </c>
      <c r="E181" s="505"/>
      <c r="F181" s="377" t="s">
        <v>170</v>
      </c>
      <c r="G181" s="377" t="str">
        <f t="shared" si="4"/>
        <v>202512</v>
      </c>
    </row>
    <row r="182" spans="1:7" hidden="1">
      <c r="A182" s="391">
        <v>45996</v>
      </c>
      <c r="B182" s="391">
        <v>45996</v>
      </c>
      <c r="C182" s="392" t="s">
        <v>539</v>
      </c>
      <c r="D182" s="505">
        <v>-600</v>
      </c>
      <c r="E182" s="505"/>
      <c r="F182" s="377" t="s">
        <v>142</v>
      </c>
      <c r="G182" s="377" t="str">
        <f t="shared" si="4"/>
        <v>202512</v>
      </c>
    </row>
    <row r="183" spans="1:7" hidden="1">
      <c r="A183" s="391">
        <v>45996</v>
      </c>
      <c r="B183" s="391">
        <v>45996</v>
      </c>
      <c r="C183" s="392" t="s">
        <v>479</v>
      </c>
      <c r="D183" s="505">
        <v>-75.180000000000007</v>
      </c>
      <c r="E183" s="505"/>
      <c r="F183" s="377" t="s">
        <v>144</v>
      </c>
      <c r="G183" s="377" t="str">
        <f t="shared" si="4"/>
        <v>202512</v>
      </c>
    </row>
    <row r="184" spans="1:7" hidden="1">
      <c r="A184" s="391">
        <v>45996</v>
      </c>
      <c r="B184" s="391">
        <v>45996</v>
      </c>
      <c r="C184" s="392" t="s">
        <v>540</v>
      </c>
      <c r="D184" s="505">
        <v>-23.99</v>
      </c>
      <c r="E184" s="505"/>
      <c r="F184" s="377" t="s">
        <v>249</v>
      </c>
      <c r="G184" s="377" t="str">
        <f t="shared" si="4"/>
        <v>202512</v>
      </c>
    </row>
    <row r="185" spans="1:7" hidden="1">
      <c r="A185" s="391">
        <v>45996</v>
      </c>
      <c r="B185" s="391">
        <v>45996</v>
      </c>
      <c r="C185" s="392" t="s">
        <v>541</v>
      </c>
      <c r="D185" s="505">
        <v>-2.1</v>
      </c>
      <c r="E185" s="505"/>
      <c r="F185" s="377" t="s">
        <v>444</v>
      </c>
      <c r="G185" s="377" t="str">
        <f t="shared" si="4"/>
        <v>202512</v>
      </c>
    </row>
    <row r="186" spans="1:7" hidden="1">
      <c r="A186" s="391">
        <v>45999</v>
      </c>
      <c r="B186" s="391">
        <v>45999</v>
      </c>
      <c r="C186" s="392" t="s">
        <v>542</v>
      </c>
      <c r="D186" s="505"/>
      <c r="E186" s="505">
        <v>2280</v>
      </c>
      <c r="F186" s="377" t="s">
        <v>139</v>
      </c>
      <c r="G186" s="377" t="str">
        <f t="shared" si="4"/>
        <v>202512</v>
      </c>
    </row>
    <row r="187" spans="1:7" hidden="1">
      <c r="A187" s="391">
        <v>46001</v>
      </c>
      <c r="B187" s="391">
        <v>46001</v>
      </c>
      <c r="C187" s="392" t="s">
        <v>543</v>
      </c>
      <c r="D187" s="505">
        <v>-24.84</v>
      </c>
      <c r="E187" s="505"/>
      <c r="F187" s="377" t="s">
        <v>147</v>
      </c>
      <c r="G187" s="377" t="str">
        <f t="shared" si="4"/>
        <v>202512</v>
      </c>
    </row>
    <row r="188" spans="1:7" hidden="1">
      <c r="A188" s="391">
        <v>46001</v>
      </c>
      <c r="B188" s="391">
        <v>45992</v>
      </c>
      <c r="C188" s="392" t="s">
        <v>544</v>
      </c>
      <c r="D188" s="547">
        <v>-46.99</v>
      </c>
      <c r="E188" s="547"/>
      <c r="F188" s="377" t="s">
        <v>167</v>
      </c>
      <c r="G188" s="377" t="str">
        <f t="shared" si="4"/>
        <v>202512</v>
      </c>
    </row>
    <row r="189" spans="1:7" hidden="1">
      <c r="A189" s="391">
        <v>46002</v>
      </c>
      <c r="B189" s="391">
        <v>46002</v>
      </c>
      <c r="C189" s="392" t="s">
        <v>545</v>
      </c>
      <c r="D189" s="505"/>
      <c r="E189" s="505">
        <v>1584</v>
      </c>
      <c r="F189" s="377" t="s">
        <v>139</v>
      </c>
      <c r="G189" s="377" t="str">
        <f t="shared" si="4"/>
        <v>202512</v>
      </c>
    </row>
    <row r="190" spans="1:7" hidden="1">
      <c r="A190" s="391">
        <v>46002</v>
      </c>
      <c r="B190" s="391">
        <v>46002</v>
      </c>
      <c r="C190" s="392" t="s">
        <v>546</v>
      </c>
      <c r="D190" s="505"/>
      <c r="E190" s="505">
        <v>3086.4</v>
      </c>
      <c r="F190" s="377" t="s">
        <v>139</v>
      </c>
      <c r="G190" s="377" t="str">
        <f t="shared" si="4"/>
        <v>202512</v>
      </c>
    </row>
    <row r="191" spans="1:7" hidden="1">
      <c r="A191" s="391">
        <v>46003</v>
      </c>
      <c r="B191" s="391">
        <v>46003</v>
      </c>
      <c r="C191" s="392" t="s">
        <v>547</v>
      </c>
      <c r="D191" s="505">
        <v>-1.7</v>
      </c>
      <c r="E191" s="505"/>
      <c r="F191" s="377" t="s">
        <v>444</v>
      </c>
      <c r="G191" s="377" t="str">
        <f t="shared" si="4"/>
        <v>202512</v>
      </c>
    </row>
    <row r="192" spans="1:7" hidden="1">
      <c r="A192" s="391">
        <v>46008</v>
      </c>
      <c r="B192" s="391">
        <v>46008</v>
      </c>
      <c r="C192" s="392" t="s">
        <v>548</v>
      </c>
      <c r="D192" s="505">
        <v>-34.200000000000003</v>
      </c>
      <c r="E192" s="505"/>
      <c r="F192" s="377" t="s">
        <v>148</v>
      </c>
      <c r="G192" s="377" t="str">
        <f t="shared" si="4"/>
        <v>202512</v>
      </c>
    </row>
    <row r="193" spans="1:7">
      <c r="A193" s="391">
        <v>46008</v>
      </c>
      <c r="B193" s="391">
        <v>46008</v>
      </c>
      <c r="C193" s="392" t="s">
        <v>549</v>
      </c>
      <c r="D193" s="505">
        <v>-44.63</v>
      </c>
      <c r="E193" s="505"/>
      <c r="F193" s="377" t="s">
        <v>563</v>
      </c>
      <c r="G193" s="377" t="str">
        <f t="shared" si="4"/>
        <v>202512</v>
      </c>
    </row>
    <row r="194" spans="1:7">
      <c r="A194" s="391">
        <v>46008</v>
      </c>
      <c r="B194" s="391">
        <v>46008</v>
      </c>
      <c r="C194" s="392" t="s">
        <v>550</v>
      </c>
      <c r="D194" s="505">
        <v>-59.28</v>
      </c>
      <c r="E194" s="505"/>
      <c r="F194" s="377" t="s">
        <v>563</v>
      </c>
      <c r="G194" s="377" t="str">
        <f t="shared" si="4"/>
        <v>202512</v>
      </c>
    </row>
    <row r="195" spans="1:7" hidden="1">
      <c r="A195" s="391">
        <v>46008</v>
      </c>
      <c r="B195" s="391">
        <v>46008</v>
      </c>
      <c r="C195" s="392" t="s">
        <v>551</v>
      </c>
      <c r="D195" s="505">
        <v>-31.8</v>
      </c>
      <c r="E195" s="505"/>
      <c r="F195" s="377" t="s">
        <v>148</v>
      </c>
      <c r="G195" s="377" t="str">
        <f t="shared" si="4"/>
        <v>202512</v>
      </c>
    </row>
    <row r="196" spans="1:7" hidden="1">
      <c r="A196" s="391">
        <v>46010</v>
      </c>
      <c r="B196" s="391">
        <v>46010</v>
      </c>
      <c r="C196" s="392" t="s">
        <v>587</v>
      </c>
      <c r="D196" s="505">
        <v>-2.7</v>
      </c>
      <c r="E196" s="505"/>
      <c r="F196" s="377" t="s">
        <v>444</v>
      </c>
      <c r="G196" s="377" t="str">
        <f t="shared" si="4"/>
        <v>202512</v>
      </c>
    </row>
    <row r="197" spans="1:7" hidden="1">
      <c r="A197" s="391">
        <v>46013</v>
      </c>
      <c r="B197" s="391">
        <v>46013</v>
      </c>
      <c r="C197" s="392" t="s">
        <v>463</v>
      </c>
      <c r="D197" s="505">
        <v>-32.4</v>
      </c>
      <c r="E197" s="505"/>
      <c r="F197" s="377" t="s">
        <v>149</v>
      </c>
      <c r="G197" s="377" t="str">
        <f t="shared" si="4"/>
        <v>202512</v>
      </c>
    </row>
    <row r="198" spans="1:7" hidden="1">
      <c r="A198" s="391">
        <v>46013</v>
      </c>
      <c r="B198" s="391">
        <v>46013</v>
      </c>
      <c r="C198" s="392" t="s">
        <v>588</v>
      </c>
      <c r="D198" s="505">
        <v>-13.65</v>
      </c>
      <c r="E198" s="505"/>
      <c r="F198" s="377" t="s">
        <v>148</v>
      </c>
      <c r="G198" s="377" t="str">
        <f t="shared" si="4"/>
        <v>202512</v>
      </c>
    </row>
    <row r="199" spans="1:7" hidden="1">
      <c r="A199" s="391">
        <v>46014</v>
      </c>
      <c r="B199" s="391">
        <v>46014</v>
      </c>
      <c r="C199" s="392" t="s">
        <v>589</v>
      </c>
      <c r="D199" s="505">
        <v>-2</v>
      </c>
      <c r="E199" s="505"/>
      <c r="F199" s="377" t="s">
        <v>444</v>
      </c>
      <c r="G199" s="377" t="str">
        <f t="shared" si="4"/>
        <v>202512</v>
      </c>
    </row>
    <row r="200" spans="1:7" hidden="1">
      <c r="A200" s="391">
        <v>46020</v>
      </c>
      <c r="B200" s="391">
        <v>46020</v>
      </c>
      <c r="C200" s="392" t="s">
        <v>467</v>
      </c>
      <c r="D200" s="505">
        <v>-152.37</v>
      </c>
      <c r="E200" s="505"/>
      <c r="F200" s="377" t="s">
        <v>157</v>
      </c>
      <c r="G200" s="377" t="str">
        <f t="shared" si="4"/>
        <v>202512</v>
      </c>
    </row>
    <row r="201" spans="1:7" hidden="1">
      <c r="A201" s="391">
        <v>46020</v>
      </c>
      <c r="B201" s="391">
        <v>46020</v>
      </c>
      <c r="C201" s="392" t="s">
        <v>590</v>
      </c>
      <c r="D201" s="505">
        <v>-490</v>
      </c>
      <c r="E201" s="505"/>
      <c r="F201" s="377" t="s">
        <v>21</v>
      </c>
      <c r="G201" s="377" t="str">
        <f t="shared" si="4"/>
        <v>202512</v>
      </c>
    </row>
    <row r="202" spans="1:7" hidden="1">
      <c r="A202" s="391">
        <v>46020</v>
      </c>
      <c r="B202" s="391">
        <v>46020</v>
      </c>
      <c r="C202" s="392" t="s">
        <v>468</v>
      </c>
      <c r="D202" s="505">
        <v>-190</v>
      </c>
      <c r="E202" s="505"/>
      <c r="F202" s="377" t="s">
        <v>146</v>
      </c>
      <c r="G202" s="377" t="str">
        <f t="shared" si="4"/>
        <v>202512</v>
      </c>
    </row>
    <row r="203" spans="1:7" hidden="1">
      <c r="A203" s="391">
        <v>46020</v>
      </c>
      <c r="B203" s="391">
        <v>46020</v>
      </c>
      <c r="C203" s="392" t="s">
        <v>591</v>
      </c>
      <c r="D203" s="505">
        <v>-1.9</v>
      </c>
      <c r="E203" s="505"/>
      <c r="F203" s="377" t="s">
        <v>444</v>
      </c>
      <c r="G203" s="377" t="str">
        <f t="shared" si="4"/>
        <v>202512</v>
      </c>
    </row>
    <row r="204" spans="1:7" hidden="1">
      <c r="A204" s="391">
        <v>46021</v>
      </c>
      <c r="B204" s="391">
        <v>46021</v>
      </c>
      <c r="C204" s="392" t="s">
        <v>592</v>
      </c>
      <c r="D204" s="505"/>
      <c r="E204" s="505">
        <v>800</v>
      </c>
      <c r="F204" s="377" t="s">
        <v>139</v>
      </c>
      <c r="G204" s="377" t="str">
        <f t="shared" si="4"/>
        <v>202512</v>
      </c>
    </row>
    <row r="205" spans="1:7">
      <c r="A205" s="639"/>
      <c r="B205" s="640"/>
      <c r="C205" s="389"/>
      <c r="D205" s="535"/>
      <c r="E205" s="535"/>
      <c r="F205" s="431"/>
      <c r="G205" s="431"/>
    </row>
    <row r="206" spans="1:7">
      <c r="A206" s="391">
        <v>46024</v>
      </c>
      <c r="B206" s="391">
        <v>46024</v>
      </c>
      <c r="C206" s="392" t="s">
        <v>593</v>
      </c>
      <c r="D206" s="534">
        <v>-650</v>
      </c>
      <c r="E206" s="536"/>
      <c r="F206" s="377" t="s">
        <v>207</v>
      </c>
      <c r="G206" s="377" t="str">
        <f t="shared" ref="G206:G249" si="5">TEXT(B206,"aaaamm")</f>
        <v>202601</v>
      </c>
    </row>
    <row r="207" spans="1:7">
      <c r="A207" s="391">
        <v>46024</v>
      </c>
      <c r="B207" s="391">
        <v>46024</v>
      </c>
      <c r="C207" s="392" t="s">
        <v>594</v>
      </c>
      <c r="D207" s="534">
        <v>-2200</v>
      </c>
      <c r="E207" s="536"/>
      <c r="F207" s="377" t="s">
        <v>141</v>
      </c>
      <c r="G207" s="377" t="str">
        <f t="shared" si="5"/>
        <v>202601</v>
      </c>
    </row>
    <row r="208" spans="1:7">
      <c r="A208" s="391">
        <v>46027</v>
      </c>
      <c r="B208" s="391">
        <v>46027</v>
      </c>
      <c r="C208" s="392" t="s">
        <v>595</v>
      </c>
      <c r="D208" s="534">
        <v>-535</v>
      </c>
      <c r="E208" s="536"/>
      <c r="F208" s="377" t="s">
        <v>142</v>
      </c>
      <c r="G208" s="377" t="str">
        <f t="shared" si="5"/>
        <v>202601</v>
      </c>
    </row>
    <row r="209" spans="1:7">
      <c r="A209" s="391">
        <v>46027</v>
      </c>
      <c r="B209" s="391">
        <v>46027</v>
      </c>
      <c r="C209" s="392" t="s">
        <v>479</v>
      </c>
      <c r="D209" s="534">
        <v>-75.180000000000007</v>
      </c>
      <c r="E209" s="536"/>
      <c r="F209" s="377" t="s">
        <v>144</v>
      </c>
      <c r="G209" s="377" t="str">
        <f t="shared" si="5"/>
        <v>202601</v>
      </c>
    </row>
    <row r="210" spans="1:7">
      <c r="A210" s="391">
        <v>46027</v>
      </c>
      <c r="B210" s="391">
        <v>46027</v>
      </c>
      <c r="C210" s="392" t="s">
        <v>596</v>
      </c>
      <c r="D210" s="534">
        <v>-60</v>
      </c>
      <c r="E210" s="536"/>
      <c r="F210" s="377" t="s">
        <v>166</v>
      </c>
      <c r="G210" s="377" t="str">
        <f t="shared" si="5"/>
        <v>202601</v>
      </c>
    </row>
    <row r="211" spans="1:7">
      <c r="A211" s="391">
        <v>46028</v>
      </c>
      <c r="B211" s="391">
        <v>46028</v>
      </c>
      <c r="C211" s="392" t="s">
        <v>597</v>
      </c>
      <c r="D211" s="534">
        <v>-19.170000000000002</v>
      </c>
      <c r="E211" s="536"/>
      <c r="F211" s="377" t="s">
        <v>166</v>
      </c>
      <c r="G211" s="377" t="str">
        <f t="shared" si="5"/>
        <v>202601</v>
      </c>
    </row>
    <row r="212" spans="1:7">
      <c r="A212" s="391">
        <v>46029</v>
      </c>
      <c r="B212" s="391">
        <v>46029</v>
      </c>
      <c r="C212" s="392" t="s">
        <v>598</v>
      </c>
      <c r="D212" s="534">
        <v>-23.99</v>
      </c>
      <c r="E212" s="536"/>
      <c r="F212" s="377" t="s">
        <v>249</v>
      </c>
      <c r="G212" s="377" t="str">
        <f t="shared" si="5"/>
        <v>202601</v>
      </c>
    </row>
    <row r="213" spans="1:7">
      <c r="A213" s="391">
        <v>46029</v>
      </c>
      <c r="B213" s="391">
        <v>46029</v>
      </c>
      <c r="C213" s="392" t="s">
        <v>599</v>
      </c>
      <c r="D213" s="534">
        <v>-1</v>
      </c>
      <c r="E213" s="536"/>
      <c r="F213" s="377" t="s">
        <v>444</v>
      </c>
      <c r="G213" s="377" t="str">
        <f t="shared" si="5"/>
        <v>202601</v>
      </c>
    </row>
    <row r="214" spans="1:7">
      <c r="A214" s="391">
        <v>46030</v>
      </c>
      <c r="B214" s="391">
        <v>46030</v>
      </c>
      <c r="C214" s="392" t="s">
        <v>600</v>
      </c>
      <c r="D214" s="534">
        <v>-138</v>
      </c>
      <c r="E214" s="536"/>
      <c r="F214" s="377" t="s">
        <v>151</v>
      </c>
      <c r="G214" s="377" t="str">
        <f t="shared" si="5"/>
        <v>202601</v>
      </c>
    </row>
    <row r="215" spans="1:7">
      <c r="A215" s="391">
        <v>46030</v>
      </c>
      <c r="B215" s="391">
        <v>46030</v>
      </c>
      <c r="C215" s="392" t="s">
        <v>601</v>
      </c>
      <c r="D215" s="534">
        <v>-8.3000000000000007</v>
      </c>
      <c r="E215" s="536"/>
      <c r="F215" s="377" t="s">
        <v>444</v>
      </c>
      <c r="G215" s="377" t="str">
        <f t="shared" si="5"/>
        <v>202601</v>
      </c>
    </row>
    <row r="216" spans="1:7">
      <c r="A216" s="391">
        <v>46030</v>
      </c>
      <c r="B216" s="391">
        <v>46030</v>
      </c>
      <c r="C216" s="392" t="s">
        <v>602</v>
      </c>
      <c r="D216" s="534">
        <v>-1</v>
      </c>
      <c r="E216" s="536"/>
      <c r="F216" s="377" t="s">
        <v>444</v>
      </c>
      <c r="G216" s="377" t="str">
        <f t="shared" si="5"/>
        <v>202601</v>
      </c>
    </row>
    <row r="217" spans="1:7">
      <c r="A217" s="391">
        <v>46032</v>
      </c>
      <c r="B217" s="391">
        <v>46032</v>
      </c>
      <c r="C217" s="392" t="s">
        <v>603</v>
      </c>
      <c r="D217" s="536"/>
      <c r="E217" s="534">
        <v>180</v>
      </c>
      <c r="F217" s="377" t="s">
        <v>139</v>
      </c>
      <c r="G217" s="377" t="str">
        <f t="shared" si="5"/>
        <v>202601</v>
      </c>
    </row>
    <row r="218" spans="1:7">
      <c r="A218" s="391">
        <v>46032</v>
      </c>
      <c r="B218" s="391">
        <v>46032</v>
      </c>
      <c r="C218" s="392" t="s">
        <v>604</v>
      </c>
      <c r="D218" s="536"/>
      <c r="E218" s="534">
        <v>600</v>
      </c>
      <c r="F218" s="377" t="s">
        <v>139</v>
      </c>
      <c r="G218" s="377" t="str">
        <f t="shared" si="5"/>
        <v>202601</v>
      </c>
    </row>
    <row r="219" spans="1:7">
      <c r="A219" s="391">
        <v>46034</v>
      </c>
      <c r="B219" s="391">
        <v>46034</v>
      </c>
      <c r="C219" s="392" t="s">
        <v>605</v>
      </c>
      <c r="D219" s="534">
        <v>-666.11</v>
      </c>
      <c r="E219" s="536"/>
      <c r="F219" s="377" t="s">
        <v>145</v>
      </c>
      <c r="G219" s="377" t="str">
        <f t="shared" si="5"/>
        <v>202601</v>
      </c>
    </row>
    <row r="220" spans="1:7">
      <c r="A220" s="391">
        <v>46034</v>
      </c>
      <c r="B220" s="391">
        <v>46023</v>
      </c>
      <c r="C220" s="392" t="s">
        <v>606</v>
      </c>
      <c r="D220" s="534">
        <v>-45.52</v>
      </c>
      <c r="E220" s="536"/>
      <c r="F220" s="377" t="s">
        <v>167</v>
      </c>
      <c r="G220" s="377" t="str">
        <f t="shared" si="5"/>
        <v>202601</v>
      </c>
    </row>
    <row r="221" spans="1:7">
      <c r="A221" s="391">
        <v>46034</v>
      </c>
      <c r="B221" s="391">
        <v>46034</v>
      </c>
      <c r="C221" s="392" t="s">
        <v>607</v>
      </c>
      <c r="D221" s="534">
        <v>-1182.19</v>
      </c>
      <c r="E221" s="536"/>
      <c r="F221" s="377" t="s">
        <v>151</v>
      </c>
      <c r="G221" s="377" t="str">
        <f t="shared" si="5"/>
        <v>202601</v>
      </c>
    </row>
    <row r="222" spans="1:7">
      <c r="A222" s="391">
        <v>46036</v>
      </c>
      <c r="B222" s="391">
        <v>46036</v>
      </c>
      <c r="C222" s="392" t="s">
        <v>608</v>
      </c>
      <c r="D222" s="534">
        <v>-129</v>
      </c>
      <c r="E222" s="536"/>
      <c r="F222" s="377" t="s">
        <v>166</v>
      </c>
      <c r="G222" s="377" t="str">
        <f t="shared" si="5"/>
        <v>202601</v>
      </c>
    </row>
    <row r="223" spans="1:7">
      <c r="A223" s="391">
        <v>46037</v>
      </c>
      <c r="B223" s="391">
        <v>46037</v>
      </c>
      <c r="C223" s="392" t="s">
        <v>609</v>
      </c>
      <c r="D223" s="536"/>
      <c r="E223" s="534">
        <v>600</v>
      </c>
      <c r="F223" s="377" t="s">
        <v>139</v>
      </c>
      <c r="G223" s="377" t="str">
        <f t="shared" si="5"/>
        <v>202601</v>
      </c>
    </row>
    <row r="224" spans="1:7">
      <c r="A224" s="391">
        <v>46037</v>
      </c>
      <c r="B224" s="391">
        <v>46037</v>
      </c>
      <c r="C224" s="392" t="s">
        <v>610</v>
      </c>
      <c r="D224" s="534">
        <v>-24.84</v>
      </c>
      <c r="E224" s="536"/>
      <c r="F224" s="377" t="s">
        <v>147</v>
      </c>
      <c r="G224" s="377" t="str">
        <f t="shared" si="5"/>
        <v>202601</v>
      </c>
    </row>
    <row r="225" spans="1:7">
      <c r="A225" s="391">
        <v>46037</v>
      </c>
      <c r="B225" s="391">
        <v>46037</v>
      </c>
      <c r="C225" s="392" t="s">
        <v>611</v>
      </c>
      <c r="D225" s="534">
        <v>-3425</v>
      </c>
      <c r="E225" s="536"/>
      <c r="F225" s="377" t="s">
        <v>150</v>
      </c>
      <c r="G225" s="377" t="str">
        <f t="shared" si="5"/>
        <v>202601</v>
      </c>
    </row>
    <row r="226" spans="1:7">
      <c r="A226" s="391">
        <v>46041</v>
      </c>
      <c r="B226" s="391">
        <v>46041</v>
      </c>
      <c r="C226" s="392" t="s">
        <v>612</v>
      </c>
      <c r="D226" s="534">
        <v>-13</v>
      </c>
      <c r="E226" s="536"/>
      <c r="F226" s="377" t="s">
        <v>148</v>
      </c>
      <c r="G226" s="377" t="str">
        <f t="shared" si="5"/>
        <v>202601</v>
      </c>
    </row>
    <row r="227" spans="1:7">
      <c r="A227" s="391">
        <v>46044</v>
      </c>
      <c r="B227" s="391">
        <v>46044</v>
      </c>
      <c r="C227" s="392" t="s">
        <v>613</v>
      </c>
      <c r="D227" s="534">
        <v>-20</v>
      </c>
      <c r="E227" s="536"/>
      <c r="F227" s="377" t="s">
        <v>152</v>
      </c>
      <c r="G227" s="377" t="str">
        <f t="shared" si="5"/>
        <v>202601</v>
      </c>
    </row>
    <row r="228" spans="1:7">
      <c r="A228" s="391">
        <v>46045</v>
      </c>
      <c r="B228" s="391">
        <v>46045</v>
      </c>
      <c r="C228" s="392" t="s">
        <v>614</v>
      </c>
      <c r="D228" s="534">
        <v>-1255</v>
      </c>
      <c r="E228" s="536"/>
      <c r="F228" s="377" t="s">
        <v>1</v>
      </c>
      <c r="G228" s="377" t="str">
        <f t="shared" si="5"/>
        <v>202601</v>
      </c>
    </row>
    <row r="229" spans="1:7">
      <c r="A229" s="391">
        <v>46045</v>
      </c>
      <c r="B229" s="391">
        <v>46045</v>
      </c>
      <c r="C229" s="392" t="s">
        <v>463</v>
      </c>
      <c r="D229" s="534">
        <v>-33.32</v>
      </c>
      <c r="E229" s="536"/>
      <c r="F229" s="377" t="s">
        <v>149</v>
      </c>
      <c r="G229" s="377" t="str">
        <f t="shared" si="5"/>
        <v>202601</v>
      </c>
    </row>
    <row r="230" spans="1:7">
      <c r="A230" s="391">
        <v>46045</v>
      </c>
      <c r="B230" s="391">
        <v>46045</v>
      </c>
      <c r="C230" s="392" t="s">
        <v>615</v>
      </c>
      <c r="D230" s="536"/>
      <c r="E230" s="534">
        <v>5835.6</v>
      </c>
      <c r="F230" s="377" t="s">
        <v>139</v>
      </c>
      <c r="G230" s="377" t="str">
        <f t="shared" si="5"/>
        <v>202601</v>
      </c>
    </row>
    <row r="231" spans="1:7">
      <c r="A231" s="391">
        <v>46048</v>
      </c>
      <c r="B231" s="391">
        <v>46048</v>
      </c>
      <c r="C231" s="392" t="s">
        <v>616</v>
      </c>
      <c r="D231" s="534">
        <v>-190</v>
      </c>
      <c r="E231" s="536"/>
      <c r="F231" s="377" t="s">
        <v>146</v>
      </c>
      <c r="G231" s="377" t="str">
        <f t="shared" si="5"/>
        <v>202601</v>
      </c>
    </row>
    <row r="232" spans="1:7">
      <c r="A232" s="391">
        <v>46048</v>
      </c>
      <c r="B232" s="391">
        <v>46048</v>
      </c>
      <c r="C232" s="392" t="s">
        <v>467</v>
      </c>
      <c r="D232" s="534">
        <v>-155.47</v>
      </c>
      <c r="E232" s="536"/>
      <c r="F232" s="377" t="s">
        <v>157</v>
      </c>
      <c r="G232" s="377" t="str">
        <f t="shared" si="5"/>
        <v>202601</v>
      </c>
    </row>
    <row r="233" spans="1:7">
      <c r="A233" s="391">
        <v>46050</v>
      </c>
      <c r="B233" s="391">
        <v>46050</v>
      </c>
      <c r="C233" s="392" t="s">
        <v>617</v>
      </c>
      <c r="D233" s="534">
        <v>-19.47</v>
      </c>
      <c r="E233" s="536"/>
      <c r="F233" s="377" t="s">
        <v>148</v>
      </c>
      <c r="G233" s="377" t="str">
        <f t="shared" si="5"/>
        <v>202601</v>
      </c>
    </row>
    <row r="234" spans="1:7" ht="17">
      <c r="A234" s="391">
        <v>46051</v>
      </c>
      <c r="B234" s="391">
        <v>46051</v>
      </c>
      <c r="C234" s="393" t="s">
        <v>632</v>
      </c>
      <c r="D234" s="534">
        <v>-139.97999999999999</v>
      </c>
      <c r="E234" s="536"/>
      <c r="F234" s="377" t="s">
        <v>151</v>
      </c>
      <c r="G234" s="377" t="str">
        <f t="shared" si="5"/>
        <v>202601</v>
      </c>
    </row>
    <row r="235" spans="1:7" ht="17">
      <c r="A235" s="391">
        <v>46052</v>
      </c>
      <c r="B235" s="391">
        <v>46052</v>
      </c>
      <c r="C235" s="393" t="s">
        <v>633</v>
      </c>
      <c r="D235" s="534">
        <v>-57.2</v>
      </c>
      <c r="E235" s="536"/>
      <c r="F235" s="394" t="s">
        <v>152</v>
      </c>
      <c r="G235" s="377" t="str">
        <f t="shared" si="5"/>
        <v>202601</v>
      </c>
    </row>
    <row r="236" spans="1:7">
      <c r="A236" s="638"/>
      <c r="B236" s="638"/>
      <c r="C236" s="389"/>
      <c r="D236" s="535"/>
      <c r="E236" s="535"/>
      <c r="F236" s="394"/>
      <c r="G236" s="377"/>
    </row>
    <row r="237" spans="1:7" ht="17">
      <c r="A237" s="391">
        <v>46055</v>
      </c>
      <c r="B237" s="391">
        <v>46055</v>
      </c>
      <c r="C237" s="393" t="s">
        <v>634</v>
      </c>
      <c r="D237" s="534">
        <v>-2200</v>
      </c>
      <c r="E237" s="536"/>
      <c r="F237" s="377" t="s">
        <v>141</v>
      </c>
      <c r="G237" s="377" t="str">
        <f t="shared" si="5"/>
        <v>202602</v>
      </c>
    </row>
    <row r="238" spans="1:7" ht="17">
      <c r="A238" s="391">
        <v>46055</v>
      </c>
      <c r="B238" s="391">
        <v>46055</v>
      </c>
      <c r="C238" s="393" t="s">
        <v>635</v>
      </c>
      <c r="D238" s="534">
        <v>-650</v>
      </c>
      <c r="E238" s="536"/>
      <c r="F238" s="377" t="s">
        <v>207</v>
      </c>
      <c r="G238" s="377" t="str">
        <f t="shared" si="5"/>
        <v>202602</v>
      </c>
    </row>
    <row r="239" spans="1:7" ht="17">
      <c r="A239" s="391">
        <v>46055</v>
      </c>
      <c r="B239" s="391">
        <v>46055</v>
      </c>
      <c r="C239" s="393" t="s">
        <v>636</v>
      </c>
      <c r="D239" s="534">
        <v>-60</v>
      </c>
      <c r="E239" s="536"/>
      <c r="F239" s="377" t="s">
        <v>166</v>
      </c>
      <c r="G239" s="377" t="str">
        <f t="shared" si="5"/>
        <v>202602</v>
      </c>
    </row>
    <row r="240" spans="1:7" ht="17">
      <c r="A240" s="391">
        <v>46057</v>
      </c>
      <c r="B240" s="391">
        <v>46057</v>
      </c>
      <c r="C240" s="393" t="s">
        <v>637</v>
      </c>
      <c r="D240" s="534">
        <v>-19.170000000000002</v>
      </c>
      <c r="E240" s="536"/>
      <c r="F240" s="377" t="s">
        <v>166</v>
      </c>
      <c r="G240" s="377" t="str">
        <f t="shared" si="5"/>
        <v>202602</v>
      </c>
    </row>
    <row r="241" spans="1:7" ht="17">
      <c r="A241" s="391">
        <v>46058</v>
      </c>
      <c r="B241" s="391">
        <v>46058</v>
      </c>
      <c r="C241" s="393" t="s">
        <v>638</v>
      </c>
      <c r="D241" s="534">
        <v>-535</v>
      </c>
      <c r="E241" s="536"/>
      <c r="F241" s="377" t="s">
        <v>142</v>
      </c>
      <c r="G241" s="377" t="str">
        <f t="shared" si="5"/>
        <v>202602</v>
      </c>
    </row>
    <row r="242" spans="1:7" ht="17">
      <c r="A242" s="391">
        <v>46058</v>
      </c>
      <c r="B242" s="391">
        <v>46058</v>
      </c>
      <c r="C242" s="393" t="s">
        <v>479</v>
      </c>
      <c r="D242" s="534">
        <v>-75.180000000000007</v>
      </c>
      <c r="E242" s="536"/>
      <c r="F242" s="377" t="s">
        <v>144</v>
      </c>
      <c r="G242" s="377" t="str">
        <f t="shared" si="5"/>
        <v>202602</v>
      </c>
    </row>
    <row r="243" spans="1:7" ht="17">
      <c r="A243" s="391">
        <v>46058</v>
      </c>
      <c r="B243" s="391">
        <v>46058</v>
      </c>
      <c r="C243" s="393" t="s">
        <v>639</v>
      </c>
      <c r="D243" s="534">
        <v>-23.99</v>
      </c>
      <c r="E243" s="536"/>
      <c r="F243" s="377" t="s">
        <v>249</v>
      </c>
      <c r="G243" s="377" t="str">
        <f t="shared" si="5"/>
        <v>202602</v>
      </c>
    </row>
    <row r="244" spans="1:7" ht="17">
      <c r="A244" s="391">
        <v>46058</v>
      </c>
      <c r="B244" s="391">
        <v>46058</v>
      </c>
      <c r="C244" s="393" t="s">
        <v>640</v>
      </c>
      <c r="D244" s="534">
        <v>-4</v>
      </c>
      <c r="E244" s="536"/>
      <c r="F244" s="377" t="s">
        <v>444</v>
      </c>
      <c r="G244" s="377" t="str">
        <f t="shared" si="5"/>
        <v>202602</v>
      </c>
    </row>
    <row r="245" spans="1:7" ht="17">
      <c r="A245" s="391">
        <v>46058</v>
      </c>
      <c r="B245" s="391">
        <v>46058</v>
      </c>
      <c r="C245" s="393" t="s">
        <v>641</v>
      </c>
      <c r="D245" s="534">
        <v>-1.3</v>
      </c>
      <c r="E245" s="536"/>
      <c r="F245" s="377" t="s">
        <v>444</v>
      </c>
      <c r="G245" s="377" t="str">
        <f t="shared" si="5"/>
        <v>202602</v>
      </c>
    </row>
    <row r="246" spans="1:7" ht="17">
      <c r="A246" s="391">
        <v>46059</v>
      </c>
      <c r="B246" s="391">
        <v>46059</v>
      </c>
      <c r="C246" s="393" t="s">
        <v>642</v>
      </c>
      <c r="D246" s="534">
        <v>-44</v>
      </c>
      <c r="E246" s="536"/>
      <c r="F246" s="377" t="s">
        <v>148</v>
      </c>
      <c r="G246" s="377" t="str">
        <f t="shared" si="5"/>
        <v>202602</v>
      </c>
    </row>
    <row r="247" spans="1:7" ht="17">
      <c r="A247" s="391">
        <v>46062</v>
      </c>
      <c r="B247" s="391">
        <v>46062</v>
      </c>
      <c r="C247" s="393" t="s">
        <v>643</v>
      </c>
      <c r="D247" s="536"/>
      <c r="E247" s="534">
        <v>1020</v>
      </c>
      <c r="F247" s="377" t="s">
        <v>139</v>
      </c>
      <c r="G247" s="377" t="str">
        <f t="shared" si="5"/>
        <v>202602</v>
      </c>
    </row>
    <row r="248" spans="1:7" ht="17">
      <c r="A248" s="391">
        <v>46063</v>
      </c>
      <c r="B248" s="391">
        <v>46063</v>
      </c>
      <c r="C248" s="393" t="s">
        <v>644</v>
      </c>
      <c r="D248" s="534">
        <v>-666.11</v>
      </c>
      <c r="E248" s="547"/>
      <c r="F248" s="377" t="s">
        <v>145</v>
      </c>
      <c r="G248" s="377" t="str">
        <f t="shared" si="5"/>
        <v>202602</v>
      </c>
    </row>
    <row r="249" spans="1:7" ht="17">
      <c r="A249" s="391">
        <v>46063</v>
      </c>
      <c r="B249" s="391">
        <v>46054</v>
      </c>
      <c r="C249" s="393" t="s">
        <v>645</v>
      </c>
      <c r="D249" s="534">
        <v>-45.73</v>
      </c>
      <c r="E249" s="536"/>
      <c r="F249" s="377" t="s">
        <v>167</v>
      </c>
      <c r="G249" s="377" t="str">
        <f t="shared" si="5"/>
        <v>202602</v>
      </c>
    </row>
    <row r="250" spans="1:7">
      <c r="A250" s="391"/>
      <c r="B250" s="391"/>
      <c r="C250" s="393"/>
      <c r="D250" s="536"/>
      <c r="E250" s="536"/>
      <c r="F250" s="377"/>
      <c r="G250" s="377"/>
    </row>
    <row r="251" spans="1:7">
      <c r="A251" s="391"/>
      <c r="B251" s="391"/>
      <c r="C251" s="393"/>
      <c r="D251" s="536"/>
      <c r="E251" s="536"/>
      <c r="F251" s="377"/>
      <c r="G251" s="377"/>
    </row>
    <row r="252" spans="1:7">
      <c r="A252" s="391"/>
      <c r="B252" s="391"/>
      <c r="C252" s="393"/>
      <c r="D252" s="536"/>
      <c r="E252" s="536"/>
      <c r="F252" s="377"/>
      <c r="G252" s="377"/>
    </row>
    <row r="253" spans="1:7">
      <c r="A253" s="391"/>
      <c r="B253" s="391"/>
      <c r="C253" s="393"/>
      <c r="D253" s="536"/>
      <c r="E253" s="536"/>
      <c r="F253" s="377"/>
      <c r="G253" s="377"/>
    </row>
    <row r="254" spans="1:7">
      <c r="A254" s="391"/>
      <c r="B254" s="391"/>
      <c r="C254" s="393"/>
      <c r="D254" s="536"/>
      <c r="E254" s="536"/>
      <c r="F254" s="377"/>
      <c r="G254" s="377"/>
    </row>
    <row r="255" spans="1:7">
      <c r="A255" s="391"/>
      <c r="B255" s="391"/>
      <c r="C255" s="393"/>
      <c r="D255" s="536"/>
      <c r="E255" s="536"/>
      <c r="F255" s="377"/>
      <c r="G255" s="377"/>
    </row>
    <row r="256" spans="1:7">
      <c r="A256" s="391"/>
      <c r="B256" s="391"/>
      <c r="C256" s="393"/>
      <c r="D256" s="536"/>
      <c r="E256" s="536"/>
      <c r="F256" s="377"/>
      <c r="G256" s="377"/>
    </row>
    <row r="257" spans="1:9">
      <c r="A257" s="391"/>
      <c r="B257" s="391"/>
      <c r="C257" s="393"/>
      <c r="D257" s="536"/>
      <c r="E257" s="536"/>
      <c r="F257" s="377"/>
      <c r="G257" s="377"/>
    </row>
    <row r="258" spans="1:9">
      <c r="A258" s="391"/>
      <c r="B258" s="391"/>
      <c r="C258" s="393"/>
      <c r="D258" s="536"/>
      <c r="E258" s="536"/>
      <c r="F258" s="377"/>
      <c r="G258" s="377"/>
      <c r="H258" s="374">
        <f>D273/1.2</f>
        <v>0</v>
      </c>
      <c r="I258" s="373">
        <f>H258*12</f>
        <v>0</v>
      </c>
    </row>
    <row r="259" spans="1:9">
      <c r="A259" s="391"/>
      <c r="B259" s="391"/>
      <c r="C259" s="393"/>
      <c r="D259" s="536"/>
      <c r="E259" s="536"/>
      <c r="F259" s="377"/>
      <c r="G259" s="377"/>
    </row>
    <row r="260" spans="1:9">
      <c r="A260" s="391"/>
      <c r="B260" s="391"/>
      <c r="C260" s="393"/>
      <c r="D260" s="536"/>
      <c r="E260" s="536"/>
      <c r="F260" s="377"/>
      <c r="G260" s="377"/>
    </row>
    <row r="261" spans="1:9">
      <c r="A261" s="391"/>
      <c r="B261" s="391"/>
      <c r="C261" s="393"/>
      <c r="D261" s="536"/>
      <c r="E261" s="536"/>
      <c r="F261" s="377"/>
      <c r="G261" s="377"/>
    </row>
    <row r="262" spans="1:9">
      <c r="A262" s="391"/>
      <c r="B262" s="391"/>
      <c r="C262" s="393"/>
      <c r="D262" s="536"/>
      <c r="E262" s="536"/>
      <c r="F262" s="377"/>
      <c r="G262" s="377"/>
    </row>
    <row r="263" spans="1:9">
      <c r="A263" s="391"/>
      <c r="B263" s="391"/>
      <c r="C263" s="393"/>
      <c r="D263" s="536"/>
      <c r="E263" s="536"/>
      <c r="F263" s="377"/>
      <c r="G263" s="377"/>
    </row>
    <row r="264" spans="1:9">
      <c r="A264" s="391"/>
      <c r="B264" s="391"/>
      <c r="C264" s="393"/>
      <c r="D264" s="536"/>
      <c r="E264" s="536"/>
      <c r="F264" s="377"/>
      <c r="G264" s="377"/>
    </row>
    <row r="265" spans="1:9">
      <c r="A265" s="391"/>
      <c r="B265" s="391"/>
      <c r="C265" s="393"/>
      <c r="D265" s="536"/>
      <c r="E265" s="536"/>
      <c r="F265" s="377"/>
      <c r="G265" s="377"/>
    </row>
    <row r="266" spans="1:9">
      <c r="A266" s="391"/>
      <c r="B266" s="391"/>
      <c r="C266" s="393"/>
      <c r="D266" s="536"/>
      <c r="E266" s="536"/>
      <c r="F266" s="377"/>
      <c r="G266" s="377"/>
    </row>
    <row r="267" spans="1:9">
      <c r="A267" s="391"/>
      <c r="B267" s="391"/>
      <c r="C267" s="393"/>
      <c r="D267" s="536"/>
      <c r="E267" s="536"/>
      <c r="F267" s="377"/>
      <c r="G267" s="377"/>
    </row>
    <row r="268" spans="1:9">
      <c r="A268" s="391"/>
      <c r="B268" s="391"/>
      <c r="C268" s="393"/>
      <c r="D268" s="536"/>
      <c r="E268" s="536"/>
      <c r="F268" s="377"/>
      <c r="G268" s="377"/>
    </row>
    <row r="269" spans="1:9">
      <c r="A269" s="638"/>
      <c r="B269" s="638"/>
      <c r="C269" s="389"/>
      <c r="D269" s="535"/>
      <c r="E269" s="535"/>
      <c r="F269" s="377"/>
      <c r="G269" s="377"/>
    </row>
    <row r="270" spans="1:9">
      <c r="A270" s="391"/>
      <c r="B270" s="391"/>
      <c r="C270" s="392"/>
      <c r="D270" s="537"/>
      <c r="E270" s="537"/>
      <c r="F270" s="377"/>
      <c r="G270" s="377"/>
    </row>
    <row r="271" spans="1:9">
      <c r="A271" s="391"/>
      <c r="B271" s="391"/>
      <c r="C271" s="392"/>
      <c r="D271" s="537"/>
      <c r="E271" s="537"/>
      <c r="F271" s="377"/>
      <c r="G271" s="377"/>
    </row>
    <row r="272" spans="1:9">
      <c r="A272" s="391"/>
      <c r="B272" s="391"/>
      <c r="C272" s="392"/>
      <c r="D272" s="537"/>
      <c r="E272" s="537"/>
      <c r="F272" s="377"/>
      <c r="G272" s="377"/>
    </row>
    <row r="273" spans="1:7">
      <c r="A273" s="391"/>
      <c r="B273" s="391"/>
      <c r="C273" s="392"/>
      <c r="D273" s="537"/>
      <c r="E273" s="537"/>
      <c r="F273" s="377"/>
      <c r="G273" s="377"/>
    </row>
    <row r="274" spans="1:7">
      <c r="A274" s="391"/>
      <c r="B274" s="391"/>
      <c r="C274" s="392"/>
      <c r="D274" s="537"/>
      <c r="E274" s="537"/>
      <c r="F274" s="377"/>
      <c r="G274" s="377"/>
    </row>
    <row r="275" spans="1:7">
      <c r="A275" s="391"/>
      <c r="B275" s="391"/>
      <c r="C275" s="392"/>
      <c r="D275" s="537"/>
      <c r="E275" s="537"/>
      <c r="F275" s="377"/>
      <c r="G275" s="377"/>
    </row>
    <row r="276" spans="1:7">
      <c r="A276" s="391"/>
      <c r="B276" s="391"/>
      <c r="C276" s="392"/>
      <c r="D276" s="537"/>
      <c r="E276" s="537"/>
      <c r="F276" s="377"/>
      <c r="G276" s="377"/>
    </row>
    <row r="277" spans="1:7">
      <c r="A277" s="391"/>
      <c r="B277" s="391"/>
      <c r="C277" s="392"/>
      <c r="D277" s="537"/>
      <c r="E277" s="537"/>
      <c r="F277" s="377"/>
      <c r="G277" s="377"/>
    </row>
    <row r="278" spans="1:7">
      <c r="A278" s="391"/>
      <c r="B278" s="391"/>
      <c r="C278" s="392"/>
      <c r="D278" s="537"/>
      <c r="E278" s="537"/>
      <c r="F278" s="377"/>
      <c r="G278" s="377"/>
    </row>
    <row r="279" spans="1:7">
      <c r="A279" s="391"/>
      <c r="B279" s="391"/>
      <c r="C279" s="392"/>
      <c r="D279" s="537"/>
      <c r="E279" s="537"/>
      <c r="F279" s="377"/>
      <c r="G279" s="377"/>
    </row>
    <row r="280" spans="1:7">
      <c r="A280" s="391"/>
      <c r="B280" s="391"/>
      <c r="C280" s="392"/>
      <c r="D280" s="537"/>
      <c r="E280" s="537"/>
      <c r="F280" s="377"/>
      <c r="G280" s="377"/>
    </row>
    <row r="281" spans="1:7">
      <c r="A281" s="391"/>
      <c r="B281" s="391"/>
      <c r="C281" s="392"/>
      <c r="D281" s="537"/>
      <c r="E281" s="537"/>
      <c r="F281" s="377"/>
      <c r="G281" s="377"/>
    </row>
    <row r="282" spans="1:7">
      <c r="A282" s="391"/>
      <c r="B282" s="391"/>
      <c r="C282" s="392"/>
      <c r="D282" s="537"/>
      <c r="E282" s="537"/>
      <c r="F282" s="390"/>
      <c r="G282" s="390"/>
    </row>
    <row r="283" spans="1:7">
      <c r="A283" s="391"/>
      <c r="B283" s="391"/>
      <c r="C283" s="392"/>
      <c r="D283" s="537"/>
      <c r="E283" s="537"/>
      <c r="F283" s="377"/>
      <c r="G283" s="377"/>
    </row>
    <row r="284" spans="1:7">
      <c r="A284" s="391"/>
      <c r="B284" s="391"/>
      <c r="C284" s="392"/>
      <c r="D284" s="537"/>
      <c r="E284" s="537"/>
      <c r="F284" s="377"/>
      <c r="G284" s="377"/>
    </row>
    <row r="285" spans="1:7">
      <c r="A285" s="391"/>
      <c r="B285" s="391"/>
      <c r="C285" s="392"/>
      <c r="D285" s="537"/>
      <c r="E285" s="537"/>
      <c r="F285" s="377"/>
      <c r="G285" s="377"/>
    </row>
    <row r="286" spans="1:7">
      <c r="A286" s="391"/>
      <c r="B286" s="391"/>
      <c r="C286" s="392"/>
      <c r="D286" s="537"/>
      <c r="E286" s="537"/>
      <c r="F286" s="377"/>
      <c r="G286" s="377"/>
    </row>
    <row r="287" spans="1:7">
      <c r="A287" s="391"/>
      <c r="B287" s="391"/>
      <c r="C287" s="392"/>
      <c r="D287" s="537"/>
      <c r="E287" s="537"/>
      <c r="F287" s="377"/>
      <c r="G287" s="377"/>
    </row>
    <row r="288" spans="1:7">
      <c r="A288" s="391"/>
      <c r="B288" s="391"/>
      <c r="C288" s="392"/>
      <c r="D288" s="537"/>
      <c r="E288" s="537"/>
      <c r="F288" s="377"/>
      <c r="G288" s="377"/>
    </row>
    <row r="289" spans="1:7">
      <c r="A289" s="391"/>
      <c r="B289" s="391"/>
      <c r="C289" s="392"/>
      <c r="D289" s="537"/>
      <c r="E289" s="537"/>
      <c r="F289" s="377"/>
      <c r="G289" s="377"/>
    </row>
    <row r="290" spans="1:7">
      <c r="A290" s="391"/>
      <c r="B290" s="391"/>
      <c r="C290" s="392"/>
      <c r="D290" s="537"/>
      <c r="E290" s="537"/>
      <c r="F290" s="377"/>
      <c r="G290" s="377"/>
    </row>
    <row r="291" spans="1:7">
      <c r="A291" s="391"/>
      <c r="B291" s="391"/>
      <c r="C291" s="392"/>
      <c r="D291" s="537"/>
      <c r="E291" s="537"/>
      <c r="F291" s="377"/>
      <c r="G291" s="377"/>
    </row>
    <row r="292" spans="1:7">
      <c r="A292" s="391"/>
      <c r="B292" s="391"/>
      <c r="C292" s="392"/>
      <c r="D292" s="537"/>
      <c r="E292" s="537"/>
      <c r="F292" s="377"/>
      <c r="G292" s="377"/>
    </row>
    <row r="293" spans="1:7">
      <c r="A293" s="391"/>
      <c r="B293" s="391"/>
      <c r="C293" s="392"/>
      <c r="D293" s="537"/>
      <c r="E293" s="537"/>
      <c r="F293" s="377"/>
      <c r="G293" s="377"/>
    </row>
    <row r="294" spans="1:7">
      <c r="A294" s="391"/>
      <c r="B294" s="391"/>
      <c r="C294" s="392"/>
      <c r="D294" s="537"/>
      <c r="E294" s="537"/>
      <c r="F294" s="377"/>
      <c r="G294" s="377"/>
    </row>
    <row r="295" spans="1:7">
      <c r="A295" s="391"/>
      <c r="B295" s="391"/>
      <c r="C295" s="392"/>
      <c r="D295" s="537"/>
      <c r="E295" s="537"/>
      <c r="F295" s="377"/>
      <c r="G295" s="377"/>
    </row>
    <row r="296" spans="1:7">
      <c r="A296" s="391"/>
      <c r="B296" s="391"/>
      <c r="C296" s="392"/>
      <c r="D296" s="537"/>
      <c r="E296" s="537"/>
      <c r="F296" s="377"/>
      <c r="G296" s="377"/>
    </row>
    <row r="297" spans="1:7">
      <c r="A297" s="638"/>
      <c r="B297" s="638"/>
      <c r="C297" s="389"/>
      <c r="D297" s="535"/>
      <c r="E297" s="535"/>
      <c r="F297" s="377"/>
      <c r="G297" s="377"/>
    </row>
    <row r="298" spans="1:7">
      <c r="A298" s="391"/>
      <c r="B298" s="391"/>
      <c r="C298" s="392"/>
      <c r="D298" s="537"/>
      <c r="E298" s="537"/>
      <c r="F298" s="377"/>
      <c r="G298" s="377"/>
    </row>
    <row r="299" spans="1:7">
      <c r="A299" s="391"/>
      <c r="B299" s="391"/>
      <c r="C299" s="392"/>
      <c r="D299" s="537"/>
      <c r="E299" s="537"/>
      <c r="F299" s="377"/>
      <c r="G299" s="377"/>
    </row>
    <row r="300" spans="1:7">
      <c r="A300" s="391"/>
      <c r="B300" s="391"/>
      <c r="C300" s="392"/>
      <c r="D300" s="537"/>
      <c r="E300" s="537"/>
      <c r="F300" s="377"/>
      <c r="G300" s="377"/>
    </row>
    <row r="301" spans="1:7">
      <c r="A301" s="391"/>
      <c r="B301" s="391"/>
      <c r="C301" s="392"/>
      <c r="D301" s="537"/>
      <c r="E301" s="537"/>
      <c r="F301" s="377"/>
      <c r="G301" s="377"/>
    </row>
    <row r="302" spans="1:7">
      <c r="A302" s="391"/>
      <c r="B302" s="391"/>
      <c r="C302" s="392"/>
      <c r="D302" s="537"/>
      <c r="E302" s="537"/>
      <c r="F302" s="377"/>
      <c r="G302" s="377"/>
    </row>
    <row r="303" spans="1:7">
      <c r="A303" s="391"/>
      <c r="B303" s="391"/>
      <c r="C303" s="392"/>
      <c r="D303" s="537"/>
      <c r="E303" s="537"/>
      <c r="F303" s="377"/>
      <c r="G303" s="377"/>
    </row>
    <row r="304" spans="1:7">
      <c r="A304" s="391"/>
      <c r="B304" s="391"/>
      <c r="C304" s="392"/>
      <c r="D304" s="537"/>
      <c r="E304" s="537"/>
      <c r="F304" s="377"/>
      <c r="G304" s="377"/>
    </row>
    <row r="305" spans="1:7">
      <c r="A305" s="391"/>
      <c r="B305" s="391"/>
      <c r="C305" s="392"/>
      <c r="D305" s="537"/>
      <c r="E305" s="537"/>
      <c r="F305" s="377"/>
      <c r="G305" s="377"/>
    </row>
    <row r="306" spans="1:7">
      <c r="A306" s="391"/>
      <c r="B306" s="391"/>
      <c r="C306" s="392"/>
      <c r="D306" s="537"/>
      <c r="E306" s="537"/>
      <c r="F306" s="377"/>
      <c r="G306" s="377"/>
    </row>
    <row r="307" spans="1:7">
      <c r="A307" s="391"/>
      <c r="B307" s="391"/>
      <c r="C307" s="392"/>
      <c r="D307" s="537"/>
      <c r="E307" s="537"/>
      <c r="F307" s="377"/>
      <c r="G307" s="377"/>
    </row>
    <row r="308" spans="1:7">
      <c r="A308" s="391"/>
      <c r="B308" s="391"/>
      <c r="C308" s="392"/>
      <c r="D308" s="537"/>
      <c r="E308" s="537"/>
      <c r="F308" s="377"/>
      <c r="G308" s="377"/>
    </row>
    <row r="309" spans="1:7">
      <c r="A309" s="391"/>
      <c r="B309" s="391"/>
      <c r="C309" s="392"/>
      <c r="D309" s="537"/>
      <c r="E309" s="537"/>
      <c r="F309" s="377"/>
      <c r="G309" s="377"/>
    </row>
    <row r="310" spans="1:7">
      <c r="A310" s="391"/>
      <c r="B310" s="391"/>
      <c r="C310" s="392"/>
      <c r="D310" s="537"/>
      <c r="E310" s="537"/>
      <c r="F310" s="377"/>
      <c r="G310" s="377"/>
    </row>
    <row r="311" spans="1:7">
      <c r="A311" s="391"/>
      <c r="B311" s="391"/>
      <c r="C311" s="392"/>
      <c r="D311" s="537"/>
      <c r="E311" s="537"/>
      <c r="F311" s="377"/>
      <c r="G311" s="377"/>
    </row>
    <row r="312" spans="1:7">
      <c r="A312" s="391"/>
      <c r="B312" s="391"/>
      <c r="C312" s="392"/>
      <c r="D312" s="537"/>
      <c r="E312" s="537"/>
      <c r="F312" s="377"/>
      <c r="G312" s="377"/>
    </row>
    <row r="313" spans="1:7">
      <c r="A313" s="391"/>
      <c r="B313" s="391"/>
      <c r="C313" s="392"/>
      <c r="D313" s="537"/>
      <c r="E313" s="537"/>
      <c r="F313" s="377"/>
      <c r="G313" s="377"/>
    </row>
    <row r="314" spans="1:7">
      <c r="A314" s="391"/>
      <c r="B314" s="391"/>
      <c r="C314" s="392"/>
      <c r="D314" s="537"/>
      <c r="E314" s="537"/>
      <c r="F314" s="377"/>
      <c r="G314" s="377"/>
    </row>
    <row r="315" spans="1:7">
      <c r="A315" s="391"/>
      <c r="B315" s="391"/>
      <c r="C315" s="392"/>
      <c r="D315" s="537"/>
      <c r="E315" s="537"/>
      <c r="F315" s="377"/>
      <c r="G315" s="377"/>
    </row>
    <row r="316" spans="1:7">
      <c r="A316" s="391"/>
      <c r="B316" s="391"/>
      <c r="C316" s="392"/>
      <c r="D316" s="537"/>
      <c r="E316" s="537"/>
      <c r="F316" s="377"/>
      <c r="G316" s="377"/>
    </row>
    <row r="317" spans="1:7">
      <c r="A317" s="391"/>
      <c r="B317" s="391"/>
      <c r="C317" s="392"/>
      <c r="D317" s="537"/>
      <c r="E317" s="537"/>
      <c r="F317" s="377"/>
      <c r="G317" s="377"/>
    </row>
    <row r="318" spans="1:7">
      <c r="A318" s="391"/>
      <c r="B318" s="391"/>
      <c r="C318" s="392"/>
      <c r="D318" s="537"/>
      <c r="E318" s="537"/>
      <c r="F318" s="377"/>
      <c r="G318" s="377"/>
    </row>
    <row r="319" spans="1:7">
      <c r="A319" s="391"/>
      <c r="B319" s="391"/>
      <c r="C319" s="392"/>
      <c r="D319" s="537"/>
      <c r="E319" s="537"/>
      <c r="F319" s="377"/>
      <c r="G319" s="377"/>
    </row>
    <row r="320" spans="1:7">
      <c r="A320" s="391"/>
      <c r="B320" s="391"/>
      <c r="C320" s="392"/>
      <c r="D320" s="537"/>
      <c r="E320" s="537"/>
      <c r="F320" s="377"/>
      <c r="G320" s="377"/>
    </row>
    <row r="321" spans="1:7">
      <c r="A321" s="391"/>
      <c r="B321" s="391"/>
      <c r="C321" s="392"/>
      <c r="D321" s="537"/>
      <c r="E321" s="537"/>
      <c r="F321" s="377"/>
      <c r="G321" s="377"/>
    </row>
    <row r="322" spans="1:7">
      <c r="A322" s="391"/>
      <c r="B322" s="391"/>
      <c r="C322" s="392"/>
      <c r="D322" s="537"/>
      <c r="E322" s="537"/>
      <c r="F322" s="377"/>
      <c r="G322" s="377"/>
    </row>
    <row r="323" spans="1:7">
      <c r="A323" s="391"/>
      <c r="B323" s="391"/>
      <c r="C323" s="392"/>
      <c r="D323" s="537"/>
      <c r="E323" s="537"/>
      <c r="F323" s="377"/>
      <c r="G323" s="377"/>
    </row>
    <row r="324" spans="1:7">
      <c r="A324" s="391"/>
      <c r="B324" s="391"/>
      <c r="C324" s="392"/>
      <c r="D324" s="537"/>
      <c r="E324" s="537"/>
      <c r="F324" s="377"/>
      <c r="G324" s="377"/>
    </row>
    <row r="325" spans="1:7">
      <c r="A325" s="391"/>
      <c r="B325" s="391"/>
      <c r="C325" s="392"/>
      <c r="D325" s="537"/>
      <c r="E325" s="537"/>
      <c r="F325" s="377"/>
      <c r="G325" s="377"/>
    </row>
    <row r="326" spans="1:7">
      <c r="A326" s="391"/>
      <c r="B326" s="391"/>
      <c r="C326" s="392"/>
      <c r="D326" s="537"/>
      <c r="E326" s="537"/>
      <c r="F326" s="377"/>
    </row>
    <row r="327" spans="1:7">
      <c r="A327" s="391"/>
      <c r="B327" s="391"/>
      <c r="C327" s="392"/>
      <c r="D327" s="537"/>
      <c r="E327" s="537"/>
      <c r="F327" s="377"/>
    </row>
    <row r="328" spans="1:7">
      <c r="A328" s="391"/>
      <c r="B328" s="391"/>
      <c r="C328" s="392"/>
      <c r="D328" s="537"/>
      <c r="E328" s="537"/>
    </row>
    <row r="329" spans="1:7">
      <c r="A329" s="391"/>
      <c r="B329" s="391"/>
      <c r="C329" s="392"/>
      <c r="D329" s="537"/>
      <c r="E329" s="537"/>
    </row>
    <row r="330" spans="1:7">
      <c r="A330" s="391"/>
      <c r="B330" s="391"/>
      <c r="C330" s="392"/>
      <c r="D330" s="537"/>
      <c r="E330" s="537"/>
    </row>
    <row r="331" spans="1:7">
      <c r="A331" s="391"/>
      <c r="B331" s="391"/>
      <c r="C331" s="392"/>
      <c r="D331" s="537"/>
      <c r="E331" s="537"/>
    </row>
    <row r="332" spans="1:7">
      <c r="A332" s="391"/>
      <c r="B332" s="391"/>
      <c r="C332" s="392"/>
      <c r="D332" s="537"/>
      <c r="E332" s="537"/>
    </row>
    <row r="333" spans="1:7">
      <c r="A333" s="391"/>
      <c r="B333" s="391"/>
      <c r="C333" s="392"/>
      <c r="D333" s="537"/>
      <c r="E333" s="537"/>
    </row>
    <row r="334" spans="1:7">
      <c r="A334" s="391"/>
      <c r="B334" s="391"/>
      <c r="C334" s="392"/>
      <c r="D334" s="537"/>
      <c r="E334" s="537"/>
    </row>
    <row r="335" spans="1:7">
      <c r="A335" s="391"/>
      <c r="B335" s="391"/>
      <c r="C335" s="392"/>
      <c r="D335" s="537"/>
      <c r="E335" s="537"/>
    </row>
    <row r="336" spans="1:7">
      <c r="A336" s="391"/>
      <c r="B336" s="391"/>
      <c r="C336" s="392"/>
      <c r="D336" s="537"/>
      <c r="E336" s="537"/>
    </row>
    <row r="337" spans="1:5">
      <c r="A337" s="391"/>
      <c r="B337" s="391"/>
      <c r="C337" s="392"/>
      <c r="D337" s="537"/>
      <c r="E337" s="537"/>
    </row>
    <row r="338" spans="1:5">
      <c r="A338" s="391"/>
      <c r="B338" s="391"/>
      <c r="C338" s="392"/>
      <c r="D338" s="537"/>
      <c r="E338" s="537"/>
    </row>
    <row r="339" spans="1:5">
      <c r="A339" s="391"/>
      <c r="B339" s="391"/>
      <c r="C339" s="392"/>
      <c r="D339" s="537"/>
      <c r="E339" s="537"/>
    </row>
    <row r="340" spans="1:5">
      <c r="A340" s="391"/>
      <c r="B340" s="391"/>
      <c r="C340" s="392"/>
      <c r="D340" s="537"/>
      <c r="E340" s="537"/>
    </row>
    <row r="341" spans="1:5">
      <c r="A341" s="391"/>
      <c r="B341" s="391"/>
      <c r="C341" s="392"/>
      <c r="D341" s="537"/>
      <c r="E341" s="537"/>
    </row>
    <row r="342" spans="1:5">
      <c r="A342" s="391"/>
      <c r="B342" s="391"/>
      <c r="C342" s="392"/>
      <c r="D342" s="537"/>
      <c r="E342" s="537"/>
    </row>
  </sheetData>
  <autoFilter ref="A1:G204" xr:uid="{25D5CBAB-EBF5-4BA2-AABA-190D8272A400}">
    <filterColumn colId="5">
      <filters>
        <filter val="JURIDIQUE"/>
      </filters>
    </filterColumn>
  </autoFilter>
  <mergeCells count="9">
    <mergeCell ref="A297:B297"/>
    <mergeCell ref="A269:B269"/>
    <mergeCell ref="A236:B236"/>
    <mergeCell ref="A205:B205"/>
    <mergeCell ref="A37:B37"/>
    <mergeCell ref="A60:B60"/>
    <mergeCell ref="A130:B130"/>
    <mergeCell ref="A171:B171"/>
    <mergeCell ref="A96:B96"/>
  </mergeCells>
  <dataValidations count="1">
    <dataValidation type="list" allowBlank="1" showInputMessage="1" showErrorMessage="1" sqref="G37 F2:F95 F97:F129 F131:F204 F206:F587" xr:uid="{31813376-FD89-674A-93C9-75D8800D5B65}">
      <formula1>LISTE_TRI</formula1>
    </dataValidation>
  </dataValidations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C7FE5-8E86-554E-B49A-E8D2C297BA5F}">
  <sheetPr codeName="Feuil11">
    <tabColor rgb="FF92D050"/>
    <pageSetUpPr fitToPage="1"/>
  </sheetPr>
  <dimension ref="A1:S1008"/>
  <sheetViews>
    <sheetView zoomScale="140" zoomScaleNormal="140" workbookViewId="0">
      <pane ySplit="3" topLeftCell="A4" activePane="bottomLeft" state="frozen"/>
      <selection pane="bottomLeft" activeCell="I20" sqref="I20"/>
    </sheetView>
  </sheetViews>
  <sheetFormatPr baseColWidth="10" defaultColWidth="10.140625" defaultRowHeight="15" customHeight="1"/>
  <cols>
    <col min="1" max="1" width="12.5703125" style="191" bestFit="1" customWidth="1"/>
    <col min="2" max="2" width="25.7109375" style="197" bestFit="1" customWidth="1"/>
    <col min="3" max="5" width="11.42578125" style="197" bestFit="1" customWidth="1"/>
    <col min="6" max="6" width="1.28515625" style="222" customWidth="1"/>
    <col min="7" max="7" width="8.42578125" style="197" customWidth="1"/>
    <col min="8" max="8" width="16.42578125" style="197" customWidth="1"/>
    <col min="9" max="9" width="12.28515625" style="197" customWidth="1"/>
    <col min="10" max="19" width="8.42578125" style="197" customWidth="1"/>
    <col min="20" max="16384" width="10.140625" style="197"/>
  </cols>
  <sheetData>
    <row r="1" spans="1:19" ht="15" customHeight="1" thickBot="1">
      <c r="B1" s="192" t="s">
        <v>15</v>
      </c>
      <c r="C1" s="193">
        <v>3500</v>
      </c>
      <c r="D1" s="193">
        <v>3000</v>
      </c>
      <c r="E1" s="193"/>
    </row>
    <row r="2" spans="1:19" ht="15.75" customHeight="1" thickBot="1">
      <c r="C2" s="352" t="s">
        <v>324</v>
      </c>
      <c r="D2" s="352" t="s">
        <v>325</v>
      </c>
      <c r="F2" s="194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</row>
    <row r="3" spans="1:19" ht="15.75" customHeight="1">
      <c r="B3" s="198"/>
      <c r="C3" s="353" t="s">
        <v>0</v>
      </c>
      <c r="D3" s="353" t="s">
        <v>0</v>
      </c>
      <c r="E3" s="364" t="s">
        <v>326</v>
      </c>
      <c r="F3" s="199"/>
    </row>
    <row r="4" spans="1:19" ht="15.75" customHeight="1">
      <c r="A4" s="191" t="s">
        <v>141</v>
      </c>
      <c r="B4" s="201" t="s">
        <v>15</v>
      </c>
      <c r="C4" s="354">
        <f>C1*12</f>
        <v>42000</v>
      </c>
      <c r="D4" s="359">
        <f>D1*12</f>
        <v>36000</v>
      </c>
      <c r="E4" s="365">
        <f>D4+C4</f>
        <v>78000</v>
      </c>
      <c r="F4" s="202"/>
    </row>
    <row r="5" spans="1:19" ht="15.75" customHeight="1">
      <c r="A5" s="191" t="s">
        <v>142</v>
      </c>
      <c r="B5" s="201" t="s">
        <v>142</v>
      </c>
      <c r="C5" s="354">
        <f>C4*40%</f>
        <v>16800</v>
      </c>
      <c r="D5" s="359">
        <f>D4*40%</f>
        <v>14400</v>
      </c>
      <c r="E5" s="365">
        <f t="shared" ref="E5:E34" si="0">D5+C5</f>
        <v>31200</v>
      </c>
      <c r="F5" s="202"/>
      <c r="I5" s="200"/>
    </row>
    <row r="6" spans="1:19" ht="15.75" customHeight="1">
      <c r="A6" s="191" t="s">
        <v>144</v>
      </c>
      <c r="B6" s="201" t="s">
        <v>17</v>
      </c>
      <c r="C6" s="354">
        <v>2100</v>
      </c>
      <c r="D6" s="359">
        <f>75*12</f>
        <v>900</v>
      </c>
      <c r="E6" s="365">
        <f t="shared" si="0"/>
        <v>3000</v>
      </c>
      <c r="F6" s="202"/>
    </row>
    <row r="7" spans="1:19" ht="15.75" customHeight="1">
      <c r="A7" s="191" t="s">
        <v>157</v>
      </c>
      <c r="B7" s="201" t="s">
        <v>89</v>
      </c>
      <c r="C7" s="354">
        <v>4400</v>
      </c>
      <c r="D7" s="359">
        <f>150*12</f>
        <v>1800</v>
      </c>
      <c r="E7" s="365">
        <f t="shared" si="0"/>
        <v>6200</v>
      </c>
      <c r="F7" s="202"/>
    </row>
    <row r="8" spans="1:19" ht="15.75" customHeight="1">
      <c r="B8" s="201" t="s">
        <v>185</v>
      </c>
      <c r="C8" s="354"/>
      <c r="D8" s="359"/>
      <c r="E8" s="365">
        <f t="shared" si="0"/>
        <v>0</v>
      </c>
      <c r="F8" s="202"/>
    </row>
    <row r="9" spans="1:19" ht="15.75" customHeight="1">
      <c r="B9" s="201"/>
      <c r="C9" s="355"/>
      <c r="D9" s="360"/>
      <c r="E9" s="366"/>
      <c r="F9" s="202"/>
    </row>
    <row r="10" spans="1:19" ht="15.75" customHeight="1">
      <c r="A10" s="191" t="s">
        <v>145</v>
      </c>
      <c r="B10" s="204" t="s">
        <v>19</v>
      </c>
      <c r="C10" s="356">
        <v>5000</v>
      </c>
      <c r="D10" s="359">
        <f>787*10</f>
        <v>7870</v>
      </c>
      <c r="E10" s="365">
        <f t="shared" si="0"/>
        <v>12870</v>
      </c>
      <c r="F10" s="202"/>
    </row>
    <row r="11" spans="1:19" ht="15.75" customHeight="1">
      <c r="A11" s="191" t="s">
        <v>164</v>
      </c>
      <c r="B11" s="204" t="s">
        <v>20</v>
      </c>
      <c r="C11" s="356">
        <v>889</v>
      </c>
      <c r="D11" s="359">
        <f>750</f>
        <v>750</v>
      </c>
      <c r="E11" s="365">
        <f t="shared" si="0"/>
        <v>1639</v>
      </c>
      <c r="F11" s="202"/>
    </row>
    <row r="12" spans="1:19" ht="15.75" customHeight="1">
      <c r="A12" s="191" t="s">
        <v>21</v>
      </c>
      <c r="B12" s="204" t="s">
        <v>21</v>
      </c>
      <c r="C12" s="356">
        <v>2200</v>
      </c>
      <c r="D12" s="359">
        <f>410</f>
        <v>410</v>
      </c>
      <c r="E12" s="365">
        <f t="shared" si="0"/>
        <v>2610</v>
      </c>
      <c r="F12" s="202"/>
    </row>
    <row r="13" spans="1:19" ht="15.75" customHeight="1">
      <c r="A13" s="191" t="s">
        <v>147</v>
      </c>
      <c r="B13" s="204" t="s">
        <v>22</v>
      </c>
      <c r="C13" s="356">
        <v>0</v>
      </c>
      <c r="D13" s="359">
        <v>350</v>
      </c>
      <c r="E13" s="365">
        <f t="shared" si="0"/>
        <v>350</v>
      </c>
      <c r="F13" s="202"/>
    </row>
    <row r="14" spans="1:19" ht="15.75" customHeight="1">
      <c r="A14" s="191" t="s">
        <v>170</v>
      </c>
      <c r="B14" s="204" t="s">
        <v>171</v>
      </c>
      <c r="C14" s="356">
        <v>0</v>
      </c>
      <c r="D14" s="359">
        <v>60</v>
      </c>
      <c r="E14" s="365">
        <f t="shared" si="0"/>
        <v>60</v>
      </c>
      <c r="F14" s="202"/>
    </row>
    <row r="15" spans="1:19" ht="15.75" customHeight="1">
      <c r="A15" s="191" t="s">
        <v>158</v>
      </c>
      <c r="B15" s="204" t="s">
        <v>168</v>
      </c>
      <c r="C15" s="356"/>
      <c r="D15" s="359">
        <f>360 +326</f>
        <v>686</v>
      </c>
      <c r="E15" s="365">
        <f t="shared" si="0"/>
        <v>686</v>
      </c>
      <c r="F15" s="202"/>
    </row>
    <row r="16" spans="1:19" ht="15.75" customHeight="1">
      <c r="A16" s="191" t="s">
        <v>152</v>
      </c>
      <c r="B16" s="204" t="s">
        <v>169</v>
      </c>
      <c r="C16" s="356">
        <v>300</v>
      </c>
      <c r="D16" s="359">
        <v>300</v>
      </c>
      <c r="E16" s="365">
        <f t="shared" si="0"/>
        <v>600</v>
      </c>
      <c r="F16" s="202"/>
    </row>
    <row r="17" spans="1:8" ht="15.75" customHeight="1">
      <c r="A17" s="191" t="s">
        <v>165</v>
      </c>
      <c r="B17" s="204" t="s">
        <v>177</v>
      </c>
      <c r="C17" s="356">
        <v>2100</v>
      </c>
      <c r="D17" s="359">
        <f>4000/3</f>
        <v>1333.3333333333333</v>
      </c>
      <c r="E17" s="365">
        <f t="shared" si="0"/>
        <v>3433.333333333333</v>
      </c>
      <c r="F17" s="202"/>
    </row>
    <row r="18" spans="1:8" ht="15.75" customHeight="1">
      <c r="A18" s="191" t="s">
        <v>166</v>
      </c>
      <c r="B18" s="204" t="s">
        <v>161</v>
      </c>
      <c r="C18" s="356">
        <f>250*12</f>
        <v>3000</v>
      </c>
      <c r="D18" s="359">
        <v>500</v>
      </c>
      <c r="E18" s="365">
        <f t="shared" si="0"/>
        <v>3500</v>
      </c>
      <c r="F18" s="202"/>
    </row>
    <row r="19" spans="1:8" ht="15.75" customHeight="1">
      <c r="A19" s="191" t="s">
        <v>328</v>
      </c>
      <c r="B19" s="204" t="s">
        <v>329</v>
      </c>
      <c r="C19" s="356">
        <v>800</v>
      </c>
      <c r="D19" s="359">
        <f>12*120</f>
        <v>1440</v>
      </c>
      <c r="E19" s="365">
        <f t="shared" si="0"/>
        <v>2240</v>
      </c>
      <c r="F19" s="202"/>
    </row>
    <row r="20" spans="1:8" ht="15.75" customHeight="1">
      <c r="A20" s="191" t="s">
        <v>148</v>
      </c>
      <c r="B20" s="204" t="s">
        <v>23</v>
      </c>
      <c r="C20" s="356">
        <v>2500</v>
      </c>
      <c r="D20" s="359">
        <v>1200</v>
      </c>
      <c r="E20" s="365">
        <f t="shared" si="0"/>
        <v>3700</v>
      </c>
      <c r="F20" s="202"/>
    </row>
    <row r="21" spans="1:8" ht="15.75" customHeight="1">
      <c r="A21" s="191" t="s">
        <v>159</v>
      </c>
      <c r="B21" s="204" t="s">
        <v>24</v>
      </c>
      <c r="C21" s="356">
        <v>50</v>
      </c>
      <c r="D21" s="359">
        <v>50</v>
      </c>
      <c r="E21" s="365">
        <f t="shared" si="0"/>
        <v>100</v>
      </c>
      <c r="F21" s="202"/>
    </row>
    <row r="22" spans="1:8" ht="15.75" customHeight="1">
      <c r="A22" s="191" t="s">
        <v>167</v>
      </c>
      <c r="B22" s="204" t="s">
        <v>162</v>
      </c>
      <c r="C22" s="356">
        <v>594</v>
      </c>
      <c r="D22" s="359">
        <f>45*12</f>
        <v>540</v>
      </c>
      <c r="E22" s="365">
        <f t="shared" si="0"/>
        <v>1134</v>
      </c>
      <c r="F22" s="202"/>
    </row>
    <row r="23" spans="1:8" ht="15.75" customHeight="1">
      <c r="A23" s="191" t="s">
        <v>160</v>
      </c>
      <c r="B23" s="204" t="s">
        <v>163</v>
      </c>
      <c r="C23" s="356">
        <v>100</v>
      </c>
      <c r="D23" s="359">
        <v>600</v>
      </c>
      <c r="E23" s="365">
        <f t="shared" si="0"/>
        <v>700</v>
      </c>
      <c r="F23" s="202"/>
      <c r="H23" s="200"/>
    </row>
    <row r="24" spans="1:8" ht="15.75" customHeight="1">
      <c r="A24" s="191" t="s">
        <v>149</v>
      </c>
      <c r="B24" s="204" t="s">
        <v>27</v>
      </c>
      <c r="C24" s="356">
        <v>2500</v>
      </c>
      <c r="D24" s="359">
        <v>900</v>
      </c>
      <c r="E24" s="365">
        <f t="shared" si="0"/>
        <v>3400</v>
      </c>
      <c r="F24" s="202"/>
    </row>
    <row r="25" spans="1:8" ht="15.75" customHeight="1">
      <c r="A25" s="191" t="s">
        <v>444</v>
      </c>
      <c r="B25" s="204" t="s">
        <v>445</v>
      </c>
      <c r="C25" s="356">
        <v>3200</v>
      </c>
      <c r="D25" s="359">
        <v>250</v>
      </c>
      <c r="E25" s="365">
        <f t="shared" si="0"/>
        <v>3450</v>
      </c>
      <c r="F25" s="202"/>
    </row>
    <row r="26" spans="1:8" ht="15.75" customHeight="1">
      <c r="A26" s="191" t="s">
        <v>146</v>
      </c>
      <c r="B26" s="204" t="s">
        <v>28</v>
      </c>
      <c r="C26" s="356">
        <f>700+5500</f>
        <v>6200</v>
      </c>
      <c r="D26" s="359">
        <v>2200</v>
      </c>
      <c r="E26" s="365">
        <f t="shared" si="0"/>
        <v>8400</v>
      </c>
      <c r="F26" s="202"/>
    </row>
    <row r="27" spans="1:8" ht="15.75" customHeight="1">
      <c r="A27" s="191" t="s">
        <v>31</v>
      </c>
      <c r="B27" s="204" t="s">
        <v>31</v>
      </c>
      <c r="C27" s="356"/>
      <c r="D27" s="359">
        <v>1500</v>
      </c>
      <c r="E27" s="365">
        <f t="shared" si="0"/>
        <v>1500</v>
      </c>
      <c r="F27" s="202"/>
    </row>
    <row r="28" spans="1:8" ht="15.75" customHeight="1">
      <c r="C28" s="357"/>
      <c r="D28" s="360"/>
      <c r="E28" s="366"/>
      <c r="F28" s="202"/>
    </row>
    <row r="29" spans="1:8" ht="15.75" customHeight="1">
      <c r="A29" s="191" t="s">
        <v>150</v>
      </c>
      <c r="B29" s="206" t="s">
        <v>442</v>
      </c>
      <c r="C29" s="416">
        <f>240*20*12</f>
        <v>57600</v>
      </c>
      <c r="D29" s="359">
        <v>0</v>
      </c>
      <c r="E29" s="365">
        <f t="shared" si="0"/>
        <v>57600</v>
      </c>
      <c r="F29" s="202"/>
    </row>
    <row r="30" spans="1:8" ht="15.75" customHeight="1">
      <c r="A30" s="191" t="s">
        <v>30</v>
      </c>
      <c r="B30" s="206" t="s">
        <v>30</v>
      </c>
      <c r="C30" s="356">
        <v>0</v>
      </c>
      <c r="D30" s="359">
        <v>0</v>
      </c>
      <c r="E30" s="365">
        <f t="shared" si="0"/>
        <v>0</v>
      </c>
      <c r="F30" s="202"/>
    </row>
    <row r="31" spans="1:8" ht="15.75" customHeight="1">
      <c r="A31" s="191" t="s">
        <v>29</v>
      </c>
      <c r="B31" s="206" t="s">
        <v>29</v>
      </c>
      <c r="C31" s="356">
        <v>12000</v>
      </c>
      <c r="D31" s="359">
        <v>3500</v>
      </c>
      <c r="E31" s="365">
        <f t="shared" si="0"/>
        <v>15500</v>
      </c>
      <c r="F31" s="202"/>
    </row>
    <row r="32" spans="1:8" ht="15.75" customHeight="1">
      <c r="A32" s="191" t="s">
        <v>138</v>
      </c>
      <c r="B32" s="206" t="s">
        <v>111</v>
      </c>
      <c r="C32" s="356"/>
      <c r="D32" s="359">
        <v>0</v>
      </c>
      <c r="E32" s="365">
        <f t="shared" si="0"/>
        <v>0</v>
      </c>
      <c r="F32" s="202"/>
    </row>
    <row r="33" spans="1:6" ht="15.75" customHeight="1">
      <c r="A33" s="191" t="s">
        <v>207</v>
      </c>
      <c r="B33" s="206" t="s">
        <v>441</v>
      </c>
      <c r="C33" s="356">
        <f>1000*1.2+800*12</f>
        <v>10800</v>
      </c>
      <c r="D33" s="359">
        <f>650*12+27*12</f>
        <v>8124</v>
      </c>
      <c r="E33" s="365">
        <f t="shared" si="0"/>
        <v>18924</v>
      </c>
      <c r="F33" s="202"/>
    </row>
    <row r="34" spans="1:6" ht="15.75" customHeight="1" thickBot="1">
      <c r="A34" s="191" t="s">
        <v>172</v>
      </c>
      <c r="B34" s="206" t="s">
        <v>173</v>
      </c>
      <c r="C34" s="358">
        <v>0</v>
      </c>
      <c r="D34" s="361">
        <v>0</v>
      </c>
      <c r="E34" s="367">
        <f t="shared" si="0"/>
        <v>0</v>
      </c>
      <c r="F34" s="202"/>
    </row>
    <row r="35" spans="1:6" ht="15.75" customHeight="1">
      <c r="B35" s="206"/>
      <c r="C35" s="206"/>
      <c r="D35" s="207"/>
      <c r="E35" s="207"/>
      <c r="F35" s="202"/>
    </row>
    <row r="36" spans="1:6" ht="15.75" customHeight="1">
      <c r="B36" s="206"/>
      <c r="C36" s="206"/>
      <c r="D36" s="207"/>
      <c r="E36" s="207"/>
      <c r="F36" s="202"/>
    </row>
    <row r="37" spans="1:6" ht="15.75" customHeight="1">
      <c r="B37" s="206"/>
      <c r="C37" s="206"/>
      <c r="D37" s="207"/>
      <c r="E37" s="207"/>
      <c r="F37" s="202"/>
    </row>
    <row r="38" spans="1:6" ht="15.75" customHeight="1" thickBot="1">
      <c r="B38" s="198"/>
      <c r="C38" s="198"/>
      <c r="D38" s="330"/>
      <c r="E38" s="330"/>
      <c r="F38" s="202"/>
    </row>
    <row r="39" spans="1:6" ht="19.5" customHeight="1" thickBot="1">
      <c r="A39" s="203">
        <f>E39/12</f>
        <v>4197.6944444444443</v>
      </c>
      <c r="B39" s="208" t="s">
        <v>153</v>
      </c>
      <c r="C39" s="404">
        <f>SUM(C10:C27)</f>
        <v>29433</v>
      </c>
      <c r="D39" s="404">
        <f>SUM(D10:D27)</f>
        <v>20939.333333333336</v>
      </c>
      <c r="E39" s="209">
        <f>C39+D39</f>
        <v>50372.333333333336</v>
      </c>
      <c r="F39" s="210"/>
    </row>
    <row r="40" spans="1:6" ht="19.5" customHeight="1" thickBot="1">
      <c r="A40" s="203">
        <f>E40/12</f>
        <v>9866.6666666666661</v>
      </c>
      <c r="B40" s="211" t="s">
        <v>327</v>
      </c>
      <c r="C40" s="405">
        <f>SUM(C4:C8)</f>
        <v>65300</v>
      </c>
      <c r="D40" s="405">
        <f>SUM(D4:D8)</f>
        <v>53100</v>
      </c>
      <c r="E40" s="212">
        <f>C40+D40</f>
        <v>118400</v>
      </c>
      <c r="F40" s="210"/>
    </row>
    <row r="41" spans="1:6" ht="19.5" customHeight="1" thickBot="1">
      <c r="A41" s="215">
        <f>E41/12</f>
        <v>14064.361111111111</v>
      </c>
      <c r="B41" s="213" t="s">
        <v>155</v>
      </c>
      <c r="C41" s="214">
        <f>C39+C40</f>
        <v>94733</v>
      </c>
      <c r="D41" s="214">
        <f>D39+D40</f>
        <v>74039.333333333343</v>
      </c>
      <c r="E41" s="214">
        <f>C41+D41</f>
        <v>168772.33333333334</v>
      </c>
      <c r="F41" s="216"/>
    </row>
    <row r="42" spans="1:6" ht="19.5" customHeight="1" thickBot="1">
      <c r="B42" s="217" t="s">
        <v>156</v>
      </c>
      <c r="C42" s="406">
        <f>SUM(C29:C34)</f>
        <v>80400</v>
      </c>
      <c r="D42" s="406">
        <f>SUM(D29:D34)</f>
        <v>11624</v>
      </c>
      <c r="E42" s="218">
        <f>C42+D42</f>
        <v>92024</v>
      </c>
      <c r="F42" s="216"/>
    </row>
    <row r="43" spans="1:6" ht="19.5" customHeight="1" thickBot="1">
      <c r="B43" s="219" t="s">
        <v>178</v>
      </c>
      <c r="C43" s="407">
        <f>C41+C42</f>
        <v>175133</v>
      </c>
      <c r="D43" s="407">
        <f>D41+D42</f>
        <v>85663.333333333343</v>
      </c>
      <c r="E43" s="220">
        <f>E41+E42</f>
        <v>260796.33333333334</v>
      </c>
      <c r="F43" s="210"/>
    </row>
    <row r="44" spans="1:6" ht="19.5" customHeight="1" thickBot="1">
      <c r="B44" s="203" t="s">
        <v>115</v>
      </c>
      <c r="C44" s="221">
        <v>0.1</v>
      </c>
      <c r="D44" s="221">
        <v>0.1</v>
      </c>
      <c r="E44" s="221">
        <v>0.1</v>
      </c>
    </row>
    <row r="45" spans="1:6" ht="19.5" customHeight="1" thickBot="1">
      <c r="B45" s="223" t="s">
        <v>176</v>
      </c>
      <c r="C45" s="408">
        <f>C43+C43*C44</f>
        <v>192646.3</v>
      </c>
      <c r="D45" s="408">
        <f>D43+D43*D44</f>
        <v>94229.666666666672</v>
      </c>
      <c r="E45" s="224">
        <f>E43+E43*E44</f>
        <v>286875.96666666667</v>
      </c>
    </row>
    <row r="46" spans="1:6" ht="19.5" customHeight="1">
      <c r="C46" s="368">
        <f>C45/E45</f>
        <v>0.67153168053231826</v>
      </c>
      <c r="D46" s="368">
        <f>D45/E45</f>
        <v>0.32846831946768168</v>
      </c>
      <c r="E46" s="196"/>
    </row>
    <row r="47" spans="1:6" ht="19.5" customHeight="1" thickBot="1">
      <c r="C47" s="196"/>
      <c r="D47" s="196"/>
      <c r="E47" s="196"/>
    </row>
    <row r="48" spans="1:6" ht="19.5" customHeight="1" thickBot="1">
      <c r="B48" s="225" t="s">
        <v>125</v>
      </c>
      <c r="C48" s="226">
        <f>C45-C43</f>
        <v>17513.299999999988</v>
      </c>
      <c r="D48" s="226">
        <f>D45-D43</f>
        <v>8566.3333333333285</v>
      </c>
      <c r="E48" s="226">
        <f>E45-E43</f>
        <v>26079.633333333331</v>
      </c>
      <c r="F48" s="210"/>
    </row>
    <row r="49" spans="2:6" ht="19.5" customHeight="1">
      <c r="C49" s="196"/>
      <c r="D49" s="196"/>
      <c r="E49" s="196"/>
    </row>
    <row r="50" spans="2:6" ht="19.5" customHeight="1" thickBot="1">
      <c r="B50" s="362" t="s">
        <v>32</v>
      </c>
      <c r="C50" s="363"/>
      <c r="D50" s="363"/>
      <c r="E50" s="363"/>
    </row>
    <row r="51" spans="2:6" ht="19.5" customHeight="1" thickBot="1">
      <c r="B51" s="331" t="s">
        <v>33</v>
      </c>
      <c r="C51" s="332">
        <f>'facturation 25-26'!A5</f>
        <v>0</v>
      </c>
      <c r="D51" s="332">
        <f>'facturation 25-26'!C5</f>
        <v>72989.930000000008</v>
      </c>
      <c r="E51" s="332">
        <f>C51+D51</f>
        <v>72989.930000000008</v>
      </c>
      <c r="F51" s="210"/>
    </row>
    <row r="52" spans="2:6" ht="19.5" customHeight="1" thickBot="1">
      <c r="B52" s="333" t="s">
        <v>34</v>
      </c>
      <c r="C52" s="332">
        <f>'Planning facturation 25-26'!R77</f>
        <v>0</v>
      </c>
      <c r="D52" s="332">
        <f>'Planning facturation 25-26'!T77</f>
        <v>0</v>
      </c>
      <c r="E52" s="332">
        <f>C52+D52</f>
        <v>0</v>
      </c>
    </row>
    <row r="53" spans="2:6" ht="19.5" customHeight="1" thickBot="1">
      <c r="B53" s="333" t="s">
        <v>35</v>
      </c>
      <c r="C53" s="334">
        <f>C51+C52</f>
        <v>0</v>
      </c>
      <c r="D53" s="334">
        <f>D51+D52</f>
        <v>72989.930000000008</v>
      </c>
      <c r="E53" s="334">
        <f>C53+D53</f>
        <v>72989.930000000008</v>
      </c>
    </row>
    <row r="54" spans="2:6" ht="15.75" customHeight="1">
      <c r="D54" s="196"/>
      <c r="E54" s="196"/>
    </row>
    <row r="55" spans="2:6" ht="15.75" customHeight="1">
      <c r="D55" s="196"/>
      <c r="E55" s="196"/>
    </row>
    <row r="56" spans="2:6" ht="15.75" customHeight="1">
      <c r="D56" s="196"/>
      <c r="E56" s="196"/>
    </row>
    <row r="57" spans="2:6" ht="15.75" customHeight="1">
      <c r="D57" s="196"/>
      <c r="E57" s="196"/>
    </row>
    <row r="58" spans="2:6" ht="15.75" customHeight="1">
      <c r="D58" s="196"/>
      <c r="E58" s="196"/>
    </row>
    <row r="59" spans="2:6" ht="15.75" customHeight="1">
      <c r="D59" s="196"/>
      <c r="E59" s="196"/>
    </row>
    <row r="60" spans="2:6" ht="15.75" customHeight="1">
      <c r="D60" s="196"/>
      <c r="E60" s="196"/>
    </row>
    <row r="61" spans="2:6" ht="15.75" customHeight="1">
      <c r="D61" s="196"/>
      <c r="E61" s="196"/>
    </row>
    <row r="62" spans="2:6" ht="15.75" customHeight="1">
      <c r="D62" s="196"/>
      <c r="E62" s="196"/>
    </row>
    <row r="63" spans="2:6" ht="15.75" customHeight="1">
      <c r="D63" s="196"/>
      <c r="E63" s="196"/>
    </row>
    <row r="64" spans="2:6" ht="15.75" customHeight="1">
      <c r="D64" s="196"/>
      <c r="E64" s="196"/>
    </row>
    <row r="65" spans="4:5" ht="15.75" customHeight="1">
      <c r="D65" s="196"/>
      <c r="E65" s="196"/>
    </row>
    <row r="66" spans="4:5" ht="15.75" customHeight="1">
      <c r="D66" s="196"/>
      <c r="E66" s="196"/>
    </row>
    <row r="67" spans="4:5" ht="15.75" customHeight="1">
      <c r="D67" s="196"/>
      <c r="E67" s="196"/>
    </row>
    <row r="68" spans="4:5" ht="15.75" customHeight="1">
      <c r="D68" s="196"/>
      <c r="E68" s="196"/>
    </row>
    <row r="69" spans="4:5" ht="15.75" customHeight="1">
      <c r="D69" s="196"/>
      <c r="E69" s="196"/>
    </row>
    <row r="70" spans="4:5" ht="15.75" customHeight="1">
      <c r="D70" s="196"/>
      <c r="E70" s="196"/>
    </row>
    <row r="71" spans="4:5" ht="15.75" customHeight="1">
      <c r="D71" s="196"/>
      <c r="E71" s="196"/>
    </row>
    <row r="72" spans="4:5" ht="15.75" customHeight="1">
      <c r="D72" s="196"/>
      <c r="E72" s="196"/>
    </row>
    <row r="73" spans="4:5" ht="15.75" customHeight="1">
      <c r="D73" s="196"/>
      <c r="E73" s="196"/>
    </row>
    <row r="74" spans="4:5" ht="15.75" customHeight="1">
      <c r="D74" s="196"/>
      <c r="E74" s="196"/>
    </row>
    <row r="75" spans="4:5" ht="15.75" customHeight="1">
      <c r="D75" s="196"/>
      <c r="E75" s="196"/>
    </row>
    <row r="76" spans="4:5" ht="15.75" customHeight="1">
      <c r="D76" s="196"/>
      <c r="E76" s="196"/>
    </row>
    <row r="77" spans="4:5" ht="15.75" customHeight="1">
      <c r="D77" s="196"/>
      <c r="E77" s="196"/>
    </row>
    <row r="78" spans="4:5" ht="15.75" customHeight="1">
      <c r="D78" s="196"/>
      <c r="E78" s="196"/>
    </row>
    <row r="79" spans="4:5" ht="15.75" customHeight="1">
      <c r="D79" s="196"/>
      <c r="E79" s="196"/>
    </row>
    <row r="80" spans="4:5" ht="15.75" customHeight="1">
      <c r="D80" s="196"/>
      <c r="E80" s="196"/>
    </row>
    <row r="81" spans="4:5" ht="15.75" customHeight="1">
      <c r="D81" s="196"/>
      <c r="E81" s="196"/>
    </row>
    <row r="82" spans="4:5" ht="15.75" customHeight="1">
      <c r="D82" s="196"/>
      <c r="E82" s="196"/>
    </row>
    <row r="83" spans="4:5" ht="15.75" customHeight="1">
      <c r="D83" s="196"/>
      <c r="E83" s="196"/>
    </row>
    <row r="84" spans="4:5" ht="15.75" customHeight="1">
      <c r="D84" s="196"/>
      <c r="E84" s="196"/>
    </row>
    <row r="85" spans="4:5" ht="15.75" customHeight="1">
      <c r="D85" s="196"/>
      <c r="E85" s="196"/>
    </row>
    <row r="86" spans="4:5" ht="15.75" customHeight="1">
      <c r="D86" s="196"/>
      <c r="E86" s="196"/>
    </row>
    <row r="87" spans="4:5" ht="15.75" customHeight="1">
      <c r="D87" s="196"/>
      <c r="E87" s="196"/>
    </row>
    <row r="88" spans="4:5" ht="15.75" customHeight="1">
      <c r="D88" s="196"/>
      <c r="E88" s="196"/>
    </row>
    <row r="89" spans="4:5" ht="15.75" customHeight="1">
      <c r="D89" s="196"/>
      <c r="E89" s="196"/>
    </row>
    <row r="90" spans="4:5" ht="15.75" customHeight="1">
      <c r="D90" s="196"/>
      <c r="E90" s="196"/>
    </row>
    <row r="91" spans="4:5" ht="15.75" customHeight="1">
      <c r="D91" s="196"/>
      <c r="E91" s="196"/>
    </row>
    <row r="92" spans="4:5" ht="15.75" customHeight="1">
      <c r="D92" s="196"/>
      <c r="E92" s="196"/>
    </row>
    <row r="93" spans="4:5" ht="15.75" customHeight="1">
      <c r="D93" s="196"/>
      <c r="E93" s="196"/>
    </row>
    <row r="94" spans="4:5" ht="15.75" customHeight="1">
      <c r="D94" s="196"/>
      <c r="E94" s="196"/>
    </row>
    <row r="95" spans="4:5" ht="15.75" customHeight="1">
      <c r="D95" s="196"/>
      <c r="E95" s="196"/>
    </row>
    <row r="96" spans="4:5" ht="15.75" customHeight="1">
      <c r="D96" s="196"/>
      <c r="E96" s="196"/>
    </row>
    <row r="97" spans="4:5" ht="15.75" customHeight="1">
      <c r="D97" s="196"/>
      <c r="E97" s="196"/>
    </row>
    <row r="98" spans="4:5" ht="15.75" customHeight="1">
      <c r="D98" s="196"/>
      <c r="E98" s="196"/>
    </row>
    <row r="99" spans="4:5" ht="15.75" customHeight="1">
      <c r="D99" s="196"/>
      <c r="E99" s="196"/>
    </row>
    <row r="100" spans="4:5" ht="15.75" customHeight="1">
      <c r="D100" s="196"/>
      <c r="E100" s="196"/>
    </row>
    <row r="101" spans="4:5" ht="15.75" customHeight="1">
      <c r="D101" s="196"/>
      <c r="E101" s="196"/>
    </row>
    <row r="102" spans="4:5" ht="15.75" customHeight="1">
      <c r="D102" s="196"/>
      <c r="E102" s="196"/>
    </row>
    <row r="103" spans="4:5" ht="15.75" customHeight="1">
      <c r="D103" s="196"/>
      <c r="E103" s="196"/>
    </row>
    <row r="104" spans="4:5" ht="15.75" customHeight="1">
      <c r="D104" s="196"/>
      <c r="E104" s="196"/>
    </row>
    <row r="105" spans="4:5" ht="15.75" customHeight="1">
      <c r="D105" s="196"/>
      <c r="E105" s="196"/>
    </row>
    <row r="106" spans="4:5" ht="15.75" customHeight="1">
      <c r="D106" s="196"/>
      <c r="E106" s="196"/>
    </row>
    <row r="107" spans="4:5" ht="15.75" customHeight="1">
      <c r="D107" s="196"/>
      <c r="E107" s="196"/>
    </row>
    <row r="108" spans="4:5" ht="15.75" customHeight="1">
      <c r="D108" s="196"/>
      <c r="E108" s="196"/>
    </row>
    <row r="109" spans="4:5" ht="15.75" customHeight="1">
      <c r="D109" s="196"/>
      <c r="E109" s="196"/>
    </row>
    <row r="110" spans="4:5" ht="15.75" customHeight="1">
      <c r="D110" s="196"/>
      <c r="E110" s="196"/>
    </row>
    <row r="111" spans="4:5" ht="15.75" customHeight="1">
      <c r="D111" s="196"/>
      <c r="E111" s="196"/>
    </row>
    <row r="112" spans="4:5" ht="15.75" customHeight="1">
      <c r="D112" s="196"/>
      <c r="E112" s="196"/>
    </row>
    <row r="113" spans="4:5" ht="15.75" customHeight="1">
      <c r="D113" s="196"/>
      <c r="E113" s="196"/>
    </row>
    <row r="114" spans="4:5" ht="15.75" customHeight="1">
      <c r="D114" s="196"/>
      <c r="E114" s="196"/>
    </row>
    <row r="115" spans="4:5" ht="15.75" customHeight="1">
      <c r="D115" s="196"/>
      <c r="E115" s="196"/>
    </row>
    <row r="116" spans="4:5" ht="15.75" customHeight="1">
      <c r="D116" s="196"/>
      <c r="E116" s="196"/>
    </row>
    <row r="117" spans="4:5" ht="15.75" customHeight="1">
      <c r="D117" s="196"/>
      <c r="E117" s="196"/>
    </row>
    <row r="118" spans="4:5" ht="15.75" customHeight="1">
      <c r="D118" s="196"/>
      <c r="E118" s="196"/>
    </row>
    <row r="119" spans="4:5" ht="15.75" customHeight="1">
      <c r="D119" s="196"/>
      <c r="E119" s="196"/>
    </row>
    <row r="120" spans="4:5" ht="15.75" customHeight="1">
      <c r="D120" s="196"/>
      <c r="E120" s="196"/>
    </row>
    <row r="121" spans="4:5" ht="15.75" customHeight="1">
      <c r="D121" s="196"/>
      <c r="E121" s="196"/>
    </row>
    <row r="122" spans="4:5" ht="15.75" customHeight="1">
      <c r="D122" s="196"/>
      <c r="E122" s="196"/>
    </row>
    <row r="123" spans="4:5" ht="15.75" customHeight="1">
      <c r="D123" s="196"/>
      <c r="E123" s="196"/>
    </row>
    <row r="124" spans="4:5" ht="15.75" customHeight="1">
      <c r="D124" s="196"/>
      <c r="E124" s="196"/>
    </row>
    <row r="125" spans="4:5" ht="15.75" customHeight="1">
      <c r="D125" s="196"/>
      <c r="E125" s="196"/>
    </row>
    <row r="126" spans="4:5" ht="15.75" customHeight="1">
      <c r="D126" s="196"/>
      <c r="E126" s="196"/>
    </row>
    <row r="127" spans="4:5" ht="15.75" customHeight="1">
      <c r="D127" s="196"/>
      <c r="E127" s="196"/>
    </row>
    <row r="128" spans="4:5" ht="15.75" customHeight="1">
      <c r="D128" s="196"/>
      <c r="E128" s="196"/>
    </row>
    <row r="129" spans="4:5" ht="15.75" customHeight="1">
      <c r="D129" s="196"/>
      <c r="E129" s="196"/>
    </row>
    <row r="130" spans="4:5" ht="15.75" customHeight="1">
      <c r="D130" s="196"/>
      <c r="E130" s="196"/>
    </row>
    <row r="131" spans="4:5" ht="15.75" customHeight="1">
      <c r="D131" s="196"/>
      <c r="E131" s="196"/>
    </row>
    <row r="132" spans="4:5" ht="15.75" customHeight="1">
      <c r="D132" s="196"/>
      <c r="E132" s="196"/>
    </row>
    <row r="133" spans="4:5" ht="15.75" customHeight="1">
      <c r="D133" s="196"/>
      <c r="E133" s="196"/>
    </row>
    <row r="134" spans="4:5" ht="15.75" customHeight="1">
      <c r="D134" s="196"/>
      <c r="E134" s="196"/>
    </row>
    <row r="135" spans="4:5" ht="15.75" customHeight="1">
      <c r="D135" s="196"/>
      <c r="E135" s="196"/>
    </row>
    <row r="136" spans="4:5" ht="15.75" customHeight="1">
      <c r="D136" s="196"/>
      <c r="E136" s="196"/>
    </row>
    <row r="137" spans="4:5" ht="15.75" customHeight="1">
      <c r="D137" s="196"/>
      <c r="E137" s="196"/>
    </row>
    <row r="138" spans="4:5" ht="15.75" customHeight="1">
      <c r="D138" s="196"/>
      <c r="E138" s="196"/>
    </row>
    <row r="139" spans="4:5" ht="15.75" customHeight="1">
      <c r="D139" s="196"/>
      <c r="E139" s="196"/>
    </row>
    <row r="140" spans="4:5" ht="15.75" customHeight="1">
      <c r="D140" s="196"/>
      <c r="E140" s="196"/>
    </row>
    <row r="141" spans="4:5" ht="15.75" customHeight="1">
      <c r="D141" s="196"/>
      <c r="E141" s="196"/>
    </row>
    <row r="142" spans="4:5" ht="15.75" customHeight="1">
      <c r="D142" s="196"/>
      <c r="E142" s="196"/>
    </row>
    <row r="143" spans="4:5" ht="15.75" customHeight="1">
      <c r="D143" s="196"/>
      <c r="E143" s="196"/>
    </row>
    <row r="144" spans="4:5" ht="15.75" customHeight="1">
      <c r="D144" s="196"/>
      <c r="E144" s="196"/>
    </row>
    <row r="145" spans="4:5" ht="15.75" customHeight="1">
      <c r="D145" s="196"/>
      <c r="E145" s="196"/>
    </row>
    <row r="146" spans="4:5" ht="15.75" customHeight="1">
      <c r="D146" s="196"/>
      <c r="E146" s="196"/>
    </row>
    <row r="147" spans="4:5" ht="15.75" customHeight="1">
      <c r="D147" s="196"/>
      <c r="E147" s="196"/>
    </row>
    <row r="148" spans="4:5" ht="15.75" customHeight="1">
      <c r="D148" s="196"/>
      <c r="E148" s="196"/>
    </row>
    <row r="149" spans="4:5" ht="15.75" customHeight="1">
      <c r="D149" s="196"/>
      <c r="E149" s="196"/>
    </row>
    <row r="150" spans="4:5" ht="15.75" customHeight="1">
      <c r="D150" s="196"/>
      <c r="E150" s="196"/>
    </row>
    <row r="151" spans="4:5" ht="15.75" customHeight="1">
      <c r="D151" s="196"/>
      <c r="E151" s="196"/>
    </row>
    <row r="152" spans="4:5" ht="15.75" customHeight="1">
      <c r="D152" s="196"/>
      <c r="E152" s="196"/>
    </row>
    <row r="153" spans="4:5" ht="15.75" customHeight="1">
      <c r="D153" s="196"/>
      <c r="E153" s="196"/>
    </row>
    <row r="154" spans="4:5" ht="15.75" customHeight="1">
      <c r="D154" s="196"/>
      <c r="E154" s="196"/>
    </row>
    <row r="155" spans="4:5" ht="15.75" customHeight="1">
      <c r="D155" s="196"/>
      <c r="E155" s="196"/>
    </row>
    <row r="156" spans="4:5" ht="15.75" customHeight="1">
      <c r="D156" s="196"/>
      <c r="E156" s="196"/>
    </row>
    <row r="157" spans="4:5" ht="15.75" customHeight="1">
      <c r="D157" s="196"/>
      <c r="E157" s="196"/>
    </row>
    <row r="158" spans="4:5" ht="15.75" customHeight="1">
      <c r="D158" s="196"/>
      <c r="E158" s="196"/>
    </row>
    <row r="159" spans="4:5" ht="15.75" customHeight="1">
      <c r="D159" s="196"/>
      <c r="E159" s="196"/>
    </row>
    <row r="160" spans="4:5" ht="15.75" customHeight="1">
      <c r="D160" s="196"/>
      <c r="E160" s="196"/>
    </row>
    <row r="161" spans="4:5" ht="15.75" customHeight="1">
      <c r="D161" s="196"/>
      <c r="E161" s="196"/>
    </row>
    <row r="162" spans="4:5" ht="15.75" customHeight="1">
      <c r="D162" s="196"/>
      <c r="E162" s="196"/>
    </row>
    <row r="163" spans="4:5" ht="15.75" customHeight="1">
      <c r="D163" s="196"/>
      <c r="E163" s="196"/>
    </row>
    <row r="164" spans="4:5" ht="15.75" customHeight="1">
      <c r="D164" s="196"/>
      <c r="E164" s="196"/>
    </row>
    <row r="165" spans="4:5" ht="15.75" customHeight="1">
      <c r="D165" s="196"/>
      <c r="E165" s="196"/>
    </row>
    <row r="166" spans="4:5" ht="15.75" customHeight="1">
      <c r="D166" s="196"/>
      <c r="E166" s="196"/>
    </row>
    <row r="167" spans="4:5" ht="15.75" customHeight="1">
      <c r="D167" s="196"/>
      <c r="E167" s="196"/>
    </row>
    <row r="168" spans="4:5" ht="15.75" customHeight="1">
      <c r="D168" s="196"/>
      <c r="E168" s="196"/>
    </row>
    <row r="169" spans="4:5" ht="15.75" customHeight="1">
      <c r="D169" s="196"/>
      <c r="E169" s="196"/>
    </row>
    <row r="170" spans="4:5" ht="15.75" customHeight="1">
      <c r="D170" s="196"/>
      <c r="E170" s="196"/>
    </row>
    <row r="171" spans="4:5" ht="15.75" customHeight="1">
      <c r="D171" s="196"/>
      <c r="E171" s="196"/>
    </row>
    <row r="172" spans="4:5" ht="15.75" customHeight="1">
      <c r="D172" s="196"/>
      <c r="E172" s="196"/>
    </row>
    <row r="173" spans="4:5" ht="15.75" customHeight="1">
      <c r="D173" s="196"/>
      <c r="E173" s="196"/>
    </row>
    <row r="174" spans="4:5" ht="15.75" customHeight="1">
      <c r="D174" s="196"/>
      <c r="E174" s="196"/>
    </row>
    <row r="175" spans="4:5" ht="15.75" customHeight="1">
      <c r="D175" s="196"/>
      <c r="E175" s="196"/>
    </row>
    <row r="176" spans="4:5" ht="15.75" customHeight="1">
      <c r="D176" s="196"/>
      <c r="E176" s="196"/>
    </row>
    <row r="177" spans="4:5" ht="15.75" customHeight="1">
      <c r="D177" s="196"/>
      <c r="E177" s="196"/>
    </row>
    <row r="178" spans="4:5" ht="15.75" customHeight="1">
      <c r="D178" s="196"/>
      <c r="E178" s="196"/>
    </row>
    <row r="179" spans="4:5" ht="15.75" customHeight="1">
      <c r="D179" s="196"/>
      <c r="E179" s="196"/>
    </row>
    <row r="180" spans="4:5" ht="15.75" customHeight="1">
      <c r="D180" s="196"/>
      <c r="E180" s="196"/>
    </row>
    <row r="181" spans="4:5" ht="15.75" customHeight="1">
      <c r="D181" s="196"/>
      <c r="E181" s="196"/>
    </row>
    <row r="182" spans="4:5" ht="15.75" customHeight="1">
      <c r="D182" s="196"/>
      <c r="E182" s="196"/>
    </row>
    <row r="183" spans="4:5" ht="15.75" customHeight="1">
      <c r="D183" s="196"/>
      <c r="E183" s="196"/>
    </row>
    <row r="184" spans="4:5" ht="15.75" customHeight="1">
      <c r="D184" s="196"/>
      <c r="E184" s="196"/>
    </row>
    <row r="185" spans="4:5" ht="15.75" customHeight="1">
      <c r="D185" s="196"/>
      <c r="E185" s="196"/>
    </row>
    <row r="186" spans="4:5" ht="15.75" customHeight="1">
      <c r="D186" s="196"/>
      <c r="E186" s="196"/>
    </row>
    <row r="187" spans="4:5" ht="15.75" customHeight="1">
      <c r="D187" s="196"/>
      <c r="E187" s="196"/>
    </row>
    <row r="188" spans="4:5" ht="15.75" customHeight="1">
      <c r="D188" s="196"/>
      <c r="E188" s="196"/>
    </row>
    <row r="189" spans="4:5" ht="15.75" customHeight="1">
      <c r="D189" s="196"/>
      <c r="E189" s="196"/>
    </row>
    <row r="190" spans="4:5" ht="15.75" customHeight="1">
      <c r="D190" s="196"/>
      <c r="E190" s="196"/>
    </row>
    <row r="191" spans="4:5" ht="15.75" customHeight="1">
      <c r="D191" s="196"/>
      <c r="E191" s="196"/>
    </row>
    <row r="192" spans="4:5" ht="15.75" customHeight="1">
      <c r="D192" s="196"/>
      <c r="E192" s="196"/>
    </row>
    <row r="193" spans="4:5" ht="15.75" customHeight="1">
      <c r="D193" s="196"/>
      <c r="E193" s="196"/>
    </row>
    <row r="194" spans="4:5" ht="15.75" customHeight="1">
      <c r="D194" s="196"/>
      <c r="E194" s="196"/>
    </row>
    <row r="195" spans="4:5" ht="15.75" customHeight="1">
      <c r="D195" s="196"/>
      <c r="E195" s="196"/>
    </row>
    <row r="196" spans="4:5" ht="15.75" customHeight="1">
      <c r="D196" s="196"/>
      <c r="E196" s="196"/>
    </row>
    <row r="197" spans="4:5" ht="15.75" customHeight="1">
      <c r="D197" s="196"/>
      <c r="E197" s="196"/>
    </row>
    <row r="198" spans="4:5" ht="15.75" customHeight="1">
      <c r="D198" s="196"/>
      <c r="E198" s="196"/>
    </row>
    <row r="199" spans="4:5" ht="15.75" customHeight="1">
      <c r="D199" s="196"/>
      <c r="E199" s="196"/>
    </row>
    <row r="200" spans="4:5" ht="15.75" customHeight="1">
      <c r="D200" s="196"/>
      <c r="E200" s="196"/>
    </row>
    <row r="201" spans="4:5" ht="15.75" customHeight="1">
      <c r="D201" s="196"/>
      <c r="E201" s="196"/>
    </row>
    <row r="202" spans="4:5" ht="15.75" customHeight="1">
      <c r="D202" s="196"/>
      <c r="E202" s="196"/>
    </row>
    <row r="203" spans="4:5" ht="15.75" customHeight="1">
      <c r="D203" s="196"/>
      <c r="E203" s="196"/>
    </row>
    <row r="204" spans="4:5" ht="15.75" customHeight="1">
      <c r="D204" s="196"/>
      <c r="E204" s="196"/>
    </row>
    <row r="205" spans="4:5" ht="15.75" customHeight="1">
      <c r="D205" s="196"/>
      <c r="E205" s="196"/>
    </row>
    <row r="206" spans="4:5" ht="15.75" customHeight="1">
      <c r="D206" s="196"/>
      <c r="E206" s="196"/>
    </row>
    <row r="207" spans="4:5" ht="15.75" customHeight="1">
      <c r="D207" s="196"/>
      <c r="E207" s="196"/>
    </row>
    <row r="208" spans="4:5" ht="15.75" customHeight="1">
      <c r="D208" s="196"/>
      <c r="E208" s="196"/>
    </row>
    <row r="209" spans="4:5" ht="15.75" customHeight="1">
      <c r="D209" s="196"/>
      <c r="E209" s="196"/>
    </row>
    <row r="210" spans="4:5" ht="15.75" customHeight="1">
      <c r="D210" s="196"/>
      <c r="E210" s="196"/>
    </row>
    <row r="211" spans="4:5" ht="15.75" customHeight="1">
      <c r="D211" s="196"/>
      <c r="E211" s="196"/>
    </row>
    <row r="212" spans="4:5" ht="15.75" customHeight="1">
      <c r="D212" s="196"/>
      <c r="E212" s="196"/>
    </row>
    <row r="213" spans="4:5" ht="15.75" customHeight="1">
      <c r="D213" s="196"/>
      <c r="E213" s="196"/>
    </row>
    <row r="214" spans="4:5" ht="15.75" customHeight="1">
      <c r="D214" s="196"/>
      <c r="E214" s="196"/>
    </row>
    <row r="215" spans="4:5" ht="15.75" customHeight="1">
      <c r="D215" s="196"/>
      <c r="E215" s="196"/>
    </row>
    <row r="216" spans="4:5" ht="15.75" customHeight="1">
      <c r="D216" s="196"/>
      <c r="E216" s="196"/>
    </row>
    <row r="217" spans="4:5" ht="15.75" customHeight="1">
      <c r="D217" s="196"/>
      <c r="E217" s="196"/>
    </row>
    <row r="218" spans="4:5" ht="15.75" customHeight="1">
      <c r="D218" s="196"/>
      <c r="E218" s="196"/>
    </row>
    <row r="219" spans="4:5" ht="15.75" customHeight="1">
      <c r="D219" s="196"/>
      <c r="E219" s="196"/>
    </row>
    <row r="220" spans="4:5" ht="15.75" customHeight="1">
      <c r="D220" s="196"/>
      <c r="E220" s="196"/>
    </row>
    <row r="221" spans="4:5" ht="15.75" customHeight="1">
      <c r="D221" s="196"/>
      <c r="E221" s="196"/>
    </row>
    <row r="222" spans="4:5" ht="15.75" customHeight="1">
      <c r="D222" s="196"/>
      <c r="E222" s="196"/>
    </row>
    <row r="223" spans="4:5" ht="15.75" customHeight="1">
      <c r="D223" s="196"/>
      <c r="E223" s="196"/>
    </row>
    <row r="224" spans="4:5" ht="15.75" customHeight="1">
      <c r="D224" s="196"/>
      <c r="E224" s="196"/>
    </row>
    <row r="225" spans="4:5" ht="15.75" customHeight="1">
      <c r="D225" s="196"/>
      <c r="E225" s="196"/>
    </row>
    <row r="226" spans="4:5" ht="15.75" customHeight="1">
      <c r="D226" s="196"/>
      <c r="E226" s="196"/>
    </row>
    <row r="227" spans="4:5" ht="15.75" customHeight="1">
      <c r="D227" s="196"/>
      <c r="E227" s="196"/>
    </row>
    <row r="228" spans="4:5" ht="15.75" customHeight="1">
      <c r="D228" s="196"/>
      <c r="E228" s="196"/>
    </row>
    <row r="229" spans="4:5" ht="15.75" customHeight="1">
      <c r="D229" s="196"/>
      <c r="E229" s="196"/>
    </row>
    <row r="230" spans="4:5" ht="15.75" customHeight="1">
      <c r="D230" s="196"/>
      <c r="E230" s="196"/>
    </row>
    <row r="231" spans="4:5" ht="15.75" customHeight="1">
      <c r="D231" s="196"/>
      <c r="E231" s="196"/>
    </row>
    <row r="232" spans="4:5" ht="15.75" customHeight="1">
      <c r="D232" s="196"/>
      <c r="E232" s="196"/>
    </row>
    <row r="233" spans="4:5" ht="15.75" customHeight="1">
      <c r="D233" s="196"/>
      <c r="E233" s="196"/>
    </row>
    <row r="234" spans="4:5" ht="15.75" customHeight="1">
      <c r="D234" s="196"/>
      <c r="E234" s="196"/>
    </row>
    <row r="235" spans="4:5" ht="15.75" customHeight="1">
      <c r="D235" s="196"/>
      <c r="E235" s="196"/>
    </row>
    <row r="236" spans="4:5" ht="15.75" customHeight="1">
      <c r="D236" s="196"/>
      <c r="E236" s="196"/>
    </row>
    <row r="237" spans="4:5" ht="15.75" customHeight="1">
      <c r="D237" s="196"/>
      <c r="E237" s="196"/>
    </row>
    <row r="238" spans="4:5" ht="15.75" customHeight="1">
      <c r="D238" s="196"/>
      <c r="E238" s="196"/>
    </row>
    <row r="239" spans="4:5" ht="15.75" customHeight="1">
      <c r="D239" s="196"/>
      <c r="E239" s="196"/>
    </row>
    <row r="240" spans="4:5" ht="15.75" customHeight="1">
      <c r="D240" s="196"/>
      <c r="E240" s="196"/>
    </row>
    <row r="241" spans="4:5" ht="15.75" customHeight="1">
      <c r="D241" s="196"/>
      <c r="E241" s="196"/>
    </row>
    <row r="242" spans="4:5" ht="15.75" customHeight="1">
      <c r="D242" s="196"/>
      <c r="E242" s="196"/>
    </row>
    <row r="243" spans="4:5" ht="15.75" customHeight="1">
      <c r="D243" s="196"/>
      <c r="E243" s="196"/>
    </row>
    <row r="244" spans="4:5" ht="15.75" customHeight="1">
      <c r="D244" s="196"/>
      <c r="E244" s="196"/>
    </row>
    <row r="245" spans="4:5" ht="15.75" customHeight="1">
      <c r="D245" s="196"/>
      <c r="E245" s="196"/>
    </row>
    <row r="246" spans="4:5" ht="15.75" customHeight="1">
      <c r="D246" s="196"/>
      <c r="E246" s="196"/>
    </row>
    <row r="247" spans="4:5" ht="15.75" customHeight="1">
      <c r="D247" s="196"/>
      <c r="E247" s="196"/>
    </row>
    <row r="248" spans="4:5" ht="15.75" customHeight="1">
      <c r="D248" s="196"/>
      <c r="E248" s="196"/>
    </row>
    <row r="249" spans="4:5" ht="15.75" customHeight="1">
      <c r="D249" s="196"/>
      <c r="E249" s="196"/>
    </row>
    <row r="250" spans="4:5" ht="15.75" customHeight="1">
      <c r="D250" s="196"/>
      <c r="E250" s="196"/>
    </row>
    <row r="251" spans="4:5" ht="15.75" customHeight="1">
      <c r="D251" s="196"/>
      <c r="E251" s="196"/>
    </row>
    <row r="252" spans="4:5" ht="15.75" customHeight="1">
      <c r="D252" s="196"/>
      <c r="E252" s="196"/>
    </row>
    <row r="253" spans="4:5" ht="15.75" customHeight="1">
      <c r="D253" s="196"/>
      <c r="E253" s="196"/>
    </row>
    <row r="254" spans="4:5" ht="15.75" customHeight="1"/>
    <row r="255" spans="4:5" ht="15.75" customHeight="1"/>
    <row r="256" spans="4:5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pageMargins left="0" right="0" top="0.1388888888888889" bottom="0.1388888888888889" header="0" footer="0"/>
  <pageSetup paperSize="9" scale="96" pageOrder="overThenDown" orientation="portrait" r:id="rId1"/>
  <headerFooter>
    <oddHeader>&amp;C&amp;A</oddHeader>
    <oddFooter>&amp;CPage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59EA-48B0-684E-B0C4-4B7DED212EF5}">
  <dimension ref="B3:C17"/>
  <sheetViews>
    <sheetView zoomScale="170" zoomScaleNormal="170" workbookViewId="0">
      <selection activeCell="D12" sqref="D12"/>
    </sheetView>
  </sheetViews>
  <sheetFormatPr baseColWidth="10" defaultRowHeight="17"/>
  <cols>
    <col min="1" max="1" width="10.7109375" style="384"/>
    <col min="2" max="2" width="41.140625" style="384" customWidth="1"/>
    <col min="3" max="3" width="22.42578125" style="384" customWidth="1"/>
    <col min="4" max="16384" width="10.7109375" style="384"/>
  </cols>
  <sheetData>
    <row r="3" spans="2:3">
      <c r="B3" s="399" t="s">
        <v>15</v>
      </c>
      <c r="C3" s="400">
        <f>-(SUMIF(BANQUE!$F$2:$F$36,"REM",BANQUE!$D$2:$D$36))</f>
        <v>2200</v>
      </c>
    </row>
    <row r="4" spans="2:3">
      <c r="B4" s="399" t="s">
        <v>16</v>
      </c>
      <c r="C4" s="400">
        <v>718</v>
      </c>
    </row>
    <row r="5" spans="2:3">
      <c r="B5" s="399" t="s">
        <v>435</v>
      </c>
      <c r="C5" s="400">
        <v>71.28</v>
      </c>
    </row>
    <row r="6" spans="2:3">
      <c r="B6" s="399" t="s">
        <v>89</v>
      </c>
      <c r="C6" s="400">
        <f>-(SUMIF(BANQUE!$F$2:$F$36,"ASS",BANQUE!$D$2:$D$36))</f>
        <v>0</v>
      </c>
    </row>
    <row r="7" spans="2:3">
      <c r="B7" s="402" t="s">
        <v>19</v>
      </c>
      <c r="C7" s="403">
        <f>-(SUMIF(BANQUE!$F$2:$F$36,"SMABTP",BANQUE!$D$2:$D$36))</f>
        <v>787.38</v>
      </c>
    </row>
    <row r="8" spans="2:3">
      <c r="B8" s="399" t="s">
        <v>22</v>
      </c>
      <c r="C8" s="400">
        <f>-(SUMIF(BANQUE!$F$2:$F$36,"PJ",BANQUE!$D$2:$D$36))</f>
        <v>24.27</v>
      </c>
    </row>
    <row r="9" spans="2:3">
      <c r="B9" s="402" t="s">
        <v>25</v>
      </c>
      <c r="C9" s="403">
        <f>-(SUMIF(BANQUE!$F$2:$F$36,"FBQ",BANQUE!$D$2:$D$36))</f>
        <v>0</v>
      </c>
    </row>
    <row r="10" spans="2:3">
      <c r="B10" s="399" t="s">
        <v>27</v>
      </c>
      <c r="C10" s="400">
        <f>-(SUMIF(BANQUE!$F$2:$F$36,"TEL",BANQUE!$D$2:$D$36))</f>
        <v>32.4</v>
      </c>
    </row>
    <row r="11" spans="2:3">
      <c r="B11" s="402" t="s">
        <v>28</v>
      </c>
      <c r="C11" s="403">
        <f>405/3</f>
        <v>135</v>
      </c>
    </row>
    <row r="12" spans="2:3">
      <c r="B12" s="399" t="s">
        <v>440</v>
      </c>
      <c r="C12" s="401">
        <f>19.17+60+244/12+230/12</f>
        <v>118.67</v>
      </c>
    </row>
    <row r="13" spans="2:3">
      <c r="B13" s="399" t="s">
        <v>436</v>
      </c>
      <c r="C13" s="401">
        <f>650+24</f>
        <v>674</v>
      </c>
    </row>
    <row r="14" spans="2:3">
      <c r="B14" s="399" t="s">
        <v>437</v>
      </c>
      <c r="C14" s="401">
        <v>200</v>
      </c>
    </row>
    <row r="15" spans="2:3">
      <c r="B15" s="397"/>
      <c r="C15" s="398"/>
    </row>
    <row r="17" spans="2:3">
      <c r="B17" s="384" t="s">
        <v>438</v>
      </c>
      <c r="C17" s="396">
        <f>SUM(C3:C14)</f>
        <v>4961</v>
      </c>
    </row>
  </sheetData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B1:Z993"/>
  <sheetViews>
    <sheetView zoomScale="170" zoomScaleNormal="170" workbookViewId="0">
      <selection activeCell="D26" sqref="D26"/>
    </sheetView>
  </sheetViews>
  <sheetFormatPr baseColWidth="10" defaultColWidth="10.140625" defaultRowHeight="15" customHeight="1"/>
  <cols>
    <col min="1" max="1" width="13" style="197" customWidth="1"/>
    <col min="2" max="2" width="11.7109375" style="197" customWidth="1"/>
    <col min="3" max="3" width="29.5703125" style="197" customWidth="1"/>
    <col min="4" max="4" width="14.140625" style="197" customWidth="1"/>
    <col min="5" max="5" width="11.5703125" style="197" customWidth="1"/>
    <col min="6" max="6" width="15.5703125" style="197" customWidth="1"/>
    <col min="7" max="7" width="18.7109375" style="197" customWidth="1"/>
    <col min="8" max="8" width="1.85546875" style="197" customWidth="1"/>
    <col min="9" max="9" width="11.28515625" style="197" customWidth="1"/>
    <col min="10" max="10" width="11" style="197" customWidth="1"/>
    <col min="11" max="11" width="19" style="197" customWidth="1"/>
    <col min="12" max="12" width="12" style="197" customWidth="1"/>
    <col min="13" max="13" width="10.5703125" style="197" customWidth="1"/>
    <col min="14" max="14" width="11.5703125" style="197" customWidth="1"/>
    <col min="15" max="15" width="9.85546875" style="197" customWidth="1"/>
    <col min="16" max="16" width="11.28515625" style="197" customWidth="1"/>
    <col min="17" max="17" width="9.7109375" style="197" customWidth="1"/>
    <col min="18" max="18" width="11" style="197" customWidth="1"/>
    <col min="19" max="19" width="16.7109375" style="197" customWidth="1"/>
    <col min="20" max="26" width="9.7109375" style="197" customWidth="1"/>
    <col min="27" max="16384" width="10.140625" style="197"/>
  </cols>
  <sheetData>
    <row r="1" spans="2:8" ht="15.75" customHeight="1">
      <c r="D1" s="276"/>
      <c r="E1" s="276"/>
      <c r="G1" s="198"/>
      <c r="H1" s="277"/>
    </row>
    <row r="2" spans="2:8" ht="15.75" customHeight="1">
      <c r="B2" s="701" t="s">
        <v>92</v>
      </c>
      <c r="C2" s="702"/>
      <c r="D2" s="702"/>
      <c r="E2" s="703"/>
      <c r="F2" s="278" t="s">
        <v>0</v>
      </c>
      <c r="G2" s="198"/>
      <c r="H2" s="277"/>
    </row>
    <row r="3" spans="2:8" ht="15.75" customHeight="1">
      <c r="B3" s="279"/>
      <c r="D3" s="279"/>
      <c r="E3" s="280" t="s">
        <v>11</v>
      </c>
      <c r="F3" s="281"/>
      <c r="G3" s="198"/>
      <c r="H3" s="277"/>
    </row>
    <row r="4" spans="2:8" ht="15.75" customHeight="1">
      <c r="B4" s="279"/>
      <c r="D4" s="282"/>
      <c r="E4" s="280"/>
      <c r="F4" s="200"/>
      <c r="G4" s="198"/>
      <c r="H4" s="277"/>
    </row>
    <row r="5" spans="2:8" ht="15.75" customHeight="1">
      <c r="B5" s="279"/>
      <c r="D5" s="282"/>
      <c r="E5" s="280"/>
      <c r="F5" s="200"/>
      <c r="H5" s="277"/>
    </row>
    <row r="6" spans="2:8" ht="15.75" customHeight="1">
      <c r="B6" s="279"/>
      <c r="D6" s="282"/>
      <c r="E6" s="280"/>
      <c r="F6" s="200"/>
      <c r="H6" s="277"/>
    </row>
    <row r="7" spans="2:8" ht="15.75" customHeight="1">
      <c r="B7" s="279"/>
      <c r="G7" s="198"/>
      <c r="H7" s="277"/>
    </row>
    <row r="8" spans="2:8" ht="15.75" customHeight="1">
      <c r="B8" s="279"/>
      <c r="G8" s="198"/>
      <c r="H8" s="277"/>
    </row>
    <row r="9" spans="2:8" ht="15.75" customHeight="1">
      <c r="B9" s="283"/>
      <c r="G9" s="198"/>
      <c r="H9" s="277"/>
    </row>
    <row r="10" spans="2:8" ht="15.75" customHeight="1">
      <c r="B10" s="283"/>
      <c r="G10" s="198">
        <v>875</v>
      </c>
      <c r="H10" s="277"/>
    </row>
    <row r="11" spans="2:8" ht="15.75" customHeight="1" thickBot="1">
      <c r="B11" s="200"/>
      <c r="H11" s="277"/>
    </row>
    <row r="12" spans="2:8" ht="15.75" customHeight="1" thickBot="1">
      <c r="B12" s="284">
        <v>0</v>
      </c>
      <c r="C12" s="285" t="s">
        <v>187</v>
      </c>
      <c r="D12" s="286">
        <v>1500</v>
      </c>
      <c r="E12" s="287">
        <v>0.5</v>
      </c>
      <c r="F12" s="227">
        <f>D12*E12*B12</f>
        <v>0</v>
      </c>
      <c r="G12" s="198"/>
      <c r="H12" s="277"/>
    </row>
    <row r="13" spans="2:8" ht="15.75" customHeight="1">
      <c r="B13" s="279"/>
      <c r="D13" s="196"/>
      <c r="E13" s="280"/>
      <c r="F13" s="200"/>
      <c r="G13" s="198"/>
      <c r="H13" s="277"/>
    </row>
    <row r="14" spans="2:8" ht="15.75" customHeight="1">
      <c r="F14" s="200"/>
      <c r="G14" s="198"/>
      <c r="H14" s="277"/>
    </row>
    <row r="15" spans="2:8" ht="15.75" customHeight="1">
      <c r="F15" s="196"/>
      <c r="G15" s="198"/>
      <c r="H15" s="277"/>
    </row>
    <row r="16" spans="2:8" ht="15.75" customHeight="1">
      <c r="C16" s="288" t="s">
        <v>12</v>
      </c>
      <c r="E16" s="289" t="s">
        <v>13</v>
      </c>
      <c r="F16" s="290">
        <f>SUM(F7:F15)</f>
        <v>0</v>
      </c>
      <c r="G16" s="198"/>
      <c r="H16" s="277"/>
    </row>
    <row r="17" spans="2:26" ht="15.75" customHeight="1">
      <c r="F17" s="281"/>
      <c r="G17" s="198"/>
      <c r="H17" s="277"/>
    </row>
    <row r="18" spans="2:26" ht="15.75" customHeight="1">
      <c r="B18" s="279"/>
      <c r="D18" s="276"/>
      <c r="G18" s="198"/>
      <c r="H18" s="277"/>
    </row>
    <row r="19" spans="2:26" ht="15.75" customHeight="1">
      <c r="B19" s="701" t="s">
        <v>93</v>
      </c>
      <c r="C19" s="702"/>
      <c r="D19" s="702"/>
      <c r="E19" s="703"/>
      <c r="F19" s="278" t="s">
        <v>0</v>
      </c>
      <c r="G19" s="198"/>
      <c r="H19" s="277"/>
    </row>
    <row r="20" spans="2:26" ht="15.75" customHeight="1">
      <c r="B20" s="279"/>
      <c r="D20" s="279"/>
      <c r="E20" s="280" t="s">
        <v>11</v>
      </c>
      <c r="F20" s="281"/>
      <c r="G20" s="198"/>
      <c r="H20" s="277"/>
    </row>
    <row r="21" spans="2:26" ht="15.75" customHeight="1">
      <c r="B21" s="279"/>
      <c r="C21" s="197" t="s">
        <v>90</v>
      </c>
      <c r="D21" s="196">
        <v>6000</v>
      </c>
      <c r="E21" s="280">
        <v>0.1</v>
      </c>
      <c r="F21" s="200">
        <f>D21*E21</f>
        <v>600</v>
      </c>
      <c r="G21" s="198"/>
      <c r="H21" s="291"/>
      <c r="I21" s="292"/>
      <c r="J21" s="292"/>
      <c r="R21" s="292"/>
      <c r="S21" s="292"/>
      <c r="U21" s="292"/>
      <c r="V21" s="292"/>
      <c r="W21" s="292"/>
      <c r="X21" s="292"/>
      <c r="Y21" s="292"/>
      <c r="Z21" s="292"/>
    </row>
    <row r="22" spans="2:26" ht="15.75" customHeight="1">
      <c r="B22" s="279"/>
      <c r="C22" s="197" t="s">
        <v>91</v>
      </c>
      <c r="D22" s="196">
        <v>5500</v>
      </c>
      <c r="E22" s="280">
        <v>0.1</v>
      </c>
      <c r="F22" s="200">
        <f t="shared" ref="F22" si="0">D22*E22</f>
        <v>550</v>
      </c>
      <c r="G22" s="198"/>
      <c r="H22" s="291"/>
      <c r="I22" s="292"/>
      <c r="J22" s="292"/>
      <c r="T22" s="292"/>
      <c r="U22" s="292"/>
      <c r="V22" s="292"/>
      <c r="W22" s="292"/>
      <c r="X22" s="292"/>
      <c r="Y22" s="292"/>
      <c r="Z22" s="292"/>
    </row>
    <row r="23" spans="2:26" ht="15.75" customHeight="1">
      <c r="B23" s="279"/>
      <c r="D23" s="196"/>
      <c r="E23" s="280"/>
      <c r="F23" s="200"/>
      <c r="G23" s="198"/>
      <c r="H23" s="291"/>
      <c r="I23" s="292"/>
      <c r="J23" s="292"/>
      <c r="T23" s="292"/>
      <c r="U23" s="292"/>
      <c r="V23" s="292"/>
      <c r="W23" s="292"/>
      <c r="X23" s="292"/>
      <c r="Y23" s="292"/>
      <c r="Z23" s="292"/>
    </row>
    <row r="24" spans="2:26" ht="15.75" customHeight="1">
      <c r="B24" s="279"/>
      <c r="D24" s="276"/>
      <c r="F24" s="200"/>
      <c r="G24" s="198"/>
      <c r="H24" s="277"/>
      <c r="K24" s="292"/>
      <c r="L24" s="292"/>
      <c r="M24" s="292"/>
      <c r="N24" s="292"/>
      <c r="O24" s="292"/>
      <c r="P24" s="292"/>
      <c r="Q24" s="292"/>
      <c r="T24" s="292"/>
    </row>
    <row r="25" spans="2:26" ht="15.75" customHeight="1">
      <c r="B25" s="279"/>
      <c r="D25" s="276"/>
      <c r="F25" s="200"/>
      <c r="G25" s="198"/>
      <c r="H25" s="277"/>
      <c r="K25" s="292"/>
      <c r="L25" s="292"/>
      <c r="M25" s="292"/>
      <c r="N25" s="292"/>
      <c r="O25" s="292"/>
      <c r="P25" s="292"/>
      <c r="Q25" s="292"/>
      <c r="R25" s="292"/>
      <c r="S25" s="292"/>
    </row>
    <row r="26" spans="2:26" ht="15.75" customHeight="1">
      <c r="B26" s="279"/>
      <c r="D26" s="276"/>
      <c r="F26" s="200"/>
      <c r="G26" s="198"/>
      <c r="H26" s="277"/>
      <c r="K26" s="292"/>
      <c r="L26" s="292"/>
      <c r="M26" s="292"/>
      <c r="N26" s="292"/>
      <c r="O26" s="292"/>
      <c r="P26" s="292"/>
      <c r="Q26" s="292"/>
      <c r="R26" s="292"/>
      <c r="S26" s="292"/>
    </row>
    <row r="27" spans="2:26" ht="15.75" customHeight="1">
      <c r="B27" s="279"/>
      <c r="D27" s="276"/>
      <c r="F27" s="200"/>
      <c r="G27" s="198"/>
      <c r="H27" s="277"/>
      <c r="R27" s="292"/>
      <c r="S27" s="292"/>
    </row>
    <row r="28" spans="2:26" ht="15.75" customHeight="1">
      <c r="B28" s="279"/>
      <c r="D28" s="276"/>
      <c r="G28" s="198"/>
      <c r="H28" s="277"/>
    </row>
    <row r="29" spans="2:26" ht="15.75" customHeight="1">
      <c r="B29" s="279"/>
      <c r="D29" s="276"/>
      <c r="G29" s="198"/>
      <c r="H29" s="277"/>
    </row>
    <row r="30" spans="2:26" ht="15.75" customHeight="1">
      <c r="B30" s="279"/>
      <c r="C30" s="288" t="s">
        <v>12</v>
      </c>
      <c r="E30" s="289" t="s">
        <v>13</v>
      </c>
      <c r="F30" s="290">
        <f>SUM(F21:F27)</f>
        <v>1150</v>
      </c>
      <c r="G30" s="198"/>
      <c r="H30" s="277"/>
    </row>
    <row r="31" spans="2:26" ht="15.75" customHeight="1">
      <c r="B31" s="279"/>
      <c r="D31" s="276"/>
      <c r="G31" s="198"/>
      <c r="H31" s="277"/>
    </row>
    <row r="32" spans="2:26" ht="15.75" customHeight="1">
      <c r="B32" s="279"/>
      <c r="D32" s="276"/>
      <c r="G32" s="198"/>
      <c r="H32" s="277"/>
    </row>
    <row r="33" spans="2:8" ht="15.75" customHeight="1">
      <c r="B33" s="279"/>
      <c r="D33" s="276"/>
      <c r="G33" s="198"/>
      <c r="H33" s="277"/>
    </row>
    <row r="34" spans="2:8" ht="15.75" customHeight="1">
      <c r="B34" s="279"/>
      <c r="D34" s="276"/>
      <c r="G34" s="198"/>
      <c r="H34" s="277"/>
    </row>
    <row r="35" spans="2:8" ht="15.75" customHeight="1">
      <c r="B35" s="279"/>
      <c r="D35" s="276"/>
      <c r="G35" s="198"/>
      <c r="H35" s="277"/>
    </row>
    <row r="36" spans="2:8" ht="15.75" customHeight="1">
      <c r="B36" s="279"/>
      <c r="D36" s="276"/>
      <c r="G36" s="198"/>
      <c r="H36" s="277"/>
    </row>
    <row r="37" spans="2:8" ht="15.75" customHeight="1">
      <c r="B37" s="279"/>
      <c r="D37" s="276"/>
      <c r="G37" s="198"/>
      <c r="H37" s="277"/>
    </row>
    <row r="38" spans="2:8" ht="15.75" customHeight="1">
      <c r="B38" s="279"/>
      <c r="D38" s="276"/>
      <c r="G38" s="198"/>
      <c r="H38" s="277"/>
    </row>
    <row r="39" spans="2:8" ht="15.75" customHeight="1">
      <c r="B39" s="279"/>
      <c r="D39" s="276"/>
      <c r="G39" s="198"/>
      <c r="H39" s="277"/>
    </row>
    <row r="40" spans="2:8" ht="15.75" customHeight="1">
      <c r="B40" s="279"/>
      <c r="D40" s="276"/>
      <c r="G40" s="198"/>
      <c r="H40" s="277"/>
    </row>
    <row r="41" spans="2:8" ht="15.75" customHeight="1">
      <c r="B41" s="279"/>
      <c r="D41" s="276"/>
      <c r="G41" s="198"/>
      <c r="H41" s="277"/>
    </row>
    <row r="42" spans="2:8" ht="15.75" customHeight="1">
      <c r="B42" s="279"/>
      <c r="D42" s="276"/>
      <c r="G42" s="198"/>
      <c r="H42" s="277"/>
    </row>
    <row r="43" spans="2:8" ht="15.75" customHeight="1">
      <c r="B43" s="279"/>
      <c r="D43" s="276"/>
      <c r="G43" s="198"/>
      <c r="H43" s="277"/>
    </row>
    <row r="44" spans="2:8" ht="15.75" customHeight="1">
      <c r="B44" s="279"/>
      <c r="D44" s="276"/>
      <c r="G44" s="198"/>
      <c r="H44" s="277"/>
    </row>
    <row r="45" spans="2:8" ht="15.75" customHeight="1">
      <c r="B45" s="279"/>
      <c r="D45" s="276"/>
      <c r="G45" s="198"/>
      <c r="H45" s="277"/>
    </row>
    <row r="46" spans="2:8" ht="15.75" customHeight="1">
      <c r="B46" s="279"/>
      <c r="D46" s="276"/>
      <c r="G46" s="198"/>
      <c r="H46" s="277"/>
    </row>
    <row r="47" spans="2:8" ht="15.75" customHeight="1">
      <c r="B47" s="279"/>
      <c r="D47" s="276"/>
      <c r="G47" s="198"/>
      <c r="H47" s="277"/>
    </row>
    <row r="48" spans="2:8" ht="15.75" customHeight="1">
      <c r="B48" s="279"/>
      <c r="D48" s="276"/>
      <c r="G48" s="198"/>
      <c r="H48" s="277"/>
    </row>
    <row r="49" spans="2:26" ht="15.75" customHeight="1">
      <c r="B49" s="279"/>
      <c r="D49" s="276"/>
      <c r="G49" s="198"/>
      <c r="H49" s="277"/>
    </row>
    <row r="50" spans="2:26" ht="15.75" customHeight="1">
      <c r="B50" s="279"/>
      <c r="D50" s="276"/>
      <c r="G50" s="198"/>
      <c r="H50" s="277"/>
    </row>
    <row r="51" spans="2:26" ht="15.75" customHeight="1">
      <c r="B51" s="279"/>
      <c r="D51" s="276"/>
      <c r="G51" s="198"/>
      <c r="H51" s="277"/>
    </row>
    <row r="52" spans="2:26" ht="15.75" customHeight="1">
      <c r="B52" s="279"/>
      <c r="D52" s="276"/>
      <c r="G52" s="198"/>
      <c r="H52" s="277"/>
    </row>
    <row r="53" spans="2:26" ht="15.75" customHeight="1">
      <c r="B53" s="279"/>
      <c r="D53" s="276"/>
      <c r="G53" s="198"/>
      <c r="H53" s="277"/>
    </row>
    <row r="54" spans="2:26" ht="15.75" customHeight="1">
      <c r="B54" s="279"/>
      <c r="D54" s="276"/>
      <c r="G54" s="198"/>
      <c r="H54" s="291"/>
      <c r="I54" s="292"/>
      <c r="J54" s="292"/>
      <c r="U54" s="292"/>
      <c r="V54" s="292"/>
      <c r="W54" s="292"/>
      <c r="X54" s="292"/>
      <c r="Y54" s="292"/>
      <c r="Z54" s="292"/>
    </row>
    <row r="55" spans="2:26" ht="15.75" customHeight="1">
      <c r="B55" s="279"/>
      <c r="D55" s="276"/>
      <c r="G55" s="198"/>
      <c r="H55" s="291"/>
      <c r="I55" s="292"/>
      <c r="J55" s="292"/>
      <c r="T55" s="292"/>
      <c r="U55" s="292"/>
      <c r="V55" s="292"/>
      <c r="W55" s="292"/>
      <c r="X55" s="292"/>
      <c r="Y55" s="292"/>
      <c r="Z55" s="292"/>
    </row>
    <row r="56" spans="2:26" ht="15.75" customHeight="1">
      <c r="B56" s="279"/>
      <c r="D56" s="276"/>
      <c r="G56" s="198"/>
      <c r="H56" s="277"/>
      <c r="T56" s="292"/>
    </row>
    <row r="57" spans="2:26" ht="15.75" customHeight="1">
      <c r="B57" s="279"/>
      <c r="D57" s="276"/>
      <c r="G57" s="198"/>
      <c r="H57" s="277"/>
      <c r="K57" s="292"/>
      <c r="L57" s="292"/>
      <c r="M57" s="292"/>
      <c r="N57" s="292"/>
      <c r="O57" s="292"/>
      <c r="P57" s="292"/>
      <c r="Q57" s="292"/>
    </row>
    <row r="58" spans="2:26" ht="15.75" customHeight="1">
      <c r="B58" s="279"/>
      <c r="D58" s="276"/>
      <c r="G58" s="198"/>
      <c r="H58" s="277"/>
      <c r="K58" s="292"/>
      <c r="L58" s="292"/>
      <c r="M58" s="292"/>
      <c r="N58" s="292"/>
      <c r="O58" s="292"/>
      <c r="P58" s="292"/>
      <c r="Q58" s="292"/>
      <c r="R58" s="292"/>
      <c r="S58" s="292"/>
    </row>
    <row r="59" spans="2:26" ht="15.75" customHeight="1">
      <c r="B59" s="279"/>
      <c r="D59" s="276"/>
      <c r="G59" s="198"/>
      <c r="H59" s="277"/>
      <c r="R59" s="292"/>
      <c r="S59" s="292"/>
    </row>
    <row r="60" spans="2:26" ht="15.75" customHeight="1">
      <c r="B60" s="279"/>
      <c r="D60" s="276"/>
      <c r="G60" s="198"/>
      <c r="H60" s="277"/>
    </row>
    <row r="61" spans="2:26" ht="15.75" customHeight="1">
      <c r="B61" s="279"/>
      <c r="D61" s="276"/>
      <c r="G61" s="198"/>
      <c r="H61" s="277"/>
    </row>
    <row r="62" spans="2:26" ht="15.75" customHeight="1">
      <c r="B62" s="279"/>
      <c r="D62" s="276"/>
      <c r="G62" s="198"/>
      <c r="H62" s="277"/>
    </row>
    <row r="63" spans="2:26" ht="15.75" customHeight="1">
      <c r="B63" s="279"/>
      <c r="D63" s="276"/>
      <c r="G63" s="198"/>
      <c r="H63" s="277"/>
    </row>
    <row r="64" spans="2:26" ht="15.75" customHeight="1">
      <c r="B64" s="279"/>
      <c r="D64" s="276"/>
      <c r="G64" s="198"/>
      <c r="H64" s="277"/>
    </row>
    <row r="65" spans="2:26" ht="15.75" customHeight="1">
      <c r="B65" s="279"/>
      <c r="D65" s="276"/>
      <c r="G65" s="198"/>
      <c r="H65" s="277"/>
    </row>
    <row r="66" spans="2:26" ht="15.75" customHeight="1">
      <c r="B66" s="279"/>
      <c r="D66" s="276"/>
      <c r="G66" s="198"/>
      <c r="H66" s="277"/>
    </row>
    <row r="67" spans="2:26" ht="15.75" customHeight="1">
      <c r="B67" s="279"/>
      <c r="D67" s="276"/>
      <c r="G67" s="198"/>
      <c r="H67" s="277"/>
    </row>
    <row r="68" spans="2:26" ht="15.75" customHeight="1">
      <c r="B68" s="279"/>
      <c r="D68" s="276"/>
      <c r="G68" s="198"/>
      <c r="H68" s="277"/>
    </row>
    <row r="69" spans="2:26" ht="15.75" customHeight="1">
      <c r="B69" s="279"/>
      <c r="D69" s="276"/>
      <c r="G69" s="198"/>
      <c r="H69" s="277"/>
    </row>
    <row r="70" spans="2:26" ht="25.5" customHeight="1">
      <c r="B70" s="279"/>
      <c r="D70" s="276"/>
      <c r="G70" s="198"/>
      <c r="H70" s="277"/>
    </row>
    <row r="71" spans="2:26" ht="15.75" customHeight="1">
      <c r="B71" s="279"/>
      <c r="D71" s="276"/>
      <c r="G71" s="198"/>
      <c r="H71" s="277"/>
    </row>
    <row r="72" spans="2:26" ht="15.75" customHeight="1">
      <c r="B72" s="279"/>
      <c r="D72" s="276"/>
      <c r="G72" s="198"/>
      <c r="H72" s="277"/>
    </row>
    <row r="73" spans="2:26" ht="15.75" customHeight="1">
      <c r="B73" s="279"/>
      <c r="D73" s="276"/>
      <c r="G73" s="198"/>
      <c r="H73" s="277"/>
    </row>
    <row r="74" spans="2:26" ht="15.75" customHeight="1">
      <c r="B74" s="279"/>
      <c r="D74" s="276"/>
      <c r="G74" s="198"/>
      <c r="H74" s="277"/>
    </row>
    <row r="75" spans="2:26" ht="15.75" customHeight="1">
      <c r="B75" s="279"/>
      <c r="D75" s="276"/>
      <c r="G75" s="198"/>
      <c r="H75" s="277"/>
    </row>
    <row r="76" spans="2:26" ht="15.75" customHeight="1">
      <c r="B76" s="279"/>
      <c r="D76" s="276"/>
      <c r="G76" s="293"/>
      <c r="H76" s="294"/>
      <c r="I76" s="295"/>
      <c r="J76" s="295"/>
      <c r="U76" s="295"/>
      <c r="V76" s="295"/>
      <c r="W76" s="295"/>
      <c r="X76" s="295"/>
      <c r="Y76" s="295"/>
      <c r="Z76" s="295"/>
    </row>
    <row r="77" spans="2:26" ht="15.75" customHeight="1">
      <c r="B77" s="279"/>
      <c r="D77" s="276"/>
      <c r="G77" s="198"/>
      <c r="H77" s="277"/>
      <c r="T77" s="295"/>
    </row>
    <row r="78" spans="2:26" ht="15.75" customHeight="1">
      <c r="B78" s="279"/>
      <c r="D78" s="276"/>
      <c r="G78" s="293"/>
      <c r="H78" s="294"/>
      <c r="I78" s="295"/>
      <c r="J78" s="295"/>
      <c r="U78" s="295"/>
      <c r="V78" s="295"/>
      <c r="W78" s="295"/>
      <c r="X78" s="295"/>
      <c r="Y78" s="295"/>
      <c r="Z78" s="295"/>
    </row>
    <row r="79" spans="2:26" ht="15.75" customHeight="1">
      <c r="B79" s="279"/>
      <c r="D79" s="276"/>
      <c r="G79" s="198"/>
      <c r="H79" s="277"/>
      <c r="K79" s="295"/>
      <c r="L79" s="295"/>
      <c r="M79" s="295"/>
      <c r="N79" s="295"/>
      <c r="O79" s="295"/>
      <c r="P79" s="295"/>
      <c r="Q79" s="295"/>
      <c r="T79" s="295"/>
    </row>
    <row r="80" spans="2:26" ht="15.75" customHeight="1">
      <c r="B80" s="279"/>
      <c r="D80" s="276"/>
      <c r="G80" s="296"/>
      <c r="H80" s="297"/>
      <c r="I80" s="298"/>
      <c r="J80" s="298"/>
      <c r="R80" s="295"/>
      <c r="S80" s="295"/>
      <c r="U80" s="298"/>
      <c r="V80" s="298"/>
      <c r="W80" s="298"/>
      <c r="X80" s="298"/>
      <c r="Y80" s="298"/>
      <c r="Z80" s="298"/>
    </row>
    <row r="81" spans="2:26" ht="15.75" customHeight="1">
      <c r="B81" s="279"/>
      <c r="D81" s="276"/>
      <c r="G81" s="296"/>
      <c r="H81" s="297"/>
      <c r="I81" s="298"/>
      <c r="J81" s="298"/>
      <c r="K81" s="295"/>
      <c r="L81" s="295"/>
      <c r="M81" s="295"/>
      <c r="N81" s="295"/>
      <c r="O81" s="295"/>
      <c r="P81" s="295"/>
      <c r="Q81" s="295"/>
      <c r="T81" s="298"/>
      <c r="U81" s="298"/>
      <c r="V81" s="298"/>
      <c r="W81" s="298"/>
      <c r="X81" s="298"/>
      <c r="Y81" s="298"/>
      <c r="Z81" s="298"/>
    </row>
    <row r="82" spans="2:26" ht="15.75" customHeight="1">
      <c r="B82" s="279"/>
      <c r="D82" s="276"/>
      <c r="G82" s="293"/>
      <c r="H82" s="294"/>
      <c r="I82" s="295"/>
      <c r="J82" s="295"/>
      <c r="R82" s="295"/>
      <c r="S82" s="295"/>
      <c r="T82" s="298"/>
      <c r="U82" s="295"/>
      <c r="V82" s="295"/>
      <c r="W82" s="295"/>
      <c r="X82" s="295"/>
      <c r="Y82" s="295"/>
      <c r="Z82" s="295"/>
    </row>
    <row r="83" spans="2:26" ht="15.75" customHeight="1">
      <c r="B83" s="279"/>
      <c r="D83" s="276"/>
      <c r="G83" s="198"/>
      <c r="H83" s="277"/>
      <c r="K83" s="298"/>
      <c r="L83" s="298"/>
      <c r="M83" s="298"/>
      <c r="N83" s="298"/>
      <c r="O83" s="298"/>
      <c r="P83" s="298"/>
      <c r="Q83" s="298"/>
      <c r="T83" s="295"/>
    </row>
    <row r="84" spans="2:26" ht="15.75" customHeight="1">
      <c r="B84" s="279"/>
      <c r="D84" s="276"/>
      <c r="G84" s="198"/>
      <c r="H84" s="277"/>
      <c r="K84" s="298"/>
      <c r="L84" s="298"/>
      <c r="M84" s="298"/>
      <c r="N84" s="298"/>
      <c r="O84" s="298"/>
      <c r="P84" s="298"/>
      <c r="Q84" s="298"/>
      <c r="R84" s="298"/>
      <c r="S84" s="298"/>
    </row>
    <row r="85" spans="2:26" ht="15.75" customHeight="1">
      <c r="B85" s="279"/>
      <c r="D85" s="276"/>
      <c r="G85" s="198"/>
      <c r="H85" s="277"/>
      <c r="K85" s="295"/>
      <c r="L85" s="295"/>
      <c r="M85" s="295"/>
      <c r="N85" s="295"/>
      <c r="O85" s="295"/>
      <c r="P85" s="295"/>
      <c r="Q85" s="295"/>
      <c r="R85" s="298"/>
      <c r="S85" s="298"/>
    </row>
    <row r="86" spans="2:26" ht="15.75" customHeight="1">
      <c r="B86" s="279"/>
      <c r="D86" s="276"/>
      <c r="G86" s="198"/>
      <c r="H86" s="277"/>
      <c r="R86" s="295"/>
      <c r="S86" s="295"/>
    </row>
    <row r="87" spans="2:26" ht="15.75" customHeight="1">
      <c r="B87" s="279"/>
      <c r="D87" s="276"/>
      <c r="G87" s="198"/>
      <c r="H87" s="277"/>
    </row>
    <row r="88" spans="2:26" ht="15.75" customHeight="1">
      <c r="B88" s="279"/>
      <c r="D88" s="276"/>
      <c r="G88" s="198"/>
      <c r="H88" s="277"/>
    </row>
    <row r="89" spans="2:26" ht="15.75" customHeight="1">
      <c r="B89" s="279"/>
      <c r="D89" s="276"/>
      <c r="G89" s="198"/>
      <c r="H89" s="277"/>
    </row>
    <row r="90" spans="2:26" ht="15.75" customHeight="1">
      <c r="B90" s="279"/>
      <c r="D90" s="276"/>
      <c r="G90" s="198"/>
      <c r="H90" s="277"/>
    </row>
    <row r="91" spans="2:26" ht="15.75" customHeight="1">
      <c r="B91" s="279"/>
      <c r="D91" s="276"/>
      <c r="G91" s="198"/>
      <c r="H91" s="277"/>
    </row>
    <row r="92" spans="2:26" ht="15.75" customHeight="1">
      <c r="B92" s="279"/>
      <c r="D92" s="276"/>
      <c r="G92" s="296"/>
      <c r="H92" s="297"/>
      <c r="I92" s="298"/>
      <c r="J92" s="298"/>
      <c r="U92" s="298"/>
      <c r="V92" s="298"/>
      <c r="W92" s="298"/>
      <c r="X92" s="298"/>
      <c r="Y92" s="298"/>
      <c r="Z92" s="298"/>
    </row>
    <row r="93" spans="2:26" ht="15.75" customHeight="1">
      <c r="B93" s="279"/>
      <c r="D93" s="276"/>
      <c r="G93" s="296"/>
      <c r="H93" s="297"/>
      <c r="I93" s="298"/>
      <c r="J93" s="298"/>
      <c r="T93" s="298"/>
      <c r="U93" s="298"/>
      <c r="V93" s="298"/>
      <c r="W93" s="298"/>
      <c r="X93" s="298"/>
      <c r="Y93" s="298"/>
      <c r="Z93" s="298"/>
    </row>
    <row r="94" spans="2:26" ht="15.75" customHeight="1">
      <c r="B94" s="279"/>
      <c r="D94" s="276"/>
      <c r="G94" s="198"/>
      <c r="H94" s="277"/>
      <c r="T94" s="298"/>
    </row>
    <row r="95" spans="2:26" ht="15.75" customHeight="1">
      <c r="B95" s="279"/>
      <c r="D95" s="276"/>
      <c r="G95" s="198"/>
      <c r="H95" s="277"/>
      <c r="K95" s="298"/>
      <c r="L95" s="298"/>
      <c r="M95" s="298"/>
      <c r="N95" s="298"/>
      <c r="O95" s="298"/>
      <c r="P95" s="298"/>
      <c r="Q95" s="298"/>
    </row>
    <row r="96" spans="2:26" ht="15.75" customHeight="1">
      <c r="B96" s="279"/>
      <c r="D96" s="276"/>
      <c r="G96" s="198"/>
      <c r="H96" s="277"/>
      <c r="K96" s="298"/>
      <c r="L96" s="298"/>
      <c r="M96" s="298"/>
      <c r="N96" s="298"/>
      <c r="O96" s="298"/>
      <c r="P96" s="298"/>
      <c r="Q96" s="298"/>
      <c r="R96" s="298"/>
      <c r="S96" s="298"/>
    </row>
    <row r="97" spans="2:26" ht="15.75" customHeight="1">
      <c r="B97" s="279"/>
      <c r="D97" s="276"/>
      <c r="G97" s="198"/>
      <c r="H97" s="277"/>
      <c r="R97" s="298"/>
      <c r="S97" s="298"/>
    </row>
    <row r="98" spans="2:26" ht="15.75" customHeight="1">
      <c r="B98" s="279"/>
      <c r="D98" s="276"/>
      <c r="G98" s="198"/>
      <c r="H98" s="277"/>
    </row>
    <row r="99" spans="2:26" ht="15.75" customHeight="1">
      <c r="B99" s="279"/>
      <c r="D99" s="276"/>
      <c r="G99" s="198"/>
      <c r="H99" s="277"/>
    </row>
    <row r="100" spans="2:26" ht="15.75" customHeight="1">
      <c r="B100" s="279"/>
      <c r="D100" s="276"/>
      <c r="G100" s="198"/>
      <c r="H100" s="291"/>
      <c r="I100" s="292"/>
      <c r="J100" s="292"/>
      <c r="U100" s="292"/>
      <c r="V100" s="292"/>
      <c r="W100" s="292"/>
      <c r="X100" s="292"/>
      <c r="Y100" s="292"/>
      <c r="Z100" s="292"/>
    </row>
    <row r="101" spans="2:26" ht="15.75" customHeight="1">
      <c r="B101" s="279"/>
      <c r="D101" s="276"/>
      <c r="G101" s="198"/>
      <c r="H101" s="291"/>
      <c r="I101" s="292"/>
      <c r="J101" s="292"/>
      <c r="T101" s="292"/>
      <c r="U101" s="292"/>
      <c r="V101" s="292"/>
      <c r="W101" s="292"/>
      <c r="X101" s="292"/>
      <c r="Y101" s="292"/>
      <c r="Z101" s="292"/>
    </row>
    <row r="102" spans="2:26" ht="15.75" customHeight="1">
      <c r="B102" s="279"/>
      <c r="D102" s="276"/>
      <c r="G102" s="198"/>
      <c r="H102" s="291"/>
      <c r="I102" s="292"/>
      <c r="J102" s="292"/>
      <c r="T102" s="292"/>
      <c r="U102" s="292"/>
      <c r="V102" s="292"/>
      <c r="W102" s="292"/>
      <c r="X102" s="292"/>
      <c r="Y102" s="292"/>
      <c r="Z102" s="292"/>
    </row>
    <row r="103" spans="2:26" ht="15.75" customHeight="1">
      <c r="B103" s="279"/>
      <c r="D103" s="276"/>
      <c r="G103" s="198"/>
      <c r="H103" s="277"/>
      <c r="K103" s="292"/>
      <c r="L103" s="292"/>
      <c r="M103" s="292"/>
      <c r="N103" s="292"/>
      <c r="O103" s="292"/>
      <c r="P103" s="292"/>
      <c r="Q103" s="292"/>
      <c r="T103" s="292"/>
    </row>
    <row r="104" spans="2:26" ht="15.75" customHeight="1">
      <c r="B104" s="279"/>
      <c r="D104" s="276"/>
      <c r="G104" s="198"/>
      <c r="H104" s="277"/>
      <c r="K104" s="292"/>
      <c r="L104" s="292"/>
      <c r="M104" s="292"/>
      <c r="N104" s="292"/>
      <c r="O104" s="292"/>
      <c r="P104" s="292"/>
      <c r="Q104" s="292"/>
      <c r="R104" s="292"/>
      <c r="S104" s="292"/>
    </row>
    <row r="105" spans="2:26" ht="15.75" customHeight="1">
      <c r="B105" s="279"/>
      <c r="D105" s="276"/>
      <c r="G105" s="198"/>
      <c r="H105" s="277"/>
      <c r="K105" s="292"/>
      <c r="L105" s="292"/>
      <c r="M105" s="292"/>
      <c r="N105" s="292"/>
      <c r="O105" s="292"/>
      <c r="P105" s="292"/>
      <c r="Q105" s="292"/>
      <c r="R105" s="292"/>
      <c r="S105" s="292"/>
    </row>
    <row r="106" spans="2:26" ht="15.75" customHeight="1">
      <c r="B106" s="279"/>
      <c r="D106" s="276"/>
      <c r="G106" s="198"/>
      <c r="H106" s="277"/>
      <c r="R106" s="292"/>
      <c r="S106" s="292"/>
    </row>
    <row r="107" spans="2:26" ht="15.75" customHeight="1">
      <c r="B107" s="279"/>
      <c r="D107" s="276"/>
      <c r="G107" s="198"/>
      <c r="H107" s="277"/>
    </row>
    <row r="108" spans="2:26" ht="15.75" customHeight="1">
      <c r="B108" s="279"/>
      <c r="D108" s="276"/>
      <c r="G108" s="198"/>
      <c r="H108" s="277"/>
    </row>
    <row r="109" spans="2:26" ht="15.75" customHeight="1">
      <c r="B109" s="279"/>
      <c r="D109" s="276"/>
      <c r="G109" s="198"/>
      <c r="H109" s="277"/>
    </row>
    <row r="110" spans="2:26" ht="15.75" customHeight="1">
      <c r="B110" s="279"/>
      <c r="D110" s="276"/>
      <c r="G110" s="198"/>
      <c r="H110" s="277"/>
    </row>
    <row r="111" spans="2:26" ht="15.75" customHeight="1">
      <c r="B111" s="279"/>
      <c r="D111" s="276"/>
      <c r="G111" s="198"/>
      <c r="H111" s="277"/>
    </row>
    <row r="112" spans="2:26" ht="15.75" customHeight="1">
      <c r="B112" s="279"/>
      <c r="D112" s="276"/>
      <c r="G112" s="198"/>
      <c r="H112" s="277"/>
    </row>
    <row r="113" spans="2:8" ht="15.75" customHeight="1">
      <c r="B113" s="279"/>
      <c r="D113" s="276"/>
      <c r="G113" s="198"/>
      <c r="H113" s="277"/>
    </row>
    <row r="114" spans="2:8" ht="15.75" customHeight="1">
      <c r="B114" s="279"/>
      <c r="D114" s="276"/>
      <c r="G114" s="198"/>
      <c r="H114" s="277"/>
    </row>
    <row r="115" spans="2:8" ht="15.75" customHeight="1">
      <c r="B115" s="279"/>
      <c r="D115" s="276"/>
      <c r="G115" s="198"/>
      <c r="H115" s="277"/>
    </row>
    <row r="116" spans="2:8" ht="15.75" customHeight="1">
      <c r="B116" s="279"/>
      <c r="D116" s="276"/>
      <c r="G116" s="198"/>
      <c r="H116" s="277"/>
    </row>
    <row r="117" spans="2:8" ht="15.75" customHeight="1">
      <c r="B117" s="279"/>
      <c r="D117" s="276"/>
      <c r="G117" s="198"/>
      <c r="H117" s="277"/>
    </row>
    <row r="118" spans="2:8" ht="15.75" customHeight="1">
      <c r="B118" s="279"/>
      <c r="D118" s="276"/>
      <c r="G118" s="198"/>
      <c r="H118" s="277"/>
    </row>
    <row r="119" spans="2:8" ht="15.75" customHeight="1">
      <c r="B119" s="279"/>
      <c r="D119" s="276"/>
      <c r="G119" s="198"/>
      <c r="H119" s="277"/>
    </row>
    <row r="120" spans="2:8" ht="15.75" customHeight="1">
      <c r="B120" s="279"/>
      <c r="D120" s="276"/>
      <c r="G120" s="198"/>
      <c r="H120" s="277"/>
    </row>
    <row r="121" spans="2:8" ht="15.75" customHeight="1">
      <c r="B121" s="279"/>
      <c r="D121" s="276"/>
      <c r="G121" s="198"/>
      <c r="H121" s="277"/>
    </row>
    <row r="122" spans="2:8" ht="15.75" customHeight="1">
      <c r="B122" s="279"/>
      <c r="D122" s="276"/>
      <c r="G122" s="198"/>
      <c r="H122" s="277"/>
    </row>
    <row r="123" spans="2:8" ht="15.75" customHeight="1">
      <c r="B123" s="279"/>
      <c r="D123" s="276"/>
      <c r="G123" s="198"/>
      <c r="H123" s="277"/>
    </row>
    <row r="124" spans="2:8" ht="15.75" customHeight="1">
      <c r="B124" s="279"/>
      <c r="D124" s="276"/>
      <c r="G124" s="198"/>
      <c r="H124" s="277"/>
    </row>
    <row r="125" spans="2:8" ht="15.75" customHeight="1">
      <c r="B125" s="279"/>
      <c r="D125" s="276"/>
      <c r="G125" s="198"/>
      <c r="H125" s="277"/>
    </row>
    <row r="126" spans="2:8" ht="15.75" customHeight="1">
      <c r="B126" s="279"/>
      <c r="D126" s="276"/>
      <c r="G126" s="198"/>
      <c r="H126" s="277"/>
    </row>
    <row r="127" spans="2:8" ht="15.75" customHeight="1">
      <c r="B127" s="279"/>
      <c r="D127" s="276"/>
      <c r="G127" s="198"/>
      <c r="H127" s="277"/>
    </row>
    <row r="128" spans="2:8" ht="15.75" customHeight="1">
      <c r="B128" s="279"/>
      <c r="D128" s="276"/>
      <c r="G128" s="198"/>
      <c r="H128" s="277"/>
    </row>
    <row r="129" spans="2:26" ht="15.75" customHeight="1">
      <c r="B129" s="279"/>
      <c r="D129" s="276"/>
      <c r="G129" s="198"/>
      <c r="H129" s="277"/>
    </row>
    <row r="130" spans="2:26" ht="15.75" customHeight="1">
      <c r="B130" s="279"/>
      <c r="D130" s="276"/>
      <c r="G130" s="198"/>
      <c r="H130" s="277"/>
    </row>
    <row r="131" spans="2:26" ht="15.75" customHeight="1">
      <c r="B131" s="279"/>
      <c r="D131" s="276"/>
      <c r="G131" s="198"/>
      <c r="H131" s="291"/>
      <c r="I131" s="292"/>
      <c r="J131" s="292"/>
      <c r="U131" s="292"/>
      <c r="V131" s="292"/>
      <c r="W131" s="292"/>
      <c r="X131" s="292"/>
      <c r="Y131" s="292"/>
      <c r="Z131" s="292"/>
    </row>
    <row r="132" spans="2:26" ht="15.75" customHeight="1">
      <c r="B132" s="279"/>
      <c r="D132" s="276"/>
      <c r="G132" s="198"/>
      <c r="H132" s="277"/>
      <c r="T132" s="292"/>
    </row>
    <row r="133" spans="2:26" ht="15.75" customHeight="1">
      <c r="B133" s="279"/>
      <c r="D133" s="276"/>
      <c r="G133" s="198"/>
      <c r="H133" s="277"/>
    </row>
    <row r="134" spans="2:26" ht="15.75" customHeight="1">
      <c r="B134" s="279"/>
      <c r="D134" s="276"/>
      <c r="G134" s="198"/>
      <c r="H134" s="277"/>
      <c r="K134" s="292"/>
      <c r="L134" s="292"/>
      <c r="M134" s="292"/>
      <c r="N134" s="292"/>
      <c r="O134" s="292"/>
      <c r="P134" s="292"/>
      <c r="Q134" s="292"/>
    </row>
    <row r="135" spans="2:26" ht="15.75" customHeight="1">
      <c r="B135" s="279"/>
      <c r="D135" s="276"/>
      <c r="G135" s="198"/>
      <c r="H135" s="291"/>
      <c r="I135" s="292"/>
      <c r="J135" s="292"/>
      <c r="R135" s="292"/>
      <c r="S135" s="292"/>
      <c r="U135" s="292"/>
      <c r="V135" s="292"/>
      <c r="W135" s="292"/>
      <c r="X135" s="292"/>
      <c r="Y135" s="292"/>
      <c r="Z135" s="292"/>
    </row>
    <row r="136" spans="2:26" ht="15.75" customHeight="1">
      <c r="B136" s="279"/>
      <c r="D136" s="276"/>
      <c r="G136" s="198"/>
      <c r="H136" s="291"/>
      <c r="I136" s="292"/>
      <c r="J136" s="292"/>
      <c r="T136" s="292"/>
      <c r="U136" s="292"/>
      <c r="V136" s="292"/>
      <c r="W136" s="292"/>
      <c r="X136" s="292"/>
      <c r="Y136" s="292"/>
      <c r="Z136" s="292"/>
    </row>
    <row r="137" spans="2:26" ht="15.75" customHeight="1">
      <c r="B137" s="279"/>
      <c r="D137" s="276"/>
      <c r="G137" s="198"/>
      <c r="H137" s="291"/>
      <c r="I137" s="292"/>
      <c r="J137" s="292"/>
      <c r="T137" s="292"/>
      <c r="U137" s="292"/>
      <c r="V137" s="292"/>
      <c r="W137" s="292"/>
      <c r="X137" s="292"/>
      <c r="Y137" s="292"/>
      <c r="Z137" s="292"/>
    </row>
    <row r="138" spans="2:26" ht="15.75" customHeight="1">
      <c r="B138" s="279"/>
      <c r="D138" s="276"/>
      <c r="G138" s="198"/>
      <c r="H138" s="277"/>
      <c r="K138" s="292"/>
      <c r="L138" s="292"/>
      <c r="M138" s="292"/>
      <c r="N138" s="292"/>
      <c r="O138" s="292"/>
      <c r="P138" s="292"/>
      <c r="Q138" s="292"/>
      <c r="T138" s="292"/>
    </row>
    <row r="139" spans="2:26" ht="15.75" customHeight="1">
      <c r="B139" s="279"/>
      <c r="D139" s="276"/>
      <c r="G139" s="198"/>
      <c r="H139" s="277"/>
      <c r="K139" s="292"/>
      <c r="L139" s="292"/>
      <c r="M139" s="292"/>
      <c r="N139" s="292"/>
      <c r="O139" s="292"/>
      <c r="P139" s="292"/>
      <c r="Q139" s="292"/>
      <c r="R139" s="292"/>
      <c r="S139" s="292"/>
    </row>
    <row r="140" spans="2:26" ht="15.75" customHeight="1">
      <c r="B140" s="279"/>
      <c r="D140" s="276"/>
      <c r="G140" s="198"/>
      <c r="H140" s="277"/>
      <c r="K140" s="292"/>
      <c r="L140" s="292"/>
      <c r="M140" s="292"/>
      <c r="N140" s="292"/>
      <c r="O140" s="292"/>
      <c r="P140" s="292"/>
      <c r="Q140" s="292"/>
      <c r="R140" s="292"/>
      <c r="S140" s="292"/>
    </row>
    <row r="141" spans="2:26" ht="15.75" customHeight="1">
      <c r="B141" s="279"/>
      <c r="D141" s="276"/>
      <c r="G141" s="198"/>
      <c r="H141" s="277"/>
      <c r="R141" s="292"/>
      <c r="S141" s="292"/>
    </row>
    <row r="142" spans="2:26" ht="15.75" customHeight="1">
      <c r="B142" s="279"/>
      <c r="D142" s="276"/>
      <c r="G142" s="198"/>
      <c r="H142" s="277"/>
    </row>
    <row r="143" spans="2:26" ht="15.75" customHeight="1">
      <c r="B143" s="279"/>
      <c r="D143" s="276"/>
      <c r="G143" s="198"/>
      <c r="H143" s="277"/>
    </row>
    <row r="144" spans="2:26" ht="15.75" customHeight="1">
      <c r="B144" s="279"/>
      <c r="D144" s="276"/>
      <c r="G144" s="198"/>
      <c r="H144" s="277"/>
    </row>
    <row r="145" spans="2:8" ht="15.75" customHeight="1">
      <c r="B145" s="279"/>
      <c r="D145" s="276"/>
      <c r="G145" s="198"/>
      <c r="H145" s="277"/>
    </row>
    <row r="146" spans="2:8" ht="15.75" customHeight="1">
      <c r="B146" s="279"/>
      <c r="D146" s="276"/>
      <c r="G146" s="198"/>
      <c r="H146" s="277"/>
    </row>
    <row r="147" spans="2:8" ht="15.75" customHeight="1">
      <c r="B147" s="279"/>
      <c r="D147" s="276"/>
      <c r="G147" s="198"/>
      <c r="H147" s="277"/>
    </row>
    <row r="148" spans="2:8" ht="15.75" customHeight="1">
      <c r="B148" s="279"/>
      <c r="D148" s="276"/>
      <c r="G148" s="198"/>
      <c r="H148" s="277"/>
    </row>
    <row r="149" spans="2:8" ht="15.75" customHeight="1">
      <c r="B149" s="279"/>
      <c r="D149" s="276"/>
      <c r="G149" s="198"/>
      <c r="H149" s="277"/>
    </row>
    <row r="150" spans="2:8" ht="15.75" customHeight="1">
      <c r="B150" s="279"/>
      <c r="D150" s="276"/>
      <c r="G150" s="198"/>
      <c r="H150" s="277"/>
    </row>
    <row r="151" spans="2:8" ht="15.75" customHeight="1">
      <c r="B151" s="279"/>
      <c r="D151" s="276"/>
      <c r="E151" s="276"/>
      <c r="G151" s="198"/>
      <c r="H151" s="277"/>
    </row>
    <row r="152" spans="2:8" ht="15.75" customHeight="1">
      <c r="B152" s="279"/>
      <c r="D152" s="276"/>
      <c r="E152" s="276"/>
      <c r="G152" s="198"/>
      <c r="H152" s="277"/>
    </row>
    <row r="153" spans="2:8" ht="15.75" customHeight="1">
      <c r="B153" s="279"/>
      <c r="D153" s="276"/>
      <c r="E153" s="276"/>
      <c r="G153" s="198"/>
      <c r="H153" s="277"/>
    </row>
    <row r="154" spans="2:8" ht="15.75" customHeight="1">
      <c r="B154" s="279"/>
      <c r="D154" s="276"/>
      <c r="E154" s="276"/>
      <c r="G154" s="198"/>
      <c r="H154" s="277"/>
    </row>
    <row r="155" spans="2:8" ht="15.75" customHeight="1">
      <c r="B155" s="279"/>
      <c r="D155" s="276"/>
      <c r="E155" s="276"/>
      <c r="G155" s="198"/>
      <c r="H155" s="277"/>
    </row>
    <row r="156" spans="2:8" ht="15.75" customHeight="1">
      <c r="B156" s="279"/>
      <c r="D156" s="276"/>
      <c r="E156" s="276"/>
      <c r="G156" s="198"/>
      <c r="H156" s="277"/>
    </row>
    <row r="157" spans="2:8" ht="15.75" customHeight="1">
      <c r="B157" s="279"/>
      <c r="D157" s="276"/>
      <c r="E157" s="276"/>
      <c r="G157" s="198"/>
      <c r="H157" s="277"/>
    </row>
    <row r="158" spans="2:8" ht="15.75" customHeight="1">
      <c r="B158" s="279"/>
      <c r="D158" s="276"/>
      <c r="E158" s="276"/>
      <c r="G158" s="198"/>
      <c r="H158" s="277"/>
    </row>
    <row r="159" spans="2:8" ht="15.75" customHeight="1">
      <c r="B159" s="279"/>
      <c r="D159" s="276"/>
      <c r="E159" s="276"/>
      <c r="G159" s="198"/>
      <c r="H159" s="277"/>
    </row>
    <row r="160" spans="2:8" ht="15.75" customHeight="1">
      <c r="B160" s="279"/>
      <c r="D160" s="276"/>
      <c r="E160" s="276"/>
      <c r="G160" s="198"/>
      <c r="H160" s="277"/>
    </row>
    <row r="161" spans="2:26" ht="15.75" customHeight="1">
      <c r="B161" s="279"/>
      <c r="D161" s="276"/>
      <c r="E161" s="276"/>
      <c r="G161" s="198"/>
      <c r="H161" s="277"/>
    </row>
    <row r="162" spans="2:26" ht="15.75" customHeight="1">
      <c r="B162" s="279"/>
      <c r="D162" s="276"/>
      <c r="E162" s="276"/>
      <c r="G162" s="198"/>
      <c r="H162" s="277"/>
    </row>
    <row r="163" spans="2:26" ht="15.75" customHeight="1">
      <c r="B163" s="279"/>
      <c r="D163" s="276"/>
      <c r="E163" s="276"/>
      <c r="G163" s="198"/>
      <c r="H163" s="277"/>
    </row>
    <row r="164" spans="2:26" ht="15.75" customHeight="1">
      <c r="B164" s="279"/>
      <c r="D164" s="276"/>
      <c r="E164" s="276"/>
      <c r="G164" s="198"/>
      <c r="H164" s="277"/>
    </row>
    <row r="165" spans="2:26" ht="15.75" customHeight="1">
      <c r="B165" s="279"/>
      <c r="D165" s="276"/>
      <c r="E165" s="276"/>
      <c r="G165" s="198"/>
      <c r="H165" s="277"/>
    </row>
    <row r="166" spans="2:26" ht="15.75" customHeight="1">
      <c r="B166" s="279"/>
      <c r="D166" s="276"/>
      <c r="E166" s="276"/>
      <c r="G166" s="198"/>
      <c r="H166" s="277"/>
    </row>
    <row r="167" spans="2:26" ht="15.75" customHeight="1">
      <c r="B167" s="279"/>
      <c r="D167" s="276"/>
      <c r="E167" s="276"/>
      <c r="G167" s="198"/>
      <c r="H167" s="277"/>
    </row>
    <row r="168" spans="2:26" ht="15.75" customHeight="1">
      <c r="B168" s="279"/>
      <c r="D168" s="276"/>
      <c r="E168" s="276"/>
      <c r="G168" s="198"/>
      <c r="H168" s="277"/>
    </row>
    <row r="169" spans="2:26" ht="15.75" customHeight="1">
      <c r="B169" s="279"/>
      <c r="D169" s="276"/>
      <c r="E169" s="276"/>
      <c r="G169" s="198"/>
      <c r="H169" s="277"/>
    </row>
    <row r="170" spans="2:26" ht="15.75" customHeight="1">
      <c r="B170" s="279"/>
      <c r="D170" s="276"/>
      <c r="E170" s="276"/>
      <c r="G170" s="198"/>
      <c r="H170" s="277"/>
    </row>
    <row r="171" spans="2:26" ht="15.75" customHeight="1">
      <c r="B171" s="279"/>
      <c r="D171" s="276"/>
      <c r="E171" s="276"/>
      <c r="G171" s="198"/>
      <c r="H171" s="277"/>
    </row>
    <row r="172" spans="2:26" ht="15.75" customHeight="1">
      <c r="B172" s="279"/>
      <c r="D172" s="276"/>
      <c r="E172" s="276"/>
      <c r="G172" s="198"/>
      <c r="H172" s="277"/>
    </row>
    <row r="173" spans="2:26" ht="15.75" customHeight="1">
      <c r="B173" s="279"/>
      <c r="D173" s="276"/>
      <c r="E173" s="276"/>
      <c r="G173" s="198"/>
      <c r="H173" s="277"/>
    </row>
    <row r="174" spans="2:26" ht="15.75" customHeight="1">
      <c r="B174" s="279"/>
      <c r="D174" s="276"/>
      <c r="E174" s="276"/>
      <c r="G174" s="198"/>
      <c r="H174" s="277"/>
    </row>
    <row r="175" spans="2:26" ht="15.75" customHeight="1">
      <c r="B175" s="279"/>
      <c r="D175" s="276"/>
      <c r="E175" s="276"/>
      <c r="G175" s="198"/>
      <c r="H175" s="277"/>
    </row>
    <row r="176" spans="2:26" ht="15.75" customHeight="1">
      <c r="B176" s="279"/>
      <c r="D176" s="276"/>
      <c r="E176" s="276"/>
      <c r="G176" s="198"/>
      <c r="H176" s="291"/>
      <c r="I176" s="292"/>
      <c r="J176" s="292"/>
      <c r="U176" s="292"/>
      <c r="V176" s="292"/>
      <c r="W176" s="292"/>
      <c r="X176" s="292"/>
      <c r="Y176" s="292"/>
      <c r="Z176" s="292"/>
    </row>
    <row r="177" spans="2:26" ht="15.75" customHeight="1">
      <c r="B177" s="279"/>
      <c r="D177" s="276"/>
      <c r="E177" s="276"/>
      <c r="G177" s="198"/>
      <c r="H177" s="291"/>
      <c r="I177" s="292"/>
      <c r="J177" s="292"/>
      <c r="T177" s="292"/>
      <c r="U177" s="292"/>
      <c r="V177" s="292"/>
      <c r="W177" s="292"/>
      <c r="X177" s="292"/>
      <c r="Y177" s="292"/>
      <c r="Z177" s="292"/>
    </row>
    <row r="178" spans="2:26" ht="15.75" customHeight="1">
      <c r="B178" s="279"/>
      <c r="D178" s="276"/>
      <c r="E178" s="276"/>
      <c r="G178" s="198"/>
      <c r="H178" s="291"/>
      <c r="I178" s="292"/>
      <c r="J178" s="292"/>
      <c r="T178" s="292"/>
      <c r="U178" s="292"/>
      <c r="V178" s="292"/>
      <c r="W178" s="292"/>
      <c r="X178" s="292"/>
      <c r="Y178" s="292"/>
      <c r="Z178" s="292"/>
    </row>
    <row r="179" spans="2:26" ht="15.75" customHeight="1">
      <c r="B179" s="279"/>
      <c r="D179" s="276"/>
      <c r="E179" s="276"/>
      <c r="G179" s="198"/>
      <c r="H179" s="291"/>
      <c r="I179" s="292"/>
      <c r="J179" s="292"/>
      <c r="K179" s="292"/>
      <c r="L179" s="292"/>
      <c r="M179" s="292"/>
      <c r="N179" s="292"/>
      <c r="O179" s="292"/>
      <c r="P179" s="292"/>
      <c r="Q179" s="292"/>
      <c r="T179" s="292"/>
      <c r="U179" s="292"/>
      <c r="V179" s="292"/>
      <c r="W179" s="292"/>
      <c r="X179" s="292"/>
      <c r="Y179" s="292"/>
      <c r="Z179" s="292"/>
    </row>
    <row r="180" spans="2:26" ht="15.75" customHeight="1">
      <c r="B180" s="279"/>
      <c r="D180" s="276"/>
      <c r="E180" s="276"/>
      <c r="G180" s="198"/>
      <c r="H180" s="277"/>
      <c r="K180" s="292"/>
      <c r="L180" s="292"/>
      <c r="M180" s="292"/>
      <c r="N180" s="292"/>
      <c r="O180" s="292"/>
      <c r="P180" s="292"/>
      <c r="Q180" s="292"/>
      <c r="R180" s="292"/>
      <c r="S180" s="292"/>
      <c r="T180" s="292"/>
    </row>
    <row r="181" spans="2:26" ht="15.75" customHeight="1">
      <c r="B181" s="279"/>
      <c r="D181" s="276"/>
      <c r="E181" s="276"/>
      <c r="G181" s="198"/>
      <c r="H181" s="277"/>
      <c r="K181" s="292"/>
      <c r="L181" s="292"/>
      <c r="M181" s="292"/>
      <c r="N181" s="292"/>
      <c r="O181" s="292"/>
      <c r="P181" s="292"/>
      <c r="Q181" s="292"/>
      <c r="R181" s="292"/>
      <c r="S181" s="292"/>
    </row>
    <row r="182" spans="2:26" ht="15.75" customHeight="1">
      <c r="B182" s="279"/>
      <c r="D182" s="276"/>
      <c r="E182" s="276"/>
      <c r="G182" s="198"/>
      <c r="H182" s="277"/>
      <c r="K182" s="292"/>
      <c r="L182" s="292"/>
      <c r="M182" s="292"/>
      <c r="N182" s="292"/>
      <c r="O182" s="292"/>
      <c r="P182" s="292"/>
      <c r="Q182" s="292"/>
      <c r="R182" s="292"/>
      <c r="S182" s="292"/>
    </row>
    <row r="183" spans="2:26" ht="15.75" customHeight="1">
      <c r="B183" s="279"/>
      <c r="D183" s="276"/>
      <c r="E183" s="276"/>
      <c r="G183" s="198"/>
      <c r="H183" s="277"/>
      <c r="R183" s="292"/>
      <c r="S183" s="292"/>
    </row>
    <row r="184" spans="2:26" ht="15.75" customHeight="1">
      <c r="B184" s="279"/>
      <c r="D184" s="276"/>
      <c r="E184" s="276"/>
      <c r="G184" s="198"/>
      <c r="H184" s="277"/>
    </row>
    <row r="185" spans="2:26" ht="15.75" customHeight="1">
      <c r="B185" s="279"/>
      <c r="D185" s="276"/>
      <c r="E185" s="276"/>
      <c r="G185" s="198"/>
      <c r="H185" s="277"/>
    </row>
    <row r="186" spans="2:26" ht="15.75" customHeight="1">
      <c r="B186" s="279"/>
      <c r="D186" s="276"/>
      <c r="E186" s="276"/>
      <c r="G186" s="198"/>
      <c r="H186" s="277"/>
    </row>
    <row r="187" spans="2:26" ht="15.75" customHeight="1">
      <c r="B187" s="279"/>
      <c r="D187" s="276"/>
      <c r="E187" s="276"/>
      <c r="G187" s="198"/>
      <c r="H187" s="277"/>
    </row>
    <row r="188" spans="2:26" ht="15.75" customHeight="1">
      <c r="B188" s="279"/>
      <c r="D188" s="276"/>
      <c r="E188" s="276"/>
      <c r="G188" s="198"/>
      <c r="H188" s="277"/>
    </row>
    <row r="189" spans="2:26" ht="15.75" customHeight="1">
      <c r="B189" s="279"/>
      <c r="D189" s="276"/>
      <c r="E189" s="276"/>
      <c r="G189" s="198"/>
      <c r="H189" s="277"/>
    </row>
    <row r="190" spans="2:26" ht="15.75" customHeight="1">
      <c r="B190" s="279"/>
      <c r="D190" s="276"/>
      <c r="E190" s="276"/>
      <c r="G190" s="198"/>
      <c r="H190" s="277"/>
    </row>
    <row r="191" spans="2:26" ht="15.75" customHeight="1">
      <c r="B191" s="279"/>
      <c r="D191" s="276"/>
      <c r="E191" s="276"/>
      <c r="G191" s="198"/>
      <c r="H191" s="277"/>
    </row>
    <row r="192" spans="2:26" ht="15.75" customHeight="1">
      <c r="B192" s="279"/>
      <c r="D192" s="276"/>
      <c r="E192" s="276"/>
      <c r="G192" s="198"/>
      <c r="H192" s="277"/>
    </row>
    <row r="193" spans="2:26" ht="15.75" customHeight="1">
      <c r="B193" s="279"/>
      <c r="D193" s="276"/>
      <c r="E193" s="276"/>
      <c r="G193" s="296"/>
      <c r="H193" s="297"/>
      <c r="I193" s="298"/>
      <c r="J193" s="298"/>
      <c r="U193" s="298"/>
      <c r="V193" s="298"/>
      <c r="W193" s="298"/>
      <c r="X193" s="298"/>
      <c r="Y193" s="298"/>
      <c r="Z193" s="298"/>
    </row>
    <row r="194" spans="2:26" ht="15.75" customHeight="1">
      <c r="B194" s="279"/>
      <c r="D194" s="276"/>
      <c r="E194" s="276"/>
      <c r="G194" s="296"/>
      <c r="H194" s="297"/>
      <c r="I194" s="298"/>
      <c r="J194" s="298"/>
      <c r="T194" s="298"/>
      <c r="U194" s="298"/>
      <c r="V194" s="298"/>
      <c r="W194" s="298"/>
      <c r="X194" s="298"/>
      <c r="Y194" s="298"/>
      <c r="Z194" s="298"/>
    </row>
    <row r="195" spans="2:26" ht="15.75" customHeight="1">
      <c r="B195" s="279"/>
      <c r="D195" s="276"/>
      <c r="E195" s="276"/>
      <c r="G195" s="198"/>
      <c r="H195" s="277"/>
      <c r="T195" s="298"/>
    </row>
    <row r="196" spans="2:26" ht="15.75" customHeight="1">
      <c r="B196" s="279"/>
      <c r="D196" s="276"/>
      <c r="E196" s="276"/>
      <c r="G196" s="198"/>
      <c r="H196" s="277"/>
      <c r="K196" s="298"/>
      <c r="L196" s="298"/>
      <c r="M196" s="298"/>
      <c r="N196" s="298"/>
      <c r="O196" s="298"/>
      <c r="P196" s="298"/>
      <c r="Q196" s="298"/>
    </row>
    <row r="197" spans="2:26" ht="15.75" customHeight="1">
      <c r="B197" s="279"/>
      <c r="D197" s="276"/>
      <c r="E197" s="276"/>
      <c r="G197" s="198"/>
      <c r="H197" s="277"/>
      <c r="K197" s="298"/>
      <c r="L197" s="298"/>
      <c r="M197" s="298"/>
      <c r="N197" s="298"/>
      <c r="O197" s="298"/>
      <c r="P197" s="298"/>
      <c r="Q197" s="298"/>
      <c r="R197" s="298"/>
      <c r="S197" s="298"/>
    </row>
    <row r="198" spans="2:26" ht="15.75" customHeight="1">
      <c r="B198" s="279"/>
      <c r="D198" s="276"/>
      <c r="E198" s="276"/>
      <c r="G198" s="198"/>
      <c r="H198" s="277"/>
      <c r="R198" s="298"/>
      <c r="S198" s="298"/>
    </row>
    <row r="199" spans="2:26" ht="15.75" customHeight="1">
      <c r="B199" s="279"/>
      <c r="D199" s="276"/>
      <c r="E199" s="276"/>
      <c r="G199" s="198"/>
      <c r="H199" s="277"/>
    </row>
    <row r="200" spans="2:26" ht="15.75" customHeight="1">
      <c r="B200" s="279"/>
      <c r="D200" s="276"/>
      <c r="E200" s="276"/>
      <c r="G200" s="198"/>
      <c r="H200" s="277"/>
    </row>
    <row r="201" spans="2:26" ht="15.75" customHeight="1">
      <c r="B201" s="279"/>
      <c r="D201" s="276"/>
      <c r="E201" s="276"/>
      <c r="G201" s="198"/>
      <c r="H201" s="277"/>
    </row>
    <row r="202" spans="2:26" ht="15.75" customHeight="1">
      <c r="B202" s="279"/>
      <c r="D202" s="276"/>
      <c r="E202" s="276"/>
      <c r="G202" s="198"/>
      <c r="H202" s="277"/>
    </row>
    <row r="203" spans="2:26" ht="15.75" customHeight="1">
      <c r="B203" s="279"/>
      <c r="D203" s="276"/>
      <c r="E203" s="276"/>
      <c r="G203" s="198"/>
      <c r="H203" s="277"/>
    </row>
    <row r="204" spans="2:26" ht="15.75" customHeight="1">
      <c r="B204" s="279"/>
      <c r="D204" s="276"/>
      <c r="E204" s="276"/>
      <c r="G204" s="198"/>
      <c r="H204" s="277"/>
    </row>
    <row r="205" spans="2:26" ht="15.75" customHeight="1">
      <c r="B205" s="279"/>
      <c r="D205" s="276"/>
      <c r="E205" s="276"/>
      <c r="G205" s="198"/>
      <c r="H205" s="277"/>
    </row>
    <row r="206" spans="2:26" ht="15.75" customHeight="1">
      <c r="B206" s="279"/>
      <c r="D206" s="276"/>
      <c r="E206" s="276"/>
      <c r="G206" s="198"/>
      <c r="H206" s="277"/>
    </row>
    <row r="207" spans="2:26" ht="15.75" customHeight="1">
      <c r="B207" s="279"/>
      <c r="D207" s="276"/>
      <c r="E207" s="276"/>
      <c r="G207" s="198"/>
      <c r="H207" s="277"/>
    </row>
    <row r="208" spans="2:26" ht="15.75" customHeight="1">
      <c r="B208" s="279"/>
      <c r="D208" s="276"/>
      <c r="E208" s="276"/>
      <c r="G208" s="198"/>
      <c r="H208" s="277"/>
    </row>
    <row r="209" spans="2:8" ht="15.75" customHeight="1">
      <c r="B209" s="279"/>
      <c r="D209" s="276"/>
      <c r="E209" s="276"/>
      <c r="G209" s="198"/>
      <c r="H209" s="277"/>
    </row>
    <row r="210" spans="2:8" ht="15.75" customHeight="1">
      <c r="B210" s="279"/>
      <c r="D210" s="276"/>
      <c r="E210" s="276"/>
      <c r="G210" s="198"/>
      <c r="H210" s="277"/>
    </row>
    <row r="211" spans="2:8" ht="15.75" customHeight="1">
      <c r="B211" s="279"/>
      <c r="D211" s="276"/>
      <c r="E211" s="276"/>
      <c r="G211" s="198"/>
      <c r="H211" s="277"/>
    </row>
    <row r="212" spans="2:8" ht="15.75" customHeight="1">
      <c r="B212" s="279"/>
      <c r="D212" s="276"/>
      <c r="E212" s="276"/>
      <c r="G212" s="198"/>
      <c r="H212" s="277"/>
    </row>
    <row r="213" spans="2:8" ht="15.75" customHeight="1">
      <c r="B213" s="279"/>
      <c r="D213" s="276"/>
      <c r="E213" s="276"/>
      <c r="G213" s="198"/>
      <c r="H213" s="277"/>
    </row>
    <row r="214" spans="2:8" ht="15.75" customHeight="1">
      <c r="B214" s="279"/>
      <c r="D214" s="276"/>
      <c r="E214" s="276"/>
      <c r="G214" s="198"/>
      <c r="H214" s="277"/>
    </row>
    <row r="215" spans="2:8" ht="15.75" customHeight="1">
      <c r="B215" s="279"/>
      <c r="D215" s="276"/>
      <c r="E215" s="276"/>
      <c r="G215" s="198"/>
      <c r="H215" s="277"/>
    </row>
    <row r="216" spans="2:8" ht="15.75" customHeight="1">
      <c r="B216" s="279"/>
      <c r="D216" s="276"/>
      <c r="E216" s="276"/>
      <c r="G216" s="198"/>
      <c r="H216" s="277"/>
    </row>
    <row r="217" spans="2:8" ht="15.75" customHeight="1"/>
    <row r="218" spans="2:8" ht="15.75" customHeight="1"/>
    <row r="219" spans="2:8" ht="15.75" customHeight="1"/>
    <row r="220" spans="2:8" ht="15.75" customHeight="1"/>
    <row r="221" spans="2:8" ht="15.75" customHeight="1"/>
    <row r="222" spans="2:8" ht="15.75" customHeight="1"/>
    <row r="223" spans="2:8" ht="15.75" customHeight="1"/>
    <row r="224" spans="2:8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2">
    <mergeCell ref="B2:E2"/>
    <mergeCell ref="B19:E19"/>
  </mergeCells>
  <pageMargins left="0" right="0" top="0.1388888888888889" bottom="0.1388888888888889" header="0" footer="0"/>
  <pageSetup paperSize="9" pageOrder="overThenDown" orientation="portrait"/>
  <headerFooter>
    <oddHeader>&amp;C&amp;A</oddHeader>
    <oddFooter>&amp;CPage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0"/>
  <dimension ref="A1:Z1000"/>
  <sheetViews>
    <sheetView topLeftCell="A5" workbookViewId="0">
      <selection activeCell="A2" sqref="A2"/>
    </sheetView>
  </sheetViews>
  <sheetFormatPr baseColWidth="10" defaultColWidth="10.140625" defaultRowHeight="15" customHeight="1"/>
  <cols>
    <col min="1" max="1" width="11.7109375" style="197" customWidth="1"/>
    <col min="2" max="2" width="21.42578125" style="197" customWidth="1"/>
    <col min="3" max="4" width="10.7109375" style="197" customWidth="1"/>
    <col min="5" max="5" width="10.42578125" style="197" customWidth="1"/>
    <col min="6" max="6" width="11.85546875" style="197" customWidth="1"/>
    <col min="7" max="7" width="9.5703125" style="197" customWidth="1"/>
    <col min="8" max="9" width="10.42578125" style="197" customWidth="1"/>
    <col min="10" max="10" width="10.7109375" style="197" customWidth="1"/>
    <col min="11" max="11" width="10.42578125" style="197" customWidth="1"/>
    <col min="12" max="13" width="10.7109375" style="197" customWidth="1"/>
    <col min="14" max="14" width="10.42578125" style="197" customWidth="1"/>
    <col min="15" max="15" width="10.85546875" style="197" customWidth="1"/>
    <col min="16" max="19" width="10.7109375" style="197" customWidth="1"/>
    <col min="20" max="26" width="10.42578125" style="197" customWidth="1"/>
    <col min="27" max="16384" width="10.140625" style="197"/>
  </cols>
  <sheetData>
    <row r="1" spans="1:26" ht="15.75" customHeight="1" thickBot="1">
      <c r="A1" s="299">
        <v>330</v>
      </c>
      <c r="B1" s="300" t="s">
        <v>36</v>
      </c>
      <c r="C1" s="301"/>
      <c r="D1" s="301"/>
      <c r="E1" s="301"/>
      <c r="F1" s="301"/>
      <c r="G1" s="301"/>
      <c r="H1" s="409">
        <v>1</v>
      </c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  <c r="Y1" s="301"/>
      <c r="Z1" s="301"/>
    </row>
    <row r="2" spans="1:26" ht="15.75" customHeight="1">
      <c r="A2" s="302">
        <v>8.0399999999999991</v>
      </c>
      <c r="B2" s="303" t="s">
        <v>37</v>
      </c>
      <c r="C2" s="301">
        <f>151.67*H1</f>
        <v>151.66999999999999</v>
      </c>
      <c r="D2" s="196">
        <f>F2/C2</f>
        <v>17.493241906771281</v>
      </c>
      <c r="E2" s="301"/>
      <c r="F2" s="200">
        <f>A3*H1</f>
        <v>2653.2</v>
      </c>
      <c r="G2" s="301"/>
      <c r="H2" s="301"/>
      <c r="I2" s="301"/>
      <c r="J2" s="301">
        <v>3428</v>
      </c>
      <c r="K2" s="301" t="s">
        <v>38</v>
      </c>
      <c r="L2" s="301"/>
      <c r="M2" s="301"/>
      <c r="N2" s="301"/>
      <c r="O2" s="301"/>
      <c r="P2" s="301"/>
      <c r="Q2" s="301"/>
      <c r="R2" s="301"/>
      <c r="S2" s="301"/>
      <c r="T2" s="301"/>
      <c r="U2" s="301"/>
      <c r="V2" s="301"/>
      <c r="W2" s="301"/>
      <c r="X2" s="301"/>
      <c r="Y2" s="301"/>
      <c r="Z2" s="301"/>
    </row>
    <row r="3" spans="1:26" ht="15.75" customHeight="1">
      <c r="A3" s="304">
        <f>A1*A2</f>
        <v>2653.2</v>
      </c>
      <c r="B3" s="305" t="s">
        <v>39</v>
      </c>
      <c r="C3" s="301">
        <v>0</v>
      </c>
      <c r="D3" s="196">
        <f>D2*1.25</f>
        <v>21.866552383464104</v>
      </c>
      <c r="E3" s="301"/>
      <c r="F3" s="200">
        <f>D3*C3</f>
        <v>0</v>
      </c>
      <c r="G3" s="301"/>
      <c r="H3" s="301"/>
      <c r="I3" s="301"/>
      <c r="J3" s="301"/>
      <c r="K3" s="301"/>
      <c r="L3" s="301"/>
      <c r="M3" s="301"/>
      <c r="N3" s="301"/>
      <c r="O3" s="301"/>
      <c r="P3" s="301"/>
      <c r="Q3" s="301"/>
      <c r="R3" s="301"/>
      <c r="S3" s="301"/>
      <c r="T3" s="301"/>
      <c r="U3" s="301"/>
      <c r="V3" s="301"/>
      <c r="W3" s="301"/>
      <c r="X3" s="301"/>
      <c r="Y3" s="301"/>
      <c r="Z3" s="301"/>
    </row>
    <row r="4" spans="1:26" ht="15.75" customHeight="1">
      <c r="A4" s="301"/>
      <c r="B4" s="301"/>
      <c r="C4" s="301"/>
      <c r="D4" s="301"/>
      <c r="E4" s="301"/>
      <c r="F4" s="301"/>
      <c r="G4" s="301"/>
      <c r="H4" s="301" t="s">
        <v>40</v>
      </c>
      <c r="I4" s="301"/>
      <c r="J4" s="301"/>
      <c r="K4" s="301"/>
      <c r="L4" s="301"/>
      <c r="M4" s="301"/>
      <c r="N4" s="301"/>
      <c r="O4" s="301"/>
      <c r="P4" s="301"/>
      <c r="Q4" s="301"/>
      <c r="R4" s="301"/>
      <c r="S4" s="301"/>
      <c r="T4" s="301"/>
      <c r="U4" s="301"/>
      <c r="V4" s="301"/>
      <c r="W4" s="301"/>
      <c r="X4" s="301"/>
      <c r="Y4" s="301"/>
      <c r="Z4" s="301"/>
    </row>
    <row r="5" spans="1:26" ht="15.75" customHeight="1">
      <c r="A5" s="301"/>
      <c r="B5" s="306" t="s">
        <v>41</v>
      </c>
      <c r="C5" s="301"/>
      <c r="D5" s="301"/>
      <c r="E5" s="301"/>
      <c r="F5" s="307">
        <f>F3+F2</f>
        <v>2653.2</v>
      </c>
      <c r="G5" s="301"/>
      <c r="H5" s="196">
        <f>F5*12</f>
        <v>31838.399999999998</v>
      </c>
      <c r="I5" s="301" t="s">
        <v>42</v>
      </c>
      <c r="J5" s="301"/>
      <c r="K5" s="308"/>
      <c r="L5" s="301"/>
      <c r="M5" s="301"/>
      <c r="N5" s="301"/>
      <c r="O5" s="301"/>
      <c r="P5" s="301"/>
      <c r="Q5" s="301"/>
      <c r="R5" s="301"/>
      <c r="S5" s="301"/>
      <c r="T5" s="301"/>
      <c r="U5" s="301"/>
      <c r="V5" s="301"/>
      <c r="W5" s="301"/>
      <c r="X5" s="301"/>
      <c r="Y5" s="301"/>
      <c r="Z5" s="301"/>
    </row>
    <row r="6" spans="1:26" ht="15.75" customHeight="1">
      <c r="A6" s="301"/>
      <c r="B6" s="301"/>
      <c r="C6" s="301"/>
      <c r="D6" s="301"/>
      <c r="E6" s="301"/>
      <c r="F6" s="301"/>
      <c r="G6" s="301"/>
      <c r="H6" s="196"/>
      <c r="I6" s="301"/>
      <c r="J6" s="301"/>
      <c r="K6" s="301"/>
      <c r="L6" s="301"/>
      <c r="M6" s="301"/>
      <c r="N6" s="301"/>
      <c r="O6" s="280">
        <f>3528.93/3553.51</f>
        <v>0.99308289550331919</v>
      </c>
      <c r="P6" s="301"/>
      <c r="Q6" s="301"/>
      <c r="R6" s="301"/>
      <c r="S6" s="301"/>
      <c r="T6" s="301"/>
      <c r="U6" s="301"/>
      <c r="V6" s="301"/>
      <c r="W6" s="301"/>
      <c r="X6" s="301"/>
      <c r="Y6" s="301"/>
      <c r="Z6" s="301"/>
    </row>
    <row r="7" spans="1:26" ht="15.75" customHeight="1">
      <c r="A7" s="306" t="s">
        <v>43</v>
      </c>
      <c r="B7" s="301"/>
      <c r="C7" s="301"/>
      <c r="D7" s="301"/>
      <c r="E7" s="301"/>
      <c r="F7" s="301"/>
      <c r="G7" s="301"/>
      <c r="H7" s="301"/>
      <c r="I7" s="301"/>
      <c r="J7" s="301"/>
      <c r="K7" s="301"/>
      <c r="L7" s="301"/>
      <c r="M7" s="301"/>
      <c r="N7" s="301"/>
      <c r="O7" s="301"/>
      <c r="P7" s="301"/>
      <c r="Q7" s="301"/>
      <c r="R7" s="301">
        <f>2650-593.81+76.91+48.58</f>
        <v>2181.6799999999998</v>
      </c>
      <c r="S7" s="301"/>
      <c r="T7" s="301"/>
      <c r="U7" s="301"/>
      <c r="V7" s="301"/>
      <c r="W7" s="301"/>
      <c r="X7" s="301"/>
      <c r="Y7" s="301"/>
      <c r="Z7" s="301"/>
    </row>
    <row r="8" spans="1:26" ht="15.75" customHeight="1">
      <c r="A8" s="301"/>
      <c r="B8" s="301" t="s">
        <v>44</v>
      </c>
      <c r="C8" s="301"/>
      <c r="D8" s="301"/>
      <c r="E8" s="301"/>
      <c r="F8" s="301"/>
      <c r="G8" s="301"/>
      <c r="H8" s="309">
        <v>7.0000000000000007E-2</v>
      </c>
      <c r="I8" s="308">
        <f t="shared" ref="I8:I10" si="0">H8*$F$5</f>
        <v>185.72400000000002</v>
      </c>
      <c r="J8" s="301"/>
      <c r="K8" s="301"/>
      <c r="L8" s="301"/>
      <c r="M8" s="301"/>
      <c r="N8" s="301">
        <v>3528.93</v>
      </c>
      <c r="O8" s="301"/>
      <c r="P8" s="301"/>
      <c r="Q8" s="301"/>
      <c r="R8" s="301"/>
      <c r="S8" s="301"/>
      <c r="T8" s="301"/>
      <c r="U8" s="301"/>
      <c r="V8" s="301"/>
      <c r="W8" s="301"/>
      <c r="X8" s="301"/>
      <c r="Y8" s="301"/>
      <c r="Z8" s="301"/>
    </row>
    <row r="9" spans="1:26" ht="15.75" customHeight="1">
      <c r="A9" s="301"/>
      <c r="B9" s="301" t="s">
        <v>45</v>
      </c>
      <c r="C9" s="310">
        <f>F5</f>
        <v>2653.2</v>
      </c>
      <c r="D9" s="309">
        <v>2.2000000000000001E-3</v>
      </c>
      <c r="E9" s="200">
        <f t="shared" ref="E9:E10" si="1">D9*C9</f>
        <v>5.83704</v>
      </c>
      <c r="F9" s="301"/>
      <c r="G9" s="301"/>
      <c r="H9" s="309">
        <v>1.7000000000000001E-2</v>
      </c>
      <c r="I9" s="308">
        <f t="shared" si="0"/>
        <v>45.104399999999998</v>
      </c>
      <c r="J9" s="301"/>
      <c r="K9" s="301"/>
      <c r="L9" s="301"/>
      <c r="M9" s="301"/>
      <c r="N9" s="301"/>
      <c r="O9" s="301"/>
      <c r="P9" s="301"/>
      <c r="Q9" s="301"/>
      <c r="R9" s="301"/>
      <c r="S9" s="301"/>
      <c r="T9" s="301"/>
      <c r="U9" s="301"/>
      <c r="V9" s="301"/>
      <c r="W9" s="301"/>
      <c r="X9" s="301"/>
      <c r="Y9" s="301"/>
      <c r="Z9" s="301"/>
    </row>
    <row r="10" spans="1:26" ht="15.75" customHeight="1">
      <c r="A10" s="301"/>
      <c r="B10" s="301" t="s">
        <v>46</v>
      </c>
      <c r="C10" s="310">
        <v>3381.63</v>
      </c>
      <c r="D10" s="309">
        <v>9.4999999999999998E-3</v>
      </c>
      <c r="E10" s="200">
        <f t="shared" si="1"/>
        <v>32.125484999999998</v>
      </c>
      <c r="F10" s="301"/>
      <c r="G10" s="301"/>
      <c r="H10" s="309">
        <v>9.4999999999999998E-3</v>
      </c>
      <c r="I10" s="308">
        <f t="shared" si="0"/>
        <v>25.205399999999997</v>
      </c>
      <c r="J10" s="301"/>
      <c r="K10" s="301"/>
      <c r="L10" s="301"/>
      <c r="M10" s="301"/>
      <c r="N10" s="301">
        <v>7.43</v>
      </c>
      <c r="O10" s="301"/>
      <c r="P10" s="301"/>
      <c r="Q10" s="301"/>
      <c r="R10" s="301"/>
      <c r="S10" s="301"/>
      <c r="T10" s="301"/>
      <c r="U10" s="301"/>
      <c r="V10" s="301"/>
      <c r="W10" s="301"/>
      <c r="X10" s="301"/>
      <c r="Y10" s="301"/>
      <c r="Z10" s="301"/>
    </row>
    <row r="11" spans="1:26" ht="15.75" customHeight="1">
      <c r="A11" s="301"/>
      <c r="B11" s="301"/>
      <c r="C11" s="310"/>
      <c r="D11" s="309"/>
      <c r="E11" s="200"/>
      <c r="F11" s="301"/>
      <c r="G11" s="301"/>
      <c r="H11" s="309"/>
      <c r="I11" s="196"/>
      <c r="J11" s="301"/>
      <c r="K11" s="301"/>
      <c r="L11" s="301"/>
      <c r="M11" s="301"/>
      <c r="N11" s="301">
        <v>1.0900000000000001</v>
      </c>
      <c r="O11" s="301"/>
      <c r="P11" s="301"/>
      <c r="Q11" s="301"/>
      <c r="R11" s="301"/>
      <c r="S11" s="301"/>
      <c r="T11" s="301"/>
      <c r="U11" s="301"/>
      <c r="V11" s="301"/>
      <c r="W11" s="301"/>
      <c r="X11" s="301"/>
      <c r="Y11" s="301"/>
      <c r="Z11" s="301"/>
    </row>
    <row r="12" spans="1:26" ht="15.75" customHeight="1">
      <c r="A12" s="306" t="s">
        <v>47</v>
      </c>
      <c r="B12" s="301"/>
      <c r="C12" s="310"/>
      <c r="D12" s="309"/>
      <c r="E12" s="200"/>
      <c r="F12" s="301"/>
      <c r="G12" s="301"/>
      <c r="H12" s="309">
        <v>1.0999999999999999E-2</v>
      </c>
      <c r="I12" s="308">
        <f>H12*$F$5</f>
        <v>29.185199999999995</v>
      </c>
      <c r="J12" s="301"/>
      <c r="K12" s="301"/>
      <c r="L12" s="301"/>
      <c r="M12" s="301"/>
      <c r="N12" s="301">
        <v>33.520000000000003</v>
      </c>
      <c r="O12" s="301">
        <v>33.520000000000003</v>
      </c>
      <c r="P12" s="301"/>
      <c r="Q12" s="301"/>
      <c r="R12" s="301"/>
      <c r="S12" s="301"/>
      <c r="T12" s="301"/>
      <c r="U12" s="301"/>
      <c r="V12" s="301"/>
      <c r="W12" s="301"/>
      <c r="X12" s="301"/>
      <c r="Y12" s="301"/>
      <c r="Z12" s="301"/>
    </row>
    <row r="13" spans="1:26" ht="15.75" customHeight="1">
      <c r="A13" s="306" t="s">
        <v>48</v>
      </c>
      <c r="B13" s="301"/>
      <c r="C13" s="310"/>
      <c r="D13" s="309"/>
      <c r="E13" s="200"/>
      <c r="F13" s="301"/>
      <c r="G13" s="301"/>
      <c r="H13" s="309"/>
      <c r="I13" s="301"/>
      <c r="J13" s="301"/>
      <c r="K13" s="301"/>
      <c r="L13" s="301"/>
      <c r="M13" s="301"/>
      <c r="N13" s="301">
        <v>233.01</v>
      </c>
      <c r="O13" s="301"/>
      <c r="P13" s="301"/>
      <c r="Q13" s="301"/>
      <c r="R13" s="301"/>
      <c r="S13" s="301"/>
      <c r="T13" s="301"/>
      <c r="U13" s="301"/>
      <c r="V13" s="301"/>
      <c r="W13" s="301"/>
      <c r="X13" s="301"/>
      <c r="Y13" s="301"/>
      <c r="Z13" s="301"/>
    </row>
    <row r="14" spans="1:26" ht="15.75" customHeight="1">
      <c r="A14" s="301"/>
      <c r="B14" s="301" t="s">
        <v>49</v>
      </c>
      <c r="C14" s="310">
        <f>F5</f>
        <v>2653.2</v>
      </c>
      <c r="D14" s="309">
        <v>6.9000000000000006E-2</v>
      </c>
      <c r="E14" s="200">
        <f t="shared" ref="E14:E16" si="2">D14*C14</f>
        <v>183.07079999999999</v>
      </c>
      <c r="F14" s="301"/>
      <c r="G14" s="301"/>
      <c r="H14" s="309">
        <v>8.5500000000000007E-2</v>
      </c>
      <c r="I14" s="308">
        <f t="shared" ref="I14:I16" si="3">H14*$F$5</f>
        <v>226.8486</v>
      </c>
      <c r="J14" s="301"/>
      <c r="K14" s="301"/>
      <c r="L14" s="301"/>
      <c r="M14" s="301"/>
      <c r="N14" s="301">
        <v>14.12</v>
      </c>
      <c r="O14" s="301"/>
      <c r="P14" s="301"/>
      <c r="Q14" s="301"/>
      <c r="R14" s="301"/>
      <c r="S14" s="301"/>
      <c r="T14" s="301"/>
      <c r="U14" s="301"/>
      <c r="V14" s="301"/>
      <c r="W14" s="301"/>
      <c r="X14" s="301"/>
      <c r="Y14" s="301"/>
      <c r="Z14" s="301"/>
    </row>
    <row r="15" spans="1:26" ht="15.75" customHeight="1">
      <c r="A15" s="301"/>
      <c r="B15" s="301" t="s">
        <v>50</v>
      </c>
      <c r="C15" s="310">
        <f>F5</f>
        <v>2653.2</v>
      </c>
      <c r="D15" s="309">
        <v>4.0000000000000001E-3</v>
      </c>
      <c r="E15" s="200">
        <f t="shared" si="2"/>
        <v>10.6128</v>
      </c>
      <c r="F15" s="301"/>
      <c r="G15" s="301"/>
      <c r="H15" s="309">
        <v>1.9E-2</v>
      </c>
      <c r="I15" s="308">
        <f t="shared" si="3"/>
        <v>50.410799999999995</v>
      </c>
      <c r="J15" s="301"/>
      <c r="K15" s="301"/>
      <c r="L15" s="301"/>
      <c r="M15" s="301"/>
      <c r="N15" s="301">
        <v>140.15</v>
      </c>
      <c r="O15" s="301"/>
      <c r="P15" s="301"/>
      <c r="Q15" s="301"/>
      <c r="R15" s="301"/>
      <c r="S15" s="301"/>
      <c r="T15" s="301"/>
      <c r="U15" s="301"/>
      <c r="V15" s="301"/>
      <c r="W15" s="301"/>
      <c r="X15" s="301"/>
      <c r="Y15" s="301"/>
      <c r="Z15" s="301"/>
    </row>
    <row r="16" spans="1:26" ht="15.75" customHeight="1">
      <c r="A16" s="301"/>
      <c r="B16" s="301" t="s">
        <v>51</v>
      </c>
      <c r="C16" s="310">
        <f>F5</f>
        <v>2653.2</v>
      </c>
      <c r="D16" s="309">
        <v>4.1500000000000002E-2</v>
      </c>
      <c r="E16" s="200">
        <f t="shared" si="2"/>
        <v>110.1078</v>
      </c>
      <c r="F16" s="301"/>
      <c r="G16" s="301"/>
      <c r="H16" s="309">
        <v>6.2199999999999998E-2</v>
      </c>
      <c r="I16" s="308">
        <f t="shared" si="3"/>
        <v>165.02903999999998</v>
      </c>
      <c r="J16" s="301"/>
      <c r="K16" s="301"/>
      <c r="L16" s="301"/>
      <c r="M16" s="301"/>
      <c r="N16" s="301">
        <v>14.77</v>
      </c>
      <c r="O16" s="301"/>
      <c r="P16" s="301"/>
      <c r="Q16" s="301"/>
      <c r="R16" s="301"/>
      <c r="S16" s="301"/>
      <c r="T16" s="301"/>
      <c r="U16" s="301"/>
      <c r="V16" s="301"/>
      <c r="W16" s="301"/>
      <c r="X16" s="301"/>
      <c r="Y16" s="301"/>
      <c r="Z16" s="301"/>
    </row>
    <row r="17" spans="1:26" ht="15.75" customHeight="1">
      <c r="A17" s="301"/>
      <c r="B17" s="301"/>
      <c r="C17" s="310"/>
      <c r="D17" s="309"/>
      <c r="E17" s="200"/>
      <c r="F17" s="301"/>
      <c r="G17" s="301"/>
      <c r="H17" s="309"/>
      <c r="I17" s="301"/>
      <c r="J17" s="301"/>
      <c r="K17" s="301"/>
      <c r="L17" s="301"/>
      <c r="M17" s="301"/>
      <c r="N17" s="301">
        <v>0.21</v>
      </c>
      <c r="O17" s="301"/>
      <c r="P17" s="301"/>
      <c r="Q17" s="301"/>
      <c r="R17" s="301"/>
      <c r="S17" s="301"/>
      <c r="T17" s="301"/>
      <c r="U17" s="301"/>
      <c r="V17" s="301"/>
      <c r="W17" s="301"/>
      <c r="X17" s="301"/>
      <c r="Y17" s="301"/>
      <c r="Z17" s="301"/>
    </row>
    <row r="18" spans="1:26" ht="15.75" customHeight="1">
      <c r="A18" s="306" t="s">
        <v>52</v>
      </c>
      <c r="B18" s="301"/>
      <c r="C18" s="310"/>
      <c r="D18" s="309"/>
      <c r="E18" s="200"/>
      <c r="F18" s="301"/>
      <c r="G18" s="196"/>
      <c r="H18" s="309">
        <v>3.4500000000000003E-2</v>
      </c>
      <c r="I18" s="308">
        <f t="shared" ref="I18:I20" si="4">H18*$F$5</f>
        <v>91.535399999999996</v>
      </c>
      <c r="J18" s="301"/>
      <c r="K18" s="301"/>
      <c r="L18" s="301"/>
      <c r="M18" s="301"/>
      <c r="N18" s="301">
        <v>0.85</v>
      </c>
      <c r="O18" s="301"/>
      <c r="P18" s="301"/>
      <c r="Q18" s="301"/>
      <c r="R18" s="301"/>
      <c r="S18" s="301"/>
      <c r="T18" s="301"/>
      <c r="U18" s="301"/>
      <c r="V18" s="301"/>
      <c r="W18" s="301"/>
      <c r="X18" s="301"/>
      <c r="Y18" s="301"/>
      <c r="Z18" s="301"/>
    </row>
    <row r="19" spans="1:26" ht="15.75" customHeight="1">
      <c r="A19" s="306" t="s">
        <v>53</v>
      </c>
      <c r="B19" s="301"/>
      <c r="C19" s="310"/>
      <c r="D19" s="309"/>
      <c r="E19" s="200"/>
      <c r="F19" s="301"/>
      <c r="G19" s="301"/>
      <c r="H19" s="309"/>
      <c r="I19" s="308">
        <f t="shared" si="4"/>
        <v>0</v>
      </c>
      <c r="J19" s="221">
        <v>4.2000000000000003E-2</v>
      </c>
      <c r="K19" s="301"/>
      <c r="L19" s="301"/>
      <c r="M19" s="301"/>
      <c r="N19" s="311">
        <v>241.64</v>
      </c>
      <c r="O19" s="301"/>
      <c r="P19" s="301"/>
      <c r="Q19" s="301"/>
      <c r="R19" s="301"/>
      <c r="S19" s="301"/>
      <c r="T19" s="301"/>
      <c r="U19" s="301"/>
      <c r="V19" s="301"/>
      <c r="W19" s="301"/>
      <c r="X19" s="301"/>
      <c r="Y19" s="301"/>
      <c r="Z19" s="301"/>
    </row>
    <row r="20" spans="1:26" ht="15.75" customHeight="1">
      <c r="A20" s="301"/>
      <c r="B20" s="301" t="s">
        <v>54</v>
      </c>
      <c r="C20" s="310">
        <f>F5</f>
        <v>2653.2</v>
      </c>
      <c r="D20" s="309">
        <v>0</v>
      </c>
      <c r="E20" s="200">
        <f>D20*C20</f>
        <v>0</v>
      </c>
      <c r="F20" s="301"/>
      <c r="G20" s="301"/>
      <c r="H20" s="309"/>
      <c r="I20" s="308">
        <f t="shared" si="4"/>
        <v>0</v>
      </c>
      <c r="J20" s="312">
        <v>3.6000000000000002E-4</v>
      </c>
      <c r="K20" s="301"/>
      <c r="L20" s="301"/>
      <c r="M20" s="301"/>
      <c r="N20" s="301">
        <v>103.05</v>
      </c>
      <c r="O20" s="301"/>
      <c r="P20" s="301"/>
      <c r="Q20" s="301"/>
      <c r="R20" s="301"/>
      <c r="S20" s="301"/>
      <c r="T20" s="301"/>
      <c r="U20" s="301"/>
      <c r="V20" s="301"/>
      <c r="W20" s="301"/>
      <c r="X20" s="301"/>
      <c r="Y20" s="301"/>
      <c r="Z20" s="301"/>
    </row>
    <row r="21" spans="1:26" ht="15.75" customHeight="1">
      <c r="A21" s="301"/>
      <c r="B21" s="312">
        <v>2.4000000000000001E-4</v>
      </c>
      <c r="C21" s="310"/>
      <c r="D21" s="309"/>
      <c r="E21" s="200"/>
      <c r="F21" s="301"/>
      <c r="G21" s="301"/>
      <c r="H21" s="309"/>
      <c r="I21" s="301"/>
      <c r="J21" s="301"/>
      <c r="K21" s="301"/>
      <c r="L21" s="301"/>
      <c r="M21" s="301"/>
      <c r="N21" s="301">
        <f>SUM(N10:N20)</f>
        <v>789.83999999999992</v>
      </c>
      <c r="O21" s="301"/>
      <c r="P21" s="301">
        <v>484.93</v>
      </c>
      <c r="Q21" s="301"/>
      <c r="R21" s="301"/>
      <c r="S21" s="301"/>
      <c r="T21" s="301"/>
      <c r="U21" s="301"/>
      <c r="V21" s="301"/>
      <c r="W21" s="301"/>
      <c r="X21" s="301"/>
      <c r="Y21" s="301"/>
      <c r="Z21" s="301"/>
    </row>
    <row r="22" spans="1:26" ht="15.75" customHeight="1">
      <c r="A22" s="306" t="s">
        <v>55</v>
      </c>
      <c r="B22" s="301"/>
      <c r="C22" s="310"/>
      <c r="D22" s="309"/>
      <c r="E22" s="200"/>
      <c r="F22" s="301"/>
      <c r="G22" s="301"/>
      <c r="H22" s="309">
        <v>4.0000000000000002E-4</v>
      </c>
      <c r="I22" s="308">
        <f>H22*$F$5</f>
        <v>1.06128</v>
      </c>
      <c r="J22" s="301"/>
      <c r="K22" s="301"/>
      <c r="L22" s="301"/>
      <c r="M22" s="301"/>
      <c r="N22" s="301"/>
      <c r="O22" s="301"/>
      <c r="P22" s="301"/>
      <c r="Q22" s="301"/>
      <c r="R22" s="301"/>
      <c r="S22" s="301"/>
      <c r="T22" s="301"/>
      <c r="U22" s="301"/>
      <c r="V22" s="301"/>
      <c r="W22" s="301"/>
      <c r="X22" s="301"/>
      <c r="Y22" s="301"/>
      <c r="Z22" s="301"/>
    </row>
    <row r="23" spans="1:26" ht="15.75" customHeight="1">
      <c r="A23" s="301"/>
      <c r="B23" s="301"/>
      <c r="C23" s="310"/>
      <c r="D23" s="309"/>
      <c r="E23" s="200"/>
      <c r="F23" s="301"/>
      <c r="G23" s="301"/>
      <c r="H23" s="301"/>
      <c r="I23" s="301"/>
      <c r="J23" s="301"/>
      <c r="K23" s="301"/>
      <c r="L23" s="301"/>
      <c r="M23" s="301"/>
      <c r="N23" s="301">
        <f>N8-N21</f>
        <v>2739.09</v>
      </c>
      <c r="O23" s="301"/>
      <c r="P23" s="301">
        <v>2445.58</v>
      </c>
      <c r="Q23" s="301">
        <f>N8-N21-P21+N19</f>
        <v>2495.8000000000002</v>
      </c>
      <c r="R23" s="301"/>
      <c r="S23" s="301"/>
      <c r="T23" s="301"/>
      <c r="U23" s="301"/>
      <c r="V23" s="301"/>
      <c r="W23" s="301"/>
      <c r="X23" s="301"/>
      <c r="Y23" s="301"/>
      <c r="Z23" s="301"/>
    </row>
    <row r="24" spans="1:26" ht="15.75" customHeight="1">
      <c r="A24" s="306" t="s">
        <v>56</v>
      </c>
      <c r="B24" s="301"/>
      <c r="C24" s="310">
        <f>F5*O6</f>
        <v>2634.8475383494065</v>
      </c>
      <c r="D24" s="309">
        <v>6.8000000000000005E-2</v>
      </c>
      <c r="E24" s="200">
        <f>D24*C24</f>
        <v>179.16963260775967</v>
      </c>
      <c r="F24" s="301"/>
      <c r="G24" s="301"/>
      <c r="H24" s="301"/>
      <c r="I24" s="301"/>
      <c r="J24" s="301"/>
      <c r="K24" s="301"/>
      <c r="L24" s="301"/>
      <c r="M24" s="301"/>
      <c r="N24" s="301"/>
      <c r="O24" s="301"/>
      <c r="P24" s="301"/>
      <c r="Q24" s="301"/>
      <c r="R24" s="301"/>
      <c r="S24" s="301"/>
      <c r="T24" s="301"/>
      <c r="U24" s="301"/>
      <c r="V24" s="301"/>
      <c r="W24" s="301"/>
      <c r="X24" s="301"/>
      <c r="Y24" s="301"/>
      <c r="Z24" s="301"/>
    </row>
    <row r="25" spans="1:26" ht="15.75" customHeight="1">
      <c r="A25" s="301"/>
      <c r="B25" s="301"/>
      <c r="C25" s="310"/>
      <c r="D25" s="309"/>
      <c r="E25" s="200"/>
      <c r="F25" s="301"/>
      <c r="G25" s="301"/>
      <c r="H25" s="301"/>
      <c r="I25" s="301"/>
      <c r="J25" s="301"/>
      <c r="K25" s="301"/>
      <c r="L25" s="301"/>
      <c r="M25" s="301"/>
      <c r="N25" s="301">
        <v>54.85</v>
      </c>
      <c r="O25" s="301"/>
      <c r="P25" s="301"/>
      <c r="Q25" s="301"/>
      <c r="R25" s="301"/>
      <c r="S25" s="301"/>
      <c r="T25" s="301"/>
      <c r="U25" s="301"/>
      <c r="V25" s="301"/>
      <c r="W25" s="301"/>
      <c r="X25" s="301"/>
      <c r="Y25" s="301"/>
      <c r="Z25" s="301"/>
    </row>
    <row r="26" spans="1:26" ht="15.75" customHeight="1">
      <c r="A26" s="306" t="s">
        <v>57</v>
      </c>
      <c r="B26" s="301"/>
      <c r="C26" s="310">
        <f>C24</f>
        <v>2634.8475383494065</v>
      </c>
      <c r="D26" s="309">
        <v>2.9000000000000001E-2</v>
      </c>
      <c r="E26" s="200">
        <f>D26*C26</f>
        <v>76.410578612132795</v>
      </c>
      <c r="F26" s="301"/>
      <c r="G26" s="301"/>
      <c r="H26" s="301"/>
      <c r="I26" s="301"/>
      <c r="J26" s="301"/>
      <c r="K26" s="301"/>
      <c r="L26" s="301"/>
      <c r="M26" s="301"/>
      <c r="N26" s="301">
        <v>42.5</v>
      </c>
      <c r="O26" s="301"/>
      <c r="P26" s="301"/>
      <c r="Q26" s="301">
        <f>Q23-P23</f>
        <v>50.220000000000255</v>
      </c>
      <c r="R26" s="301"/>
      <c r="S26" s="301"/>
      <c r="T26" s="301"/>
      <c r="U26" s="301"/>
      <c r="V26" s="301"/>
      <c r="W26" s="301"/>
      <c r="X26" s="301"/>
      <c r="Y26" s="301"/>
      <c r="Z26" s="301"/>
    </row>
    <row r="27" spans="1:26" ht="15.75" customHeight="1">
      <c r="A27" s="301"/>
      <c r="B27" s="301"/>
      <c r="C27" s="310"/>
      <c r="D27" s="309"/>
      <c r="E27" s="200"/>
      <c r="F27" s="301"/>
      <c r="G27" s="301"/>
      <c r="H27" s="313" t="s">
        <v>16</v>
      </c>
      <c r="I27" s="313"/>
      <c r="J27" s="301"/>
      <c r="K27" s="301"/>
      <c r="L27" s="301"/>
      <c r="M27" s="301"/>
      <c r="N27" s="301"/>
      <c r="O27" s="301"/>
      <c r="P27" s="301"/>
      <c r="Q27" s="301"/>
      <c r="R27" s="301"/>
      <c r="S27" s="301"/>
      <c r="T27" s="301"/>
      <c r="U27" s="301"/>
      <c r="V27" s="301"/>
      <c r="W27" s="301"/>
      <c r="X27" s="301"/>
      <c r="Y27" s="301"/>
      <c r="Z27" s="301"/>
    </row>
    <row r="28" spans="1:26" ht="15.75" customHeight="1">
      <c r="A28" s="301"/>
      <c r="B28" s="306" t="s">
        <v>58</v>
      </c>
      <c r="C28" s="314" t="s">
        <v>59</v>
      </c>
      <c r="D28" s="315"/>
      <c r="E28" s="316">
        <f>SUM(E9:E27)</f>
        <v>597.33413621989246</v>
      </c>
      <c r="F28" s="205">
        <f>E28/F5</f>
        <v>0.22513724416549544</v>
      </c>
      <c r="G28" s="301"/>
      <c r="H28" s="313" t="s">
        <v>60</v>
      </c>
      <c r="I28" s="307">
        <f>SUM(I8:I27)</f>
        <v>820.10412000000008</v>
      </c>
      <c r="J28" s="301"/>
      <c r="K28" s="301"/>
      <c r="L28" s="301"/>
      <c r="M28" s="301"/>
      <c r="N28" s="306">
        <f>N23+N25+N26</f>
        <v>2836.44</v>
      </c>
      <c r="O28" s="301"/>
      <c r="P28" s="301">
        <f>N8-N21+N20+33.52-P21+N25</f>
        <v>2445.5800000000004</v>
      </c>
      <c r="Q28" s="301"/>
      <c r="R28" s="301"/>
      <c r="S28" s="301"/>
      <c r="T28" s="301"/>
      <c r="U28" s="301"/>
      <c r="V28" s="301"/>
      <c r="W28" s="301"/>
      <c r="X28" s="301"/>
      <c r="Y28" s="301"/>
      <c r="Z28" s="301"/>
    </row>
    <row r="29" spans="1:26" ht="15.75" customHeight="1">
      <c r="A29" s="301"/>
      <c r="B29" s="301"/>
      <c r="C29" s="310"/>
      <c r="D29" s="309"/>
      <c r="E29" s="200"/>
      <c r="F29" s="301"/>
      <c r="G29" s="301"/>
      <c r="H29" s="301"/>
      <c r="I29" s="301"/>
      <c r="J29" s="301"/>
      <c r="K29" s="301"/>
      <c r="L29" s="301"/>
      <c r="M29" s="301"/>
      <c r="N29" s="301"/>
      <c r="O29" s="301"/>
      <c r="P29" s="301"/>
      <c r="Q29" s="301">
        <f>Q26-33.52</f>
        <v>16.700000000000252</v>
      </c>
      <c r="R29" s="301"/>
      <c r="S29" s="301"/>
      <c r="T29" s="301"/>
      <c r="U29" s="301"/>
      <c r="V29" s="301"/>
      <c r="W29" s="301"/>
      <c r="X29" s="301"/>
      <c r="Y29" s="301"/>
      <c r="Z29" s="301"/>
    </row>
    <row r="30" spans="1:26" ht="15.75" customHeight="1">
      <c r="A30" s="301"/>
      <c r="B30" s="301"/>
      <c r="C30" s="310"/>
      <c r="D30" s="309"/>
      <c r="E30" s="200"/>
      <c r="F30" s="301"/>
      <c r="G30" s="301"/>
      <c r="H30" s="301"/>
      <c r="I30" s="196">
        <f>F5+I28</f>
        <v>3473.3041199999998</v>
      </c>
      <c r="J30" s="301"/>
      <c r="K30" s="301"/>
      <c r="L30" s="301"/>
      <c r="M30" s="301"/>
      <c r="N30" s="301"/>
      <c r="O30" s="301"/>
      <c r="P30" s="301"/>
      <c r="Q30" s="301"/>
      <c r="R30" s="301"/>
      <c r="S30" s="301"/>
      <c r="T30" s="301"/>
      <c r="U30" s="301"/>
      <c r="V30" s="301"/>
      <c r="W30" s="301"/>
      <c r="X30" s="301"/>
      <c r="Y30" s="301"/>
      <c r="Z30" s="301"/>
    </row>
    <row r="31" spans="1:26" ht="15.75" customHeight="1">
      <c r="A31" s="301"/>
      <c r="B31" s="301" t="s">
        <v>61</v>
      </c>
      <c r="C31" s="310">
        <f>F3</f>
        <v>0</v>
      </c>
      <c r="D31" s="309">
        <v>-0.11310000000000001</v>
      </c>
      <c r="E31" s="200">
        <f>C31*D31</f>
        <v>0</v>
      </c>
      <c r="F31" s="301"/>
      <c r="G31" s="301"/>
      <c r="H31" s="301"/>
      <c r="I31" s="301"/>
      <c r="J31" s="301"/>
      <c r="K31" s="301"/>
      <c r="L31" s="301"/>
      <c r="M31" s="301"/>
      <c r="N31" s="301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</row>
    <row r="32" spans="1:26" ht="15.75" customHeight="1">
      <c r="A32" s="301"/>
      <c r="B32" s="301" t="s">
        <v>62</v>
      </c>
      <c r="C32" s="310" t="s">
        <v>63</v>
      </c>
      <c r="D32" s="309"/>
      <c r="E32" s="200"/>
      <c r="F32" s="301"/>
      <c r="G32" s="301"/>
      <c r="H32" s="301"/>
      <c r="I32" s="301"/>
      <c r="J32" s="301"/>
      <c r="K32" s="301"/>
      <c r="L32" s="301"/>
      <c r="M32" s="301"/>
      <c r="N32" s="301" t="s">
        <v>64</v>
      </c>
      <c r="O32" s="301"/>
      <c r="P32" s="301"/>
      <c r="Q32" s="301"/>
      <c r="R32" s="301"/>
      <c r="S32" s="301"/>
      <c r="T32" s="301"/>
      <c r="U32" s="301"/>
      <c r="V32" s="301"/>
      <c r="W32" s="301"/>
      <c r="X32" s="301"/>
      <c r="Y32" s="301"/>
      <c r="Z32" s="301"/>
    </row>
    <row r="33" spans="1:26" ht="15.75" customHeight="1">
      <c r="A33" s="301"/>
      <c r="B33" s="301"/>
      <c r="C33" s="310"/>
      <c r="D33" s="309"/>
      <c r="E33" s="200"/>
      <c r="F33" s="301"/>
      <c r="G33" s="301"/>
      <c r="H33" s="301"/>
      <c r="I33" s="301"/>
      <c r="J33" s="301"/>
      <c r="K33" s="301"/>
      <c r="L33" s="301"/>
      <c r="M33" s="301"/>
      <c r="N33" s="301"/>
      <c r="O33" s="301"/>
      <c r="P33" s="301"/>
      <c r="Q33" s="301"/>
      <c r="R33" s="301"/>
      <c r="S33" s="301"/>
      <c r="T33" s="301"/>
      <c r="U33" s="301"/>
      <c r="V33" s="301"/>
      <c r="W33" s="301"/>
      <c r="X33" s="301"/>
      <c r="Y33" s="301"/>
      <c r="Z33" s="301"/>
    </row>
    <row r="34" spans="1:26" ht="15.75" customHeight="1">
      <c r="A34" s="301"/>
      <c r="B34" s="306" t="s">
        <v>65</v>
      </c>
      <c r="C34" s="310"/>
      <c r="D34" s="309"/>
      <c r="E34" s="317">
        <f>F5-E28-E31</f>
        <v>2055.8658637801072</v>
      </c>
      <c r="F34" s="301"/>
      <c r="G34" s="301"/>
      <c r="H34" s="301"/>
      <c r="I34" s="301"/>
      <c r="J34" s="301"/>
      <c r="K34" s="301"/>
      <c r="L34" s="301"/>
      <c r="M34" s="301"/>
      <c r="N34" s="301"/>
      <c r="O34" s="301"/>
      <c r="P34" s="301"/>
      <c r="Q34" s="301"/>
      <c r="R34" s="301"/>
      <c r="S34" s="301"/>
      <c r="T34" s="301"/>
      <c r="U34" s="301"/>
      <c r="V34" s="301"/>
      <c r="W34" s="301"/>
      <c r="X34" s="301"/>
      <c r="Y34" s="301"/>
      <c r="Z34" s="301"/>
    </row>
    <row r="35" spans="1:26" ht="15.75" customHeight="1">
      <c r="A35" s="301"/>
      <c r="B35" s="301"/>
      <c r="C35" s="310"/>
      <c r="D35" s="309"/>
      <c r="E35" s="200"/>
      <c r="F35" s="301"/>
      <c r="G35" s="301"/>
      <c r="H35" s="301"/>
      <c r="I35" s="301"/>
      <c r="J35" s="301"/>
      <c r="K35" s="301"/>
      <c r="L35" s="301"/>
      <c r="M35" s="301"/>
      <c r="N35" s="301"/>
      <c r="O35" s="301"/>
      <c r="P35" s="301"/>
      <c r="Q35" s="301"/>
      <c r="R35" s="301"/>
      <c r="S35" s="301"/>
      <c r="T35" s="301"/>
      <c r="U35" s="301"/>
      <c r="V35" s="301"/>
      <c r="W35" s="301"/>
      <c r="X35" s="301"/>
      <c r="Y35" s="301"/>
      <c r="Z35" s="301"/>
    </row>
    <row r="36" spans="1:26" ht="15.75" customHeight="1">
      <c r="A36" s="301"/>
      <c r="B36" s="306" t="s">
        <v>66</v>
      </c>
      <c r="C36" s="310"/>
      <c r="D36" s="309"/>
      <c r="E36" s="317">
        <f>E34</f>
        <v>2055.8658637801072</v>
      </c>
      <c r="F36" s="301"/>
      <c r="G36" s="196"/>
      <c r="H36" s="301"/>
      <c r="I36" s="301"/>
      <c r="J36" s="301"/>
      <c r="K36" s="301"/>
      <c r="L36" s="301"/>
      <c r="M36" s="301"/>
      <c r="N36" s="301"/>
      <c r="O36" s="301"/>
      <c r="P36" s="301"/>
      <c r="Q36" s="301"/>
      <c r="R36" s="301"/>
      <c r="S36" s="301"/>
      <c r="T36" s="301"/>
      <c r="U36" s="301"/>
      <c r="V36" s="301"/>
      <c r="W36" s="301"/>
      <c r="X36" s="301"/>
      <c r="Y36" s="301"/>
      <c r="Z36" s="301"/>
    </row>
    <row r="37" spans="1:26" ht="15.75" customHeight="1">
      <c r="A37" s="301"/>
      <c r="B37" s="301" t="s">
        <v>67</v>
      </c>
      <c r="C37" s="310">
        <f>F5-E28+E26+E10-F3+25.49</f>
        <v>2189.8919273922397</v>
      </c>
      <c r="D37" s="309">
        <v>0.08</v>
      </c>
      <c r="E37" s="200">
        <f>C37*D37</f>
        <v>175.19135419137919</v>
      </c>
      <c r="F37" s="301"/>
      <c r="G37" s="196"/>
      <c r="H37" s="301"/>
      <c r="I37" s="301"/>
      <c r="J37" s="301"/>
      <c r="K37" s="301"/>
      <c r="L37" s="301"/>
      <c r="M37" s="301"/>
      <c r="N37" s="301"/>
      <c r="O37" s="318">
        <v>25</v>
      </c>
      <c r="P37" s="301" t="s">
        <v>68</v>
      </c>
      <c r="Q37" s="301"/>
      <c r="R37" s="319">
        <v>40</v>
      </c>
      <c r="S37" s="301" t="s">
        <v>68</v>
      </c>
      <c r="T37" s="301"/>
      <c r="U37" s="301"/>
      <c r="V37" s="301"/>
      <c r="W37" s="301"/>
      <c r="X37" s="301"/>
      <c r="Y37" s="301"/>
      <c r="Z37" s="301"/>
    </row>
    <row r="38" spans="1:26" ht="15.75" customHeight="1">
      <c r="A38" s="301"/>
      <c r="B38" s="306"/>
      <c r="C38" s="310"/>
      <c r="D38" s="200"/>
      <c r="E38" s="196">
        <f>D38*C38</f>
        <v>0</v>
      </c>
      <c r="F38" s="301"/>
      <c r="G38" s="301"/>
      <c r="H38" s="301"/>
      <c r="I38" s="301"/>
      <c r="J38" s="301"/>
      <c r="K38" s="301"/>
      <c r="L38" s="301"/>
      <c r="M38" s="320">
        <v>48</v>
      </c>
      <c r="N38" s="200" t="s">
        <v>69</v>
      </c>
      <c r="O38" s="318">
        <v>10</v>
      </c>
      <c r="P38" s="200" t="s">
        <v>70</v>
      </c>
      <c r="Q38" s="301"/>
      <c r="R38" s="319">
        <v>6</v>
      </c>
      <c r="S38" s="200" t="s">
        <v>70</v>
      </c>
      <c r="T38" s="301"/>
      <c r="U38" s="301"/>
      <c r="V38" s="301"/>
      <c r="W38" s="301"/>
      <c r="X38" s="301"/>
      <c r="Y38" s="301"/>
      <c r="Z38" s="301"/>
    </row>
    <row r="39" spans="1:26" ht="15.75" customHeight="1">
      <c r="A39" s="301"/>
      <c r="B39" s="321" t="s">
        <v>71</v>
      </c>
      <c r="C39" s="322"/>
      <c r="D39" s="323"/>
      <c r="E39" s="324">
        <f>E36-E37-E38</f>
        <v>1880.6745095887281</v>
      </c>
      <c r="F39" s="301"/>
      <c r="G39" s="301"/>
      <c r="H39" s="301">
        <v>2472</v>
      </c>
      <c r="I39" s="196">
        <f>H39-E39</f>
        <v>591.32549041127186</v>
      </c>
      <c r="J39" s="301"/>
      <c r="K39" s="301"/>
      <c r="L39" s="301"/>
      <c r="M39" s="301"/>
      <c r="N39" s="325" t="s">
        <v>0</v>
      </c>
      <c r="O39" s="326"/>
      <c r="P39" s="301"/>
      <c r="Q39" s="301"/>
      <c r="R39" s="301"/>
      <c r="S39" s="301"/>
      <c r="T39" s="301"/>
      <c r="U39" s="301"/>
      <c r="V39" s="301"/>
      <c r="W39" s="301"/>
      <c r="X39" s="301"/>
      <c r="Y39" s="301"/>
      <c r="Z39" s="301"/>
    </row>
    <row r="40" spans="1:26" ht="15.75" customHeight="1">
      <c r="A40" s="301"/>
      <c r="B40" s="301"/>
      <c r="C40" s="310"/>
      <c r="D40" s="280"/>
      <c r="E40" s="301"/>
      <c r="F40" s="301"/>
      <c r="G40" s="301"/>
      <c r="H40" s="301"/>
      <c r="I40" s="301"/>
      <c r="J40" s="301"/>
      <c r="K40" s="301"/>
      <c r="L40" s="301"/>
      <c r="M40" s="327"/>
      <c r="N40" s="328">
        <f>M38*O37*O38+M38*R37*R38</f>
        <v>23520</v>
      </c>
      <c r="O40" s="200">
        <f>N40/4</f>
        <v>5880</v>
      </c>
      <c r="P40" s="205"/>
      <c r="Q40" s="301"/>
      <c r="R40" s="301"/>
      <c r="S40" s="301"/>
      <c r="T40" s="301"/>
      <c r="U40" s="301"/>
      <c r="V40" s="301"/>
      <c r="W40" s="301"/>
      <c r="X40" s="301"/>
      <c r="Y40" s="301"/>
      <c r="Z40" s="301"/>
    </row>
    <row r="41" spans="1:26" ht="15.75" customHeight="1">
      <c r="A41" s="301"/>
      <c r="B41" s="301"/>
      <c r="C41" s="301"/>
      <c r="D41" s="280"/>
      <c r="E41" s="196"/>
      <c r="F41" s="301"/>
      <c r="G41" s="301"/>
      <c r="H41" s="301"/>
      <c r="I41" s="301"/>
      <c r="J41" s="301"/>
      <c r="K41" s="301"/>
      <c r="L41" s="301"/>
      <c r="M41" s="301"/>
      <c r="N41" s="301"/>
      <c r="O41" s="301"/>
      <c r="P41" s="301"/>
      <c r="Q41" s="301"/>
      <c r="R41" s="301"/>
      <c r="S41" s="301"/>
      <c r="T41" s="301"/>
      <c r="U41" s="301"/>
      <c r="V41" s="301"/>
      <c r="W41" s="301"/>
      <c r="X41" s="301"/>
      <c r="Y41" s="301"/>
      <c r="Z41" s="301"/>
    </row>
    <row r="42" spans="1:26" ht="15.75" customHeight="1">
      <c r="A42" s="301"/>
      <c r="B42" s="200"/>
      <c r="C42" s="301"/>
      <c r="D42" s="301"/>
      <c r="E42" s="301"/>
      <c r="F42" s="301"/>
      <c r="G42" s="301"/>
      <c r="H42" s="301"/>
      <c r="I42" s="301"/>
      <c r="J42" s="301"/>
      <c r="K42" s="301"/>
      <c r="L42" s="301"/>
      <c r="M42" s="301"/>
      <c r="N42" s="301">
        <f>O37*O38+R37*R38</f>
        <v>490</v>
      </c>
      <c r="O42" s="301" t="s">
        <v>72</v>
      </c>
      <c r="P42" s="301"/>
      <c r="Q42" s="301"/>
      <c r="R42" s="301"/>
      <c r="S42" s="301"/>
      <c r="T42" s="301"/>
      <c r="U42" s="301"/>
      <c r="V42" s="301"/>
      <c r="W42" s="301"/>
      <c r="X42" s="301"/>
      <c r="Y42" s="301"/>
      <c r="Z42" s="301"/>
    </row>
    <row r="43" spans="1:26" ht="15.75" customHeight="1">
      <c r="A43" s="301"/>
      <c r="B43" s="301"/>
      <c r="C43" s="301"/>
      <c r="D43" s="301"/>
      <c r="E43" s="301"/>
      <c r="F43" s="301"/>
      <c r="G43" s="301"/>
      <c r="H43" s="301"/>
      <c r="I43" s="301"/>
      <c r="J43" s="301"/>
      <c r="K43" s="301"/>
      <c r="L43" s="301"/>
      <c r="M43" s="301"/>
      <c r="N43" s="196">
        <f>N40/O43</f>
        <v>7280.1599999999989</v>
      </c>
      <c r="O43" s="310">
        <f>N42/151.67</f>
        <v>3.2306982264126067</v>
      </c>
      <c r="P43" s="301"/>
      <c r="Q43" s="301"/>
      <c r="R43" s="301"/>
      <c r="S43" s="301"/>
      <c r="T43" s="301"/>
      <c r="U43" s="301"/>
      <c r="V43" s="301"/>
      <c r="W43" s="301"/>
      <c r="X43" s="301"/>
      <c r="Y43" s="301"/>
      <c r="Z43" s="301"/>
    </row>
    <row r="44" spans="1:26" ht="15.75" customHeight="1">
      <c r="A44" s="301"/>
      <c r="B44" s="301"/>
      <c r="C44" s="301"/>
      <c r="D44" s="301"/>
      <c r="E44" s="324">
        <f>E39-E41</f>
        <v>1880.6745095887281</v>
      </c>
      <c r="F44" s="301"/>
      <c r="G44" s="200"/>
      <c r="H44" s="301"/>
      <c r="I44" s="196"/>
      <c r="J44" s="301"/>
      <c r="K44" s="301"/>
      <c r="L44" s="301"/>
      <c r="M44" s="301"/>
      <c r="N44" s="317">
        <f>N43*45/100</f>
        <v>3276.0719999999997</v>
      </c>
      <c r="O44" s="301" t="s">
        <v>73</v>
      </c>
      <c r="P44" s="301"/>
      <c r="Q44" s="301"/>
      <c r="R44" s="301"/>
      <c r="S44" s="301"/>
      <c r="T44" s="301"/>
      <c r="U44" s="301"/>
      <c r="V44" s="301"/>
      <c r="W44" s="301"/>
      <c r="X44" s="301"/>
      <c r="Y44" s="301"/>
      <c r="Z44" s="301"/>
    </row>
    <row r="45" spans="1:26" ht="15.75" customHeight="1">
      <c r="A45" s="301"/>
      <c r="B45" s="301"/>
      <c r="C45" s="301"/>
      <c r="D45" s="301"/>
      <c r="E45" s="301"/>
      <c r="F45" s="301"/>
      <c r="G45" s="301"/>
      <c r="H45" s="301"/>
      <c r="I45" s="301"/>
      <c r="J45" s="301"/>
      <c r="K45" s="301"/>
      <c r="L45" s="301"/>
      <c r="M45" s="301"/>
      <c r="N45" s="301"/>
      <c r="O45" s="301"/>
      <c r="P45" s="301"/>
      <c r="Q45" s="301"/>
      <c r="R45" s="301"/>
      <c r="S45" s="301"/>
      <c r="T45" s="301"/>
      <c r="U45" s="301"/>
      <c r="V45" s="301"/>
      <c r="W45" s="301"/>
      <c r="X45" s="301"/>
      <c r="Y45" s="301"/>
      <c r="Z45" s="301"/>
    </row>
    <row r="46" spans="1:26" ht="15.75" customHeight="1">
      <c r="A46" s="301"/>
      <c r="B46" s="301"/>
      <c r="C46" s="301"/>
      <c r="D46" s="301"/>
      <c r="E46" s="301"/>
      <c r="F46" s="301"/>
      <c r="G46" s="301"/>
      <c r="H46" s="301"/>
      <c r="I46" s="301"/>
      <c r="J46" s="301"/>
      <c r="K46" s="301"/>
      <c r="L46" s="301"/>
      <c r="M46" s="301"/>
      <c r="N46" s="301"/>
      <c r="O46" s="301"/>
      <c r="P46" s="301"/>
      <c r="Q46" s="301"/>
      <c r="R46" s="301"/>
      <c r="S46" s="301"/>
      <c r="T46" s="301"/>
      <c r="U46" s="301"/>
      <c r="V46" s="301"/>
      <c r="W46" s="301"/>
      <c r="X46" s="301"/>
      <c r="Y46" s="301"/>
      <c r="Z46" s="301"/>
    </row>
    <row r="47" spans="1:26" ht="15.75" customHeight="1">
      <c r="A47" s="301"/>
      <c r="B47" s="301"/>
      <c r="C47" s="301" t="s">
        <v>74</v>
      </c>
      <c r="D47" s="301"/>
      <c r="E47" s="301"/>
      <c r="F47" s="301"/>
      <c r="G47" s="301"/>
      <c r="H47" s="301"/>
      <c r="I47" s="301"/>
      <c r="J47" s="301"/>
      <c r="K47" s="301"/>
      <c r="L47" s="301"/>
      <c r="M47" s="301"/>
      <c r="N47" s="301"/>
      <c r="O47" s="301"/>
      <c r="P47" s="301"/>
      <c r="Q47" s="301"/>
      <c r="R47" s="301"/>
      <c r="S47" s="301"/>
      <c r="T47" s="301"/>
      <c r="U47" s="301"/>
      <c r="V47" s="301"/>
      <c r="W47" s="301"/>
      <c r="X47" s="301"/>
      <c r="Y47" s="301"/>
      <c r="Z47" s="301"/>
    </row>
    <row r="48" spans="1:26" ht="15.75" customHeight="1">
      <c r="A48" s="301"/>
      <c r="B48" s="308">
        <f>E48*12</f>
        <v>41679.649439999994</v>
      </c>
      <c r="C48" s="301"/>
      <c r="D48" s="301"/>
      <c r="E48" s="329">
        <f>I28+F5</f>
        <v>3473.3041199999998</v>
      </c>
      <c r="F48" s="301"/>
      <c r="G48" s="205">
        <f>E39/(F5+I28)</f>
        <v>0.54146554537491187</v>
      </c>
      <c r="H48" s="301"/>
      <c r="I48" s="301"/>
      <c r="J48" s="301"/>
      <c r="K48" s="301"/>
      <c r="L48" s="301"/>
      <c r="M48" s="301"/>
      <c r="N48" s="301"/>
      <c r="O48" s="301"/>
      <c r="P48" s="301"/>
      <c r="Q48" s="301"/>
      <c r="R48" s="301"/>
      <c r="S48" s="301"/>
      <c r="T48" s="301"/>
      <c r="U48" s="301"/>
      <c r="V48" s="301"/>
      <c r="W48" s="301"/>
      <c r="X48" s="301"/>
      <c r="Y48" s="301"/>
      <c r="Z48" s="301"/>
    </row>
    <row r="49" spans="1:26" ht="15.75" customHeight="1">
      <c r="A49" s="301"/>
      <c r="B49" s="301"/>
      <c r="C49" s="301"/>
      <c r="D49" s="301"/>
      <c r="E49" s="301"/>
      <c r="F49" s="301"/>
      <c r="G49" s="301"/>
      <c r="H49" s="301"/>
      <c r="I49" s="301"/>
      <c r="J49" s="301"/>
      <c r="K49" s="301"/>
      <c r="L49" s="301"/>
      <c r="M49" s="301"/>
      <c r="N49" s="301"/>
      <c r="O49" s="301"/>
      <c r="P49" s="301"/>
      <c r="Q49" s="301"/>
      <c r="R49" s="301"/>
      <c r="S49" s="301"/>
      <c r="T49" s="301"/>
      <c r="U49" s="301"/>
      <c r="V49" s="301"/>
      <c r="W49" s="301"/>
      <c r="X49" s="301"/>
      <c r="Y49" s="301"/>
      <c r="Z49" s="301"/>
    </row>
    <row r="50" spans="1:26" ht="15.75" customHeight="1">
      <c r="A50" s="301"/>
      <c r="B50" s="301"/>
      <c r="C50" s="301"/>
      <c r="D50" s="301"/>
      <c r="E50" s="308">
        <f>E48/(C2+C3)</f>
        <v>22.900402980154283</v>
      </c>
      <c r="F50" s="308"/>
      <c r="G50" s="301"/>
      <c r="H50" s="301"/>
      <c r="I50" s="196">
        <f>M38*151.67</f>
        <v>7280.16</v>
      </c>
      <c r="J50" s="301"/>
      <c r="K50" s="301"/>
      <c r="L50" s="301"/>
      <c r="M50" s="301"/>
      <c r="N50" s="301"/>
      <c r="O50" s="301"/>
      <c r="P50" s="301"/>
      <c r="Q50" s="301"/>
      <c r="R50" s="301"/>
      <c r="S50" s="301"/>
      <c r="T50" s="301"/>
      <c r="U50" s="301"/>
      <c r="V50" s="301"/>
      <c r="W50" s="301"/>
      <c r="X50" s="301"/>
      <c r="Y50" s="301"/>
      <c r="Z50" s="301"/>
    </row>
    <row r="51" spans="1:26" ht="15.75" customHeight="1">
      <c r="A51" s="301"/>
      <c r="B51" s="301"/>
      <c r="C51" s="301"/>
      <c r="D51" s="301"/>
      <c r="E51" s="301"/>
      <c r="F51" s="301"/>
      <c r="G51" s="301"/>
      <c r="H51" s="301"/>
      <c r="I51" s="301"/>
      <c r="J51" s="301"/>
      <c r="K51" s="301"/>
      <c r="L51" s="301"/>
      <c r="M51" s="301"/>
      <c r="N51" s="301"/>
      <c r="O51" s="301"/>
      <c r="P51" s="301"/>
      <c r="Q51" s="301"/>
      <c r="R51" s="301"/>
      <c r="S51" s="301"/>
      <c r="T51" s="301"/>
      <c r="U51" s="301"/>
      <c r="V51" s="301"/>
      <c r="W51" s="301"/>
      <c r="X51" s="301"/>
      <c r="Y51" s="301"/>
      <c r="Z51" s="301"/>
    </row>
    <row r="52" spans="1:26" ht="15.75" customHeight="1">
      <c r="A52" s="301"/>
      <c r="B52" s="301"/>
      <c r="C52" s="301"/>
      <c r="D52" s="301"/>
      <c r="E52" s="308">
        <f>E50*1.2</f>
        <v>27.48048357618514</v>
      </c>
      <c r="F52" s="221">
        <v>0.2</v>
      </c>
      <c r="G52" s="301"/>
      <c r="H52" s="301"/>
      <c r="I52" s="301"/>
      <c r="J52" s="301"/>
      <c r="K52" s="301"/>
      <c r="L52" s="301"/>
      <c r="M52" s="301"/>
      <c r="N52" s="301"/>
      <c r="O52" s="301"/>
      <c r="P52" s="301"/>
      <c r="Q52" s="301"/>
      <c r="R52" s="301"/>
      <c r="S52" s="301"/>
      <c r="T52" s="301"/>
      <c r="U52" s="301"/>
      <c r="V52" s="301"/>
      <c r="W52" s="301"/>
      <c r="X52" s="301"/>
      <c r="Y52" s="301"/>
      <c r="Z52" s="301"/>
    </row>
    <row r="53" spans="1:26" ht="15.75" customHeight="1">
      <c r="A53" s="301"/>
      <c r="B53" s="301"/>
      <c r="C53" s="301"/>
      <c r="D53" s="301"/>
      <c r="E53" s="308">
        <f>E50*1.16</f>
        <v>26.564467456978967</v>
      </c>
      <c r="F53" s="221">
        <v>0.16</v>
      </c>
      <c r="G53" s="301"/>
      <c r="H53" s="301"/>
      <c r="I53" s="301"/>
      <c r="J53" s="301"/>
      <c r="K53" s="301"/>
      <c r="L53" s="301"/>
      <c r="M53" s="301"/>
      <c r="N53" s="301"/>
      <c r="O53" s="301"/>
      <c r="P53" s="301"/>
      <c r="Q53" s="301"/>
      <c r="R53" s="301"/>
      <c r="S53" s="301"/>
      <c r="T53" s="301"/>
      <c r="U53" s="301"/>
      <c r="V53" s="301"/>
      <c r="W53" s="301"/>
      <c r="X53" s="301"/>
      <c r="Y53" s="301"/>
      <c r="Z53" s="301"/>
    </row>
    <row r="54" spans="1:26" ht="15.75" customHeight="1">
      <c r="A54" s="301"/>
      <c r="B54" s="301"/>
      <c r="C54" s="301"/>
      <c r="D54" s="301"/>
      <c r="E54" s="301"/>
      <c r="F54" s="301"/>
      <c r="G54" s="301"/>
      <c r="H54" s="301"/>
      <c r="I54" s="301"/>
      <c r="J54" s="301"/>
      <c r="K54" s="301"/>
      <c r="L54" s="301"/>
      <c r="M54" s="301"/>
      <c r="N54" s="301"/>
      <c r="O54" s="301"/>
      <c r="P54" s="301"/>
      <c r="Q54" s="301"/>
      <c r="R54" s="301"/>
      <c r="S54" s="301"/>
      <c r="T54" s="301"/>
      <c r="U54" s="301"/>
      <c r="V54" s="301"/>
      <c r="W54" s="301"/>
      <c r="X54" s="301"/>
      <c r="Y54" s="301"/>
      <c r="Z54" s="301"/>
    </row>
    <row r="55" spans="1:26" ht="15.75" customHeight="1">
      <c r="A55" s="301"/>
      <c r="B55" s="301"/>
      <c r="C55" s="301"/>
      <c r="D55" s="301"/>
      <c r="E55" s="301"/>
      <c r="F55" s="301"/>
      <c r="G55" s="301"/>
      <c r="H55" s="301"/>
      <c r="I55" s="301"/>
      <c r="J55" s="301"/>
      <c r="K55" s="301"/>
      <c r="L55" s="301"/>
      <c r="M55" s="301"/>
      <c r="N55" s="301"/>
      <c r="O55" s="301"/>
      <c r="P55" s="301"/>
      <c r="Q55" s="301"/>
      <c r="R55" s="301"/>
      <c r="S55" s="301"/>
      <c r="T55" s="301"/>
      <c r="U55" s="301"/>
      <c r="V55" s="301"/>
      <c r="W55" s="301"/>
      <c r="X55" s="301"/>
      <c r="Y55" s="301"/>
      <c r="Z55" s="301"/>
    </row>
    <row r="56" spans="1:26" ht="15.75" customHeight="1">
      <c r="A56" s="301"/>
      <c r="B56" s="301"/>
      <c r="C56" s="301"/>
      <c r="D56" s="301"/>
      <c r="E56" s="301"/>
      <c r="F56" s="301"/>
      <c r="G56" s="301"/>
      <c r="H56" s="301"/>
      <c r="I56" s="301"/>
      <c r="J56" s="301"/>
      <c r="K56" s="301"/>
      <c r="L56" s="301"/>
      <c r="M56" s="301"/>
      <c r="N56" s="301"/>
      <c r="O56" s="301"/>
      <c r="P56" s="301"/>
      <c r="Q56" s="301"/>
      <c r="R56" s="301"/>
      <c r="S56" s="301"/>
      <c r="T56" s="301"/>
      <c r="U56" s="301"/>
      <c r="V56" s="301"/>
      <c r="W56" s="301"/>
      <c r="X56" s="301"/>
      <c r="Y56" s="301"/>
      <c r="Z56" s="301"/>
    </row>
    <row r="57" spans="1:26" ht="15.75" customHeight="1">
      <c r="A57" s="301"/>
      <c r="B57" s="301"/>
      <c r="C57" s="301"/>
      <c r="D57" s="301"/>
      <c r="E57" s="301"/>
      <c r="F57" s="301"/>
      <c r="G57" s="301"/>
      <c r="H57" s="301"/>
      <c r="I57" s="301"/>
      <c r="J57" s="301"/>
      <c r="K57" s="301"/>
      <c r="L57" s="301"/>
      <c r="M57" s="301"/>
      <c r="N57" s="301"/>
      <c r="O57" s="301"/>
      <c r="P57" s="301"/>
      <c r="Q57" s="301"/>
      <c r="R57" s="301"/>
      <c r="S57" s="301"/>
      <c r="T57" s="301"/>
      <c r="U57" s="301"/>
      <c r="V57" s="301"/>
      <c r="W57" s="301"/>
      <c r="X57" s="301"/>
      <c r="Y57" s="301"/>
      <c r="Z57" s="301"/>
    </row>
    <row r="58" spans="1:26" ht="15.75" customHeight="1">
      <c r="A58" s="301"/>
      <c r="B58" s="301"/>
      <c r="C58" s="301"/>
      <c r="D58" s="301"/>
      <c r="E58" s="301"/>
      <c r="F58" s="301"/>
      <c r="G58" s="301"/>
      <c r="H58" s="301"/>
      <c r="I58" s="301"/>
      <c r="J58" s="301"/>
      <c r="K58" s="301"/>
      <c r="L58" s="301"/>
      <c r="M58" s="301"/>
      <c r="N58" s="301"/>
      <c r="O58" s="301"/>
      <c r="P58" s="301"/>
      <c r="Q58" s="301"/>
      <c r="R58" s="301"/>
      <c r="S58" s="301"/>
      <c r="T58" s="301"/>
      <c r="U58" s="301"/>
      <c r="V58" s="301"/>
      <c r="W58" s="301"/>
      <c r="X58" s="301"/>
      <c r="Y58" s="301"/>
      <c r="Z58" s="301"/>
    </row>
    <row r="59" spans="1:26" ht="15.75" customHeight="1">
      <c r="A59" s="301"/>
      <c r="B59" s="301"/>
      <c r="C59" s="301"/>
      <c r="D59" s="301"/>
      <c r="E59" s="301"/>
      <c r="F59" s="301"/>
      <c r="G59" s="301"/>
      <c r="H59" s="301"/>
      <c r="I59" s="301"/>
      <c r="J59" s="301"/>
      <c r="K59" s="301"/>
      <c r="L59" s="301"/>
      <c r="M59" s="301"/>
      <c r="N59" s="301"/>
      <c r="O59" s="301"/>
      <c r="P59" s="301"/>
      <c r="Q59" s="301"/>
      <c r="R59" s="301"/>
      <c r="S59" s="301"/>
      <c r="T59" s="301"/>
      <c r="U59" s="301"/>
      <c r="V59" s="301"/>
      <c r="W59" s="301"/>
      <c r="X59" s="301"/>
      <c r="Y59" s="301"/>
      <c r="Z59" s="301"/>
    </row>
    <row r="60" spans="1:26" ht="15.75" customHeight="1">
      <c r="A60" s="301"/>
      <c r="B60" s="301"/>
      <c r="C60" s="301"/>
      <c r="D60" s="301"/>
      <c r="E60" s="301"/>
      <c r="F60" s="301"/>
      <c r="G60" s="301"/>
      <c r="H60" s="301"/>
      <c r="I60" s="301"/>
      <c r="J60" s="301"/>
      <c r="K60" s="301"/>
      <c r="L60" s="301"/>
      <c r="M60" s="301"/>
      <c r="N60" s="301"/>
      <c r="O60" s="301"/>
      <c r="P60" s="301"/>
      <c r="Q60" s="301"/>
      <c r="R60" s="301"/>
      <c r="S60" s="301"/>
      <c r="T60" s="301"/>
      <c r="U60" s="301"/>
      <c r="V60" s="301"/>
      <c r="W60" s="301"/>
      <c r="X60" s="301"/>
      <c r="Y60" s="301"/>
      <c r="Z60" s="301"/>
    </row>
    <row r="61" spans="1:26" ht="15.75" customHeight="1">
      <c r="A61" s="301"/>
      <c r="B61" s="301"/>
      <c r="C61" s="301"/>
      <c r="D61" s="301"/>
      <c r="E61" s="301"/>
      <c r="F61" s="301"/>
      <c r="G61" s="301"/>
      <c r="H61" s="301"/>
      <c r="I61" s="301"/>
      <c r="J61" s="301"/>
      <c r="K61" s="301"/>
      <c r="L61" s="301"/>
      <c r="M61" s="301"/>
      <c r="N61" s="301"/>
      <c r="O61" s="301"/>
      <c r="P61" s="301"/>
      <c r="Q61" s="301"/>
      <c r="R61" s="301"/>
      <c r="S61" s="301"/>
      <c r="T61" s="301"/>
      <c r="U61" s="301"/>
      <c r="V61" s="301"/>
      <c r="W61" s="301"/>
      <c r="X61" s="301"/>
      <c r="Y61" s="301"/>
      <c r="Z61" s="301"/>
    </row>
    <row r="62" spans="1:26" ht="15.75" customHeight="1">
      <c r="A62" s="301"/>
      <c r="B62" s="301"/>
      <c r="C62" s="301"/>
      <c r="D62" s="301"/>
      <c r="E62" s="301"/>
      <c r="F62" s="301"/>
      <c r="G62" s="301"/>
      <c r="H62" s="301"/>
      <c r="I62" s="301"/>
      <c r="J62" s="301"/>
      <c r="K62" s="301"/>
      <c r="L62" s="301"/>
      <c r="M62" s="301"/>
      <c r="N62" s="301"/>
      <c r="O62" s="301"/>
      <c r="P62" s="301"/>
      <c r="Q62" s="301"/>
      <c r="R62" s="301"/>
      <c r="S62" s="301"/>
      <c r="T62" s="301"/>
      <c r="U62" s="301"/>
      <c r="V62" s="301"/>
      <c r="W62" s="301"/>
      <c r="X62" s="301"/>
      <c r="Y62" s="301"/>
      <c r="Z62" s="301"/>
    </row>
    <row r="63" spans="1:26" ht="15.75" customHeight="1">
      <c r="A63" s="301"/>
      <c r="B63" s="301"/>
      <c r="C63" s="301"/>
      <c r="D63" s="301"/>
      <c r="E63" s="301"/>
      <c r="F63" s="301"/>
      <c r="G63" s="301"/>
      <c r="H63" s="301"/>
      <c r="I63" s="301"/>
      <c r="J63" s="301"/>
      <c r="K63" s="301"/>
      <c r="L63" s="301"/>
      <c r="M63" s="301"/>
      <c r="N63" s="301"/>
      <c r="O63" s="301"/>
      <c r="P63" s="301"/>
      <c r="Q63" s="301"/>
      <c r="R63" s="301"/>
      <c r="S63" s="301"/>
      <c r="T63" s="301"/>
      <c r="U63" s="301"/>
      <c r="V63" s="301"/>
      <c r="W63" s="301"/>
      <c r="X63" s="301"/>
      <c r="Y63" s="301"/>
      <c r="Z63" s="301"/>
    </row>
    <row r="64" spans="1:26" ht="15.75" customHeight="1">
      <c r="A64" s="301"/>
      <c r="B64" s="301"/>
      <c r="C64" s="301"/>
      <c r="D64" s="301"/>
      <c r="E64" s="301"/>
      <c r="F64" s="301"/>
      <c r="G64" s="301"/>
      <c r="H64" s="301"/>
      <c r="I64" s="301"/>
      <c r="J64" s="301"/>
      <c r="K64" s="301"/>
      <c r="L64" s="301"/>
      <c r="M64" s="301"/>
      <c r="N64" s="301"/>
      <c r="O64" s="301"/>
      <c r="P64" s="301"/>
      <c r="Q64" s="301"/>
      <c r="R64" s="301"/>
      <c r="S64" s="301"/>
      <c r="T64" s="301"/>
      <c r="U64" s="301"/>
      <c r="V64" s="301"/>
      <c r="W64" s="301"/>
      <c r="X64" s="301"/>
      <c r="Y64" s="301"/>
      <c r="Z64" s="301"/>
    </row>
    <row r="65" spans="1:26" ht="15.75" customHeight="1">
      <c r="A65" s="301"/>
      <c r="B65" s="301"/>
      <c r="C65" s="301"/>
      <c r="D65" s="301"/>
      <c r="E65" s="301"/>
      <c r="F65" s="301"/>
      <c r="G65" s="301"/>
      <c r="H65" s="301"/>
      <c r="I65" s="301"/>
      <c r="J65" s="301"/>
      <c r="K65" s="301"/>
      <c r="L65" s="301"/>
      <c r="M65" s="301"/>
      <c r="N65" s="301"/>
      <c r="O65" s="301"/>
      <c r="P65" s="301"/>
      <c r="Q65" s="301"/>
      <c r="R65" s="301"/>
      <c r="S65" s="301"/>
      <c r="T65" s="301"/>
      <c r="U65" s="301"/>
      <c r="V65" s="301"/>
      <c r="W65" s="301"/>
      <c r="X65" s="301"/>
      <c r="Y65" s="301"/>
      <c r="Z65" s="301"/>
    </row>
    <row r="66" spans="1:26" ht="15.75" customHeight="1">
      <c r="A66" s="301"/>
      <c r="B66" s="301"/>
      <c r="C66" s="301"/>
      <c r="D66" s="301"/>
      <c r="E66" s="301"/>
      <c r="F66" s="301"/>
      <c r="G66" s="301"/>
      <c r="H66" s="301"/>
      <c r="I66" s="301"/>
      <c r="J66" s="301"/>
      <c r="K66" s="301"/>
      <c r="L66" s="301"/>
      <c r="M66" s="301"/>
      <c r="N66" s="301"/>
      <c r="O66" s="301"/>
      <c r="P66" s="301"/>
      <c r="Q66" s="301"/>
      <c r="R66" s="301"/>
      <c r="S66" s="301"/>
      <c r="T66" s="301"/>
      <c r="U66" s="301"/>
      <c r="V66" s="301"/>
      <c r="W66" s="301"/>
      <c r="X66" s="301"/>
      <c r="Y66" s="301"/>
      <c r="Z66" s="301"/>
    </row>
    <row r="67" spans="1:26" ht="15.75" customHeight="1">
      <c r="A67" s="301"/>
      <c r="B67" s="301"/>
      <c r="C67" s="301"/>
      <c r="D67" s="301"/>
      <c r="E67" s="301"/>
      <c r="F67" s="301"/>
      <c r="G67" s="301"/>
      <c r="H67" s="301"/>
      <c r="I67" s="301"/>
      <c r="J67" s="301"/>
      <c r="K67" s="301"/>
      <c r="L67" s="301"/>
      <c r="M67" s="301"/>
      <c r="N67" s="301"/>
      <c r="O67" s="301"/>
      <c r="P67" s="301"/>
      <c r="Q67" s="301"/>
      <c r="R67" s="301"/>
      <c r="S67" s="301"/>
      <c r="T67" s="301"/>
      <c r="U67" s="301"/>
      <c r="V67" s="301"/>
      <c r="W67" s="301"/>
      <c r="X67" s="301"/>
      <c r="Y67" s="301"/>
      <c r="Z67" s="301"/>
    </row>
    <row r="68" spans="1:26" ht="15.75" customHeight="1">
      <c r="A68" s="301"/>
      <c r="B68" s="301"/>
      <c r="C68" s="301"/>
      <c r="D68" s="301"/>
      <c r="E68" s="301"/>
      <c r="F68" s="301"/>
      <c r="G68" s="301"/>
      <c r="H68" s="301"/>
      <c r="I68" s="301"/>
      <c r="J68" s="301"/>
      <c r="K68" s="301"/>
      <c r="L68" s="301"/>
      <c r="M68" s="301"/>
      <c r="N68" s="301"/>
      <c r="O68" s="301"/>
      <c r="P68" s="301"/>
      <c r="Q68" s="301"/>
      <c r="R68" s="301"/>
      <c r="S68" s="301"/>
      <c r="T68" s="301"/>
      <c r="U68" s="301"/>
      <c r="V68" s="301"/>
      <c r="W68" s="301"/>
      <c r="X68" s="301"/>
      <c r="Y68" s="301"/>
      <c r="Z68" s="301"/>
    </row>
    <row r="69" spans="1:26" ht="15.75" customHeight="1">
      <c r="A69" s="301"/>
      <c r="B69" s="301"/>
      <c r="C69" s="301"/>
      <c r="D69" s="301"/>
      <c r="E69" s="301"/>
      <c r="F69" s="301"/>
      <c r="G69" s="301"/>
      <c r="H69" s="301"/>
      <c r="I69" s="301"/>
      <c r="J69" s="301"/>
      <c r="K69" s="301"/>
      <c r="L69" s="301"/>
      <c r="M69" s="301"/>
      <c r="N69" s="301"/>
      <c r="O69" s="301"/>
      <c r="P69" s="301"/>
      <c r="Q69" s="301"/>
      <c r="R69" s="301"/>
      <c r="S69" s="301"/>
      <c r="T69" s="301"/>
      <c r="U69" s="301"/>
      <c r="V69" s="301"/>
      <c r="W69" s="301"/>
      <c r="X69" s="301"/>
      <c r="Y69" s="301"/>
      <c r="Z69" s="301"/>
    </row>
    <row r="70" spans="1:26" ht="15.75" customHeight="1">
      <c r="A70" s="301"/>
      <c r="B70" s="301"/>
      <c r="C70" s="301"/>
      <c r="D70" s="301"/>
      <c r="E70" s="301"/>
      <c r="F70" s="301"/>
      <c r="G70" s="301"/>
      <c r="H70" s="301"/>
      <c r="I70" s="301"/>
      <c r="J70" s="301"/>
      <c r="K70" s="301"/>
      <c r="L70" s="301"/>
      <c r="M70" s="301"/>
      <c r="N70" s="301"/>
      <c r="O70" s="301"/>
      <c r="P70" s="301"/>
      <c r="Q70" s="301"/>
      <c r="R70" s="301"/>
      <c r="S70" s="301"/>
      <c r="T70" s="301"/>
      <c r="U70" s="301"/>
      <c r="V70" s="301"/>
      <c r="W70" s="301"/>
      <c r="X70" s="301"/>
      <c r="Y70" s="301"/>
      <c r="Z70" s="301"/>
    </row>
    <row r="71" spans="1:26" ht="15.75" customHeight="1">
      <c r="A71" s="301"/>
      <c r="B71" s="301"/>
      <c r="C71" s="301"/>
      <c r="D71" s="301"/>
      <c r="E71" s="301"/>
      <c r="F71" s="301"/>
      <c r="G71" s="301"/>
      <c r="H71" s="301"/>
      <c r="I71" s="301"/>
      <c r="J71" s="301"/>
      <c r="K71" s="301"/>
      <c r="L71" s="301"/>
      <c r="M71" s="301"/>
      <c r="N71" s="301"/>
      <c r="O71" s="301"/>
      <c r="P71" s="301"/>
      <c r="Q71" s="301"/>
      <c r="R71" s="301"/>
      <c r="S71" s="301"/>
      <c r="T71" s="301"/>
      <c r="U71" s="301"/>
      <c r="V71" s="301"/>
      <c r="W71" s="301"/>
      <c r="X71" s="301"/>
      <c r="Y71" s="301"/>
      <c r="Z71" s="301"/>
    </row>
    <row r="72" spans="1:26" ht="15.75" customHeight="1">
      <c r="A72" s="301"/>
      <c r="B72" s="301"/>
      <c r="C72" s="301"/>
      <c r="D72" s="301"/>
      <c r="E72" s="301"/>
      <c r="F72" s="301"/>
      <c r="G72" s="301"/>
      <c r="H72" s="301"/>
      <c r="I72" s="301"/>
      <c r="J72" s="301"/>
      <c r="K72" s="301"/>
      <c r="L72" s="301"/>
      <c r="M72" s="301"/>
      <c r="N72" s="301"/>
      <c r="O72" s="301"/>
      <c r="P72" s="301"/>
      <c r="Q72" s="301"/>
      <c r="R72" s="301"/>
      <c r="S72" s="301"/>
      <c r="T72" s="301"/>
      <c r="U72" s="301"/>
      <c r="V72" s="301"/>
      <c r="W72" s="301"/>
      <c r="X72" s="301"/>
      <c r="Y72" s="301"/>
      <c r="Z72" s="301"/>
    </row>
    <row r="73" spans="1:26" ht="15.75" customHeight="1">
      <c r="A73" s="301"/>
      <c r="B73" s="301"/>
      <c r="C73" s="301"/>
      <c r="D73" s="301"/>
      <c r="E73" s="301"/>
      <c r="F73" s="301"/>
      <c r="G73" s="301"/>
      <c r="H73" s="301"/>
      <c r="I73" s="301"/>
      <c r="J73" s="301"/>
      <c r="K73" s="301"/>
      <c r="L73" s="301"/>
      <c r="M73" s="301"/>
      <c r="N73" s="301"/>
      <c r="O73" s="301"/>
      <c r="P73" s="301"/>
      <c r="Q73" s="301"/>
      <c r="R73" s="301"/>
      <c r="S73" s="301"/>
      <c r="T73" s="301"/>
      <c r="U73" s="301"/>
      <c r="V73" s="301"/>
      <c r="W73" s="301"/>
      <c r="X73" s="301"/>
      <c r="Y73" s="301"/>
      <c r="Z73" s="301"/>
    </row>
    <row r="74" spans="1:26" ht="15.75" customHeight="1">
      <c r="A74" s="301"/>
      <c r="B74" s="301"/>
      <c r="C74" s="301"/>
      <c r="D74" s="301"/>
      <c r="E74" s="301"/>
      <c r="F74" s="301"/>
      <c r="G74" s="301"/>
      <c r="H74" s="301"/>
      <c r="I74" s="301"/>
      <c r="J74" s="301"/>
      <c r="K74" s="301"/>
      <c r="L74" s="301"/>
      <c r="M74" s="301"/>
      <c r="N74" s="301"/>
      <c r="O74" s="301"/>
      <c r="P74" s="301"/>
      <c r="Q74" s="301"/>
      <c r="R74" s="301"/>
      <c r="S74" s="301"/>
      <c r="T74" s="301"/>
      <c r="U74" s="301"/>
      <c r="V74" s="301"/>
      <c r="W74" s="301"/>
      <c r="X74" s="301"/>
      <c r="Y74" s="301"/>
      <c r="Z74" s="301"/>
    </row>
    <row r="75" spans="1:26" ht="15.75" customHeight="1">
      <c r="A75" s="301"/>
      <c r="B75" s="301"/>
      <c r="C75" s="301"/>
      <c r="D75" s="301"/>
      <c r="E75" s="301"/>
      <c r="F75" s="301"/>
      <c r="G75" s="301"/>
      <c r="H75" s="301"/>
      <c r="I75" s="301"/>
      <c r="J75" s="301"/>
      <c r="K75" s="301"/>
      <c r="L75" s="301"/>
      <c r="M75" s="301"/>
      <c r="N75" s="301"/>
      <c r="O75" s="301"/>
      <c r="P75" s="301"/>
      <c r="Q75" s="301"/>
      <c r="R75" s="301"/>
      <c r="S75" s="301"/>
      <c r="T75" s="301"/>
      <c r="U75" s="301"/>
      <c r="V75" s="301"/>
      <c r="W75" s="301"/>
      <c r="X75" s="301"/>
      <c r="Y75" s="301"/>
      <c r="Z75" s="301"/>
    </row>
    <row r="76" spans="1:26" ht="15.75" customHeight="1">
      <c r="A76" s="301"/>
      <c r="B76" s="301"/>
      <c r="C76" s="301"/>
      <c r="D76" s="301"/>
      <c r="E76" s="301"/>
      <c r="F76" s="301"/>
      <c r="G76" s="301"/>
      <c r="H76" s="301"/>
      <c r="I76" s="301"/>
      <c r="J76" s="301"/>
      <c r="K76" s="301"/>
      <c r="L76" s="301"/>
      <c r="M76" s="301"/>
      <c r="N76" s="301"/>
      <c r="O76" s="301"/>
      <c r="P76" s="301"/>
      <c r="Q76" s="301"/>
      <c r="R76" s="301"/>
      <c r="S76" s="301"/>
      <c r="T76" s="301"/>
      <c r="U76" s="301"/>
      <c r="V76" s="301"/>
      <c r="W76" s="301"/>
      <c r="X76" s="301"/>
      <c r="Y76" s="301"/>
      <c r="Z76" s="301"/>
    </row>
    <row r="77" spans="1:26" ht="15.75" customHeight="1">
      <c r="A77" s="301"/>
      <c r="B77" s="301"/>
      <c r="C77" s="301"/>
      <c r="D77" s="301"/>
      <c r="E77" s="301"/>
      <c r="F77" s="301"/>
      <c r="G77" s="301"/>
      <c r="H77" s="301"/>
      <c r="I77" s="301"/>
      <c r="J77" s="301"/>
      <c r="K77" s="301"/>
      <c r="L77" s="301"/>
      <c r="M77" s="301"/>
      <c r="N77" s="301"/>
      <c r="O77" s="301"/>
      <c r="P77" s="301"/>
      <c r="Q77" s="301"/>
      <c r="R77" s="301"/>
      <c r="S77" s="301"/>
      <c r="T77" s="301"/>
      <c r="U77" s="301"/>
      <c r="V77" s="301"/>
      <c r="W77" s="301"/>
      <c r="X77" s="301"/>
      <c r="Y77" s="301"/>
      <c r="Z77" s="301"/>
    </row>
    <row r="78" spans="1:26" ht="15.75" customHeight="1">
      <c r="A78" s="301"/>
      <c r="B78" s="301"/>
      <c r="C78" s="301"/>
      <c r="D78" s="301"/>
      <c r="E78" s="301"/>
      <c r="F78" s="301"/>
      <c r="G78" s="301"/>
      <c r="H78" s="301"/>
      <c r="I78" s="301"/>
      <c r="J78" s="301"/>
      <c r="K78" s="301"/>
      <c r="L78" s="301"/>
      <c r="M78" s="301"/>
      <c r="N78" s="301"/>
      <c r="O78" s="301"/>
      <c r="P78" s="301"/>
      <c r="Q78" s="301"/>
      <c r="R78" s="301"/>
      <c r="S78" s="301"/>
      <c r="T78" s="301"/>
      <c r="U78" s="301"/>
      <c r="V78" s="301"/>
      <c r="W78" s="301"/>
      <c r="X78" s="301"/>
      <c r="Y78" s="301"/>
      <c r="Z78" s="301"/>
    </row>
    <row r="79" spans="1:26" ht="15.75" customHeight="1">
      <c r="A79" s="301"/>
      <c r="B79" s="301"/>
      <c r="C79" s="301"/>
      <c r="D79" s="301"/>
      <c r="E79" s="301"/>
      <c r="F79" s="301"/>
      <c r="G79" s="301"/>
      <c r="H79" s="301"/>
      <c r="I79" s="301"/>
      <c r="J79" s="301"/>
      <c r="K79" s="301"/>
      <c r="L79" s="301"/>
      <c r="M79" s="301"/>
      <c r="N79" s="301"/>
      <c r="O79" s="301"/>
      <c r="P79" s="301"/>
      <c r="Q79" s="301"/>
      <c r="R79" s="301"/>
      <c r="S79" s="301"/>
      <c r="T79" s="301"/>
      <c r="U79" s="301"/>
      <c r="V79" s="301"/>
      <c r="W79" s="301"/>
      <c r="X79" s="301"/>
      <c r="Y79" s="301"/>
      <c r="Z79" s="301"/>
    </row>
    <row r="80" spans="1:26" ht="15.75" customHeight="1">
      <c r="A80" s="301"/>
      <c r="B80" s="301"/>
      <c r="C80" s="301"/>
      <c r="D80" s="301"/>
      <c r="E80" s="301"/>
      <c r="F80" s="301"/>
      <c r="G80" s="301"/>
      <c r="H80" s="301"/>
      <c r="I80" s="301"/>
      <c r="J80" s="301"/>
      <c r="K80" s="301"/>
      <c r="L80" s="301"/>
      <c r="M80" s="301"/>
      <c r="N80" s="301"/>
      <c r="O80" s="301"/>
      <c r="P80" s="301"/>
      <c r="Q80" s="301"/>
      <c r="R80" s="301"/>
      <c r="S80" s="301"/>
      <c r="T80" s="301"/>
      <c r="U80" s="301"/>
      <c r="V80" s="301"/>
      <c r="W80" s="301"/>
      <c r="X80" s="301"/>
      <c r="Y80" s="301"/>
      <c r="Z80" s="301"/>
    </row>
    <row r="81" spans="1:26" ht="15.75" customHeight="1">
      <c r="A81" s="301"/>
      <c r="B81" s="301"/>
      <c r="C81" s="301"/>
      <c r="D81" s="301"/>
      <c r="E81" s="301"/>
      <c r="F81" s="301"/>
      <c r="G81" s="301"/>
      <c r="H81" s="301"/>
      <c r="I81" s="301"/>
      <c r="J81" s="301"/>
      <c r="K81" s="301"/>
      <c r="L81" s="301"/>
      <c r="M81" s="301"/>
      <c r="N81" s="301"/>
      <c r="O81" s="301"/>
      <c r="P81" s="301"/>
      <c r="Q81" s="301"/>
      <c r="R81" s="301"/>
      <c r="S81" s="301"/>
      <c r="T81" s="301"/>
      <c r="U81" s="301"/>
      <c r="V81" s="301"/>
      <c r="W81" s="301"/>
      <c r="X81" s="301"/>
      <c r="Y81" s="301"/>
      <c r="Z81" s="301"/>
    </row>
    <row r="82" spans="1:26" ht="15.75" customHeight="1">
      <c r="A82" s="301"/>
      <c r="B82" s="301"/>
      <c r="C82" s="301"/>
      <c r="D82" s="301"/>
      <c r="E82" s="301"/>
      <c r="F82" s="301"/>
      <c r="G82" s="301"/>
      <c r="H82" s="301"/>
      <c r="I82" s="301"/>
      <c r="J82" s="301"/>
      <c r="K82" s="301"/>
      <c r="L82" s="301"/>
      <c r="M82" s="301"/>
      <c r="N82" s="301"/>
      <c r="O82" s="301"/>
      <c r="P82" s="301"/>
      <c r="Q82" s="301"/>
      <c r="R82" s="301"/>
      <c r="S82" s="301"/>
      <c r="T82" s="301"/>
      <c r="U82" s="301"/>
      <c r="V82" s="301"/>
      <c r="W82" s="301"/>
      <c r="X82" s="301"/>
      <c r="Y82" s="301"/>
      <c r="Z82" s="301"/>
    </row>
    <row r="83" spans="1:26" ht="15.75" customHeight="1">
      <c r="A83" s="301"/>
      <c r="B83" s="301"/>
      <c r="C83" s="301"/>
      <c r="D83" s="301"/>
      <c r="E83" s="301"/>
      <c r="F83" s="301"/>
      <c r="G83" s="301"/>
      <c r="H83" s="301"/>
      <c r="I83" s="301"/>
      <c r="J83" s="301"/>
      <c r="K83" s="301"/>
      <c r="L83" s="301"/>
      <c r="M83" s="301"/>
      <c r="N83" s="301"/>
      <c r="O83" s="301"/>
      <c r="P83" s="301"/>
      <c r="Q83" s="301"/>
      <c r="R83" s="301"/>
      <c r="S83" s="301"/>
      <c r="T83" s="301"/>
      <c r="U83" s="301"/>
      <c r="V83" s="301"/>
      <c r="W83" s="301"/>
      <c r="X83" s="301"/>
      <c r="Y83" s="301"/>
      <c r="Z83" s="301"/>
    </row>
    <row r="84" spans="1:26" ht="15.75" customHeight="1">
      <c r="A84" s="301"/>
      <c r="B84" s="301"/>
      <c r="C84" s="301"/>
      <c r="D84" s="301"/>
      <c r="E84" s="301"/>
      <c r="F84" s="301"/>
      <c r="G84" s="301"/>
      <c r="H84" s="301"/>
      <c r="I84" s="301"/>
      <c r="J84" s="301"/>
      <c r="K84" s="301"/>
      <c r="L84" s="301"/>
      <c r="M84" s="301"/>
      <c r="N84" s="301"/>
      <c r="O84" s="301"/>
      <c r="P84" s="301"/>
      <c r="Q84" s="301"/>
      <c r="R84" s="301"/>
      <c r="S84" s="301"/>
      <c r="T84" s="301"/>
      <c r="U84" s="301"/>
      <c r="V84" s="301"/>
      <c r="W84" s="301"/>
      <c r="X84" s="301"/>
      <c r="Y84" s="301"/>
      <c r="Z84" s="301"/>
    </row>
    <row r="85" spans="1:26" ht="15.75" customHeight="1">
      <c r="A85" s="301"/>
      <c r="B85" s="301"/>
      <c r="C85" s="301"/>
      <c r="D85" s="301"/>
      <c r="E85" s="301"/>
      <c r="F85" s="301"/>
      <c r="G85" s="301"/>
      <c r="H85" s="301"/>
      <c r="I85" s="301"/>
      <c r="J85" s="301"/>
      <c r="K85" s="301"/>
      <c r="L85" s="301"/>
      <c r="M85" s="301"/>
      <c r="N85" s="301"/>
      <c r="O85" s="301"/>
      <c r="P85" s="301"/>
      <c r="Q85" s="301"/>
      <c r="R85" s="301"/>
      <c r="S85" s="301"/>
      <c r="T85" s="301"/>
      <c r="U85" s="301"/>
      <c r="V85" s="301"/>
      <c r="W85" s="301"/>
      <c r="X85" s="301"/>
      <c r="Y85" s="301"/>
      <c r="Z85" s="301"/>
    </row>
    <row r="86" spans="1:26" ht="15.75" customHeight="1">
      <c r="A86" s="301"/>
      <c r="B86" s="301"/>
      <c r="C86" s="301"/>
      <c r="D86" s="301"/>
      <c r="E86" s="301"/>
      <c r="F86" s="301"/>
      <c r="G86" s="301"/>
      <c r="H86" s="301"/>
      <c r="I86" s="301"/>
      <c r="J86" s="301"/>
      <c r="K86" s="301"/>
      <c r="L86" s="301"/>
      <c r="M86" s="301"/>
      <c r="N86" s="301"/>
      <c r="O86" s="301"/>
      <c r="P86" s="301"/>
      <c r="Q86" s="301"/>
      <c r="R86" s="301"/>
      <c r="S86" s="301"/>
      <c r="T86" s="301"/>
      <c r="U86" s="301"/>
      <c r="V86" s="301"/>
      <c r="W86" s="301"/>
      <c r="X86" s="301"/>
      <c r="Y86" s="301"/>
      <c r="Z86" s="301"/>
    </row>
    <row r="87" spans="1:26" ht="15.75" customHeight="1">
      <c r="A87" s="301"/>
      <c r="B87" s="301"/>
      <c r="C87" s="301"/>
      <c r="D87" s="301"/>
      <c r="E87" s="301"/>
      <c r="F87" s="301"/>
      <c r="G87" s="301"/>
      <c r="H87" s="301"/>
      <c r="I87" s="301"/>
      <c r="J87" s="301"/>
      <c r="K87" s="301"/>
      <c r="L87" s="301"/>
      <c r="M87" s="301"/>
      <c r="N87" s="301"/>
      <c r="O87" s="301"/>
      <c r="P87" s="301"/>
      <c r="Q87" s="301"/>
      <c r="R87" s="301"/>
      <c r="S87" s="301"/>
      <c r="T87" s="301"/>
      <c r="U87" s="301"/>
      <c r="V87" s="301"/>
      <c r="W87" s="301"/>
      <c r="X87" s="301"/>
      <c r="Y87" s="301"/>
      <c r="Z87" s="301"/>
    </row>
    <row r="88" spans="1:26" ht="15.75" customHeight="1">
      <c r="A88" s="301"/>
      <c r="B88" s="301"/>
      <c r="C88" s="301"/>
      <c r="D88" s="301"/>
      <c r="E88" s="301"/>
      <c r="F88" s="301"/>
      <c r="G88" s="301"/>
      <c r="H88" s="301"/>
      <c r="I88" s="301"/>
      <c r="J88" s="301"/>
      <c r="K88" s="301"/>
      <c r="L88" s="301"/>
      <c r="M88" s="301"/>
      <c r="N88" s="301"/>
      <c r="O88" s="301"/>
      <c r="P88" s="301"/>
      <c r="Q88" s="301"/>
      <c r="R88" s="301"/>
      <c r="S88" s="301"/>
      <c r="T88" s="301"/>
      <c r="U88" s="301"/>
      <c r="V88" s="301"/>
      <c r="W88" s="301"/>
      <c r="X88" s="301"/>
      <c r="Y88" s="301"/>
      <c r="Z88" s="301"/>
    </row>
    <row r="89" spans="1:26" ht="15.75" customHeight="1">
      <c r="A89" s="301"/>
      <c r="B89" s="301"/>
      <c r="C89" s="301"/>
      <c r="D89" s="301"/>
      <c r="E89" s="301"/>
      <c r="F89" s="301"/>
      <c r="G89" s="301"/>
      <c r="H89" s="301"/>
      <c r="I89" s="301"/>
      <c r="J89" s="301"/>
      <c r="K89" s="301"/>
      <c r="L89" s="301"/>
      <c r="M89" s="301"/>
      <c r="N89" s="301"/>
      <c r="O89" s="301"/>
      <c r="P89" s="301"/>
      <c r="Q89" s="301"/>
      <c r="R89" s="301"/>
      <c r="S89" s="301"/>
      <c r="T89" s="301"/>
      <c r="U89" s="301"/>
      <c r="V89" s="301"/>
      <c r="W89" s="301"/>
      <c r="X89" s="301"/>
      <c r="Y89" s="301"/>
      <c r="Z89" s="301"/>
    </row>
    <row r="90" spans="1:26" ht="15.75" customHeight="1">
      <c r="A90" s="301"/>
      <c r="B90" s="301"/>
      <c r="C90" s="301"/>
      <c r="D90" s="301"/>
      <c r="E90" s="301"/>
      <c r="F90" s="301"/>
      <c r="G90" s="301"/>
      <c r="H90" s="301"/>
      <c r="I90" s="301"/>
      <c r="J90" s="301"/>
      <c r="K90" s="301"/>
      <c r="L90" s="301"/>
      <c r="M90" s="301"/>
      <c r="N90" s="301"/>
      <c r="O90" s="301"/>
      <c r="P90" s="301"/>
      <c r="Q90" s="301"/>
      <c r="R90" s="301"/>
      <c r="S90" s="301"/>
      <c r="T90" s="301"/>
      <c r="U90" s="301"/>
      <c r="V90" s="301"/>
      <c r="W90" s="301"/>
      <c r="X90" s="301"/>
      <c r="Y90" s="301"/>
      <c r="Z90" s="301"/>
    </row>
    <row r="91" spans="1:26" ht="15.75" customHeight="1">
      <c r="A91" s="301"/>
      <c r="B91" s="301"/>
      <c r="C91" s="301"/>
      <c r="D91" s="301"/>
      <c r="E91" s="301"/>
      <c r="F91" s="301"/>
      <c r="G91" s="301"/>
      <c r="H91" s="301"/>
      <c r="I91" s="301"/>
      <c r="J91" s="301"/>
      <c r="K91" s="301"/>
      <c r="L91" s="301"/>
      <c r="M91" s="301"/>
      <c r="N91" s="301"/>
      <c r="O91" s="301"/>
      <c r="P91" s="301"/>
      <c r="Q91" s="301"/>
      <c r="R91" s="301"/>
      <c r="S91" s="301"/>
      <c r="T91" s="301"/>
      <c r="U91" s="301"/>
      <c r="V91" s="301"/>
      <c r="W91" s="301"/>
      <c r="X91" s="301"/>
      <c r="Y91" s="301"/>
      <c r="Z91" s="301"/>
    </row>
    <row r="92" spans="1:26" ht="15.75" customHeight="1">
      <c r="A92" s="301"/>
      <c r="B92" s="301"/>
      <c r="C92" s="301"/>
      <c r="D92" s="301"/>
      <c r="E92" s="301"/>
      <c r="F92" s="301"/>
      <c r="G92" s="301"/>
      <c r="H92" s="301"/>
      <c r="I92" s="301"/>
      <c r="J92" s="301"/>
      <c r="K92" s="301"/>
      <c r="L92" s="301"/>
      <c r="M92" s="301"/>
      <c r="N92" s="301"/>
      <c r="O92" s="301"/>
      <c r="P92" s="301"/>
      <c r="Q92" s="301"/>
      <c r="R92" s="301"/>
      <c r="S92" s="301"/>
      <c r="T92" s="301"/>
      <c r="U92" s="301"/>
      <c r="V92" s="301"/>
      <c r="W92" s="301"/>
      <c r="X92" s="301"/>
      <c r="Y92" s="301"/>
      <c r="Z92" s="301"/>
    </row>
    <row r="93" spans="1:26" ht="15.75" customHeight="1">
      <c r="A93" s="301"/>
      <c r="B93" s="301"/>
      <c r="C93" s="301"/>
      <c r="D93" s="301"/>
      <c r="E93" s="301"/>
      <c r="F93" s="301"/>
      <c r="G93" s="301"/>
      <c r="H93" s="301"/>
      <c r="I93" s="301"/>
      <c r="J93" s="301"/>
      <c r="K93" s="301"/>
      <c r="L93" s="301"/>
      <c r="M93" s="301"/>
      <c r="N93" s="301"/>
      <c r="O93" s="301"/>
      <c r="P93" s="301"/>
      <c r="Q93" s="301"/>
      <c r="R93" s="301"/>
      <c r="S93" s="301"/>
      <c r="T93" s="301"/>
      <c r="U93" s="301"/>
      <c r="V93" s="301"/>
      <c r="W93" s="301"/>
      <c r="X93" s="301"/>
      <c r="Y93" s="301"/>
      <c r="Z93" s="301"/>
    </row>
    <row r="94" spans="1:26" ht="15.75" customHeight="1">
      <c r="A94" s="301"/>
      <c r="B94" s="301"/>
      <c r="C94" s="301"/>
      <c r="D94" s="301"/>
      <c r="E94" s="301"/>
      <c r="F94" s="301"/>
      <c r="G94" s="301"/>
      <c r="H94" s="301"/>
      <c r="I94" s="301"/>
      <c r="J94" s="301"/>
      <c r="K94" s="301"/>
      <c r="L94" s="301"/>
      <c r="M94" s="301"/>
      <c r="N94" s="301"/>
      <c r="O94" s="301"/>
      <c r="P94" s="301"/>
      <c r="Q94" s="301"/>
      <c r="R94" s="301"/>
      <c r="S94" s="301"/>
      <c r="T94" s="301"/>
      <c r="U94" s="301"/>
      <c r="V94" s="301"/>
      <c r="W94" s="301"/>
      <c r="X94" s="301"/>
      <c r="Y94" s="301"/>
      <c r="Z94" s="301"/>
    </row>
    <row r="95" spans="1:26" ht="15.75" customHeight="1">
      <c r="A95" s="301"/>
      <c r="B95" s="301"/>
      <c r="C95" s="301"/>
      <c r="D95" s="301"/>
      <c r="E95" s="301"/>
      <c r="F95" s="301"/>
      <c r="G95" s="301"/>
      <c r="H95" s="301"/>
      <c r="I95" s="301"/>
      <c r="J95" s="301"/>
      <c r="K95" s="301"/>
      <c r="L95" s="301"/>
      <c r="M95" s="301"/>
      <c r="N95" s="301"/>
      <c r="O95" s="301"/>
      <c r="P95" s="301"/>
      <c r="Q95" s="301"/>
      <c r="R95" s="301"/>
      <c r="S95" s="301"/>
      <c r="T95" s="301"/>
      <c r="U95" s="301"/>
      <c r="V95" s="301"/>
      <c r="W95" s="301"/>
      <c r="X95" s="301"/>
      <c r="Y95" s="301"/>
      <c r="Z95" s="301"/>
    </row>
    <row r="96" spans="1:26" ht="15.75" customHeight="1">
      <c r="A96" s="301"/>
      <c r="B96" s="301"/>
      <c r="C96" s="301"/>
      <c r="D96" s="301"/>
      <c r="E96" s="301"/>
      <c r="F96" s="301"/>
      <c r="G96" s="301"/>
      <c r="H96" s="301"/>
      <c r="I96" s="301"/>
      <c r="J96" s="301"/>
      <c r="K96" s="301"/>
      <c r="L96" s="301"/>
      <c r="M96" s="301"/>
      <c r="N96" s="301"/>
      <c r="O96" s="301"/>
      <c r="P96" s="301"/>
      <c r="Q96" s="301"/>
      <c r="R96" s="301"/>
      <c r="S96" s="301"/>
      <c r="T96" s="301"/>
      <c r="U96" s="301"/>
      <c r="V96" s="301"/>
      <c r="W96" s="301"/>
      <c r="X96" s="301"/>
      <c r="Y96" s="301"/>
      <c r="Z96" s="301"/>
    </row>
    <row r="97" spans="1:26" ht="15.75" customHeight="1">
      <c r="A97" s="301"/>
      <c r="B97" s="301"/>
      <c r="C97" s="301"/>
      <c r="D97" s="301"/>
      <c r="E97" s="301"/>
      <c r="F97" s="301"/>
      <c r="G97" s="301"/>
      <c r="H97" s="301"/>
      <c r="I97" s="301"/>
      <c r="J97" s="301"/>
      <c r="K97" s="301"/>
      <c r="L97" s="301"/>
      <c r="M97" s="301"/>
      <c r="N97" s="301"/>
      <c r="O97" s="301"/>
      <c r="P97" s="301"/>
      <c r="Q97" s="301"/>
      <c r="R97" s="301"/>
      <c r="S97" s="301"/>
      <c r="T97" s="301"/>
      <c r="U97" s="301"/>
      <c r="V97" s="301"/>
      <c r="W97" s="301"/>
      <c r="X97" s="301"/>
      <c r="Y97" s="301"/>
      <c r="Z97" s="301"/>
    </row>
    <row r="98" spans="1:26" ht="15.75" customHeight="1">
      <c r="A98" s="301"/>
      <c r="B98" s="301"/>
      <c r="C98" s="301"/>
      <c r="D98" s="301"/>
      <c r="E98" s="301"/>
      <c r="F98" s="301"/>
      <c r="G98" s="301"/>
      <c r="H98" s="301"/>
      <c r="I98" s="301"/>
      <c r="J98" s="301"/>
      <c r="K98" s="301"/>
      <c r="L98" s="301"/>
      <c r="M98" s="301"/>
      <c r="N98" s="301"/>
      <c r="O98" s="301"/>
      <c r="P98" s="301"/>
      <c r="Q98" s="301"/>
      <c r="R98" s="301"/>
      <c r="S98" s="301"/>
      <c r="T98" s="301"/>
      <c r="U98" s="301"/>
      <c r="V98" s="301"/>
      <c r="W98" s="301"/>
      <c r="X98" s="301"/>
      <c r="Y98" s="301"/>
      <c r="Z98" s="301"/>
    </row>
    <row r="99" spans="1:26" ht="15.75" customHeight="1">
      <c r="A99" s="301"/>
      <c r="B99" s="301"/>
      <c r="C99" s="301"/>
      <c r="D99" s="301"/>
      <c r="E99" s="301"/>
      <c r="F99" s="301"/>
      <c r="G99" s="301"/>
      <c r="H99" s="301"/>
      <c r="I99" s="301"/>
      <c r="J99" s="301"/>
      <c r="K99" s="301"/>
      <c r="L99" s="301"/>
      <c r="M99" s="301"/>
      <c r="N99" s="301"/>
      <c r="O99" s="301"/>
      <c r="P99" s="301"/>
      <c r="Q99" s="301"/>
      <c r="R99" s="301"/>
      <c r="S99" s="301"/>
      <c r="T99" s="301"/>
      <c r="U99" s="301"/>
      <c r="V99" s="301"/>
      <c r="W99" s="301"/>
      <c r="X99" s="301"/>
      <c r="Y99" s="301"/>
      <c r="Z99" s="301"/>
    </row>
    <row r="100" spans="1:26" ht="15.75" customHeight="1">
      <c r="A100" s="301"/>
      <c r="B100" s="301"/>
      <c r="C100" s="301"/>
      <c r="D100" s="301"/>
      <c r="E100" s="301"/>
      <c r="F100" s="301"/>
      <c r="G100" s="301"/>
      <c r="H100" s="301"/>
      <c r="I100" s="301"/>
      <c r="J100" s="301"/>
      <c r="K100" s="301"/>
      <c r="L100" s="301"/>
      <c r="M100" s="301"/>
      <c r="N100" s="301"/>
      <c r="O100" s="301"/>
      <c r="P100" s="301"/>
      <c r="Q100" s="301"/>
      <c r="R100" s="301"/>
      <c r="S100" s="301"/>
      <c r="T100" s="301"/>
      <c r="U100" s="301"/>
      <c r="V100" s="301"/>
      <c r="W100" s="301"/>
      <c r="X100" s="301"/>
      <c r="Y100" s="301"/>
      <c r="Z100" s="301"/>
    </row>
    <row r="101" spans="1:26" ht="15.75" customHeight="1">
      <c r="A101" s="301"/>
      <c r="B101" s="301"/>
      <c r="C101" s="301"/>
      <c r="D101" s="301"/>
      <c r="E101" s="301"/>
      <c r="F101" s="301"/>
      <c r="G101" s="301"/>
      <c r="H101" s="301"/>
      <c r="I101" s="301"/>
      <c r="J101" s="301"/>
      <c r="K101" s="301"/>
      <c r="L101" s="301"/>
      <c r="M101" s="301"/>
      <c r="N101" s="301"/>
      <c r="O101" s="301"/>
      <c r="P101" s="301"/>
      <c r="Q101" s="301"/>
      <c r="R101" s="301"/>
      <c r="S101" s="301"/>
      <c r="T101" s="301"/>
      <c r="U101" s="301"/>
      <c r="V101" s="301"/>
      <c r="W101" s="301"/>
      <c r="X101" s="301"/>
      <c r="Y101" s="301"/>
      <c r="Z101" s="301"/>
    </row>
    <row r="102" spans="1:26" ht="15.75" customHeight="1">
      <c r="A102" s="301"/>
      <c r="B102" s="301"/>
      <c r="C102" s="301"/>
      <c r="D102" s="301"/>
      <c r="E102" s="301"/>
      <c r="F102" s="301"/>
      <c r="G102" s="301"/>
      <c r="H102" s="301"/>
      <c r="I102" s="301"/>
      <c r="J102" s="301"/>
      <c r="K102" s="301"/>
      <c r="L102" s="301"/>
      <c r="M102" s="301"/>
      <c r="N102" s="301"/>
      <c r="O102" s="301"/>
      <c r="P102" s="301"/>
      <c r="Q102" s="301"/>
      <c r="R102" s="301"/>
      <c r="S102" s="301"/>
      <c r="T102" s="301"/>
      <c r="U102" s="301"/>
      <c r="V102" s="301"/>
      <c r="W102" s="301"/>
      <c r="X102" s="301"/>
      <c r="Y102" s="301"/>
      <c r="Z102" s="301"/>
    </row>
    <row r="103" spans="1:26" ht="15.75" customHeight="1">
      <c r="A103" s="301"/>
      <c r="B103" s="301"/>
      <c r="C103" s="301"/>
      <c r="D103" s="301"/>
      <c r="E103" s="301"/>
      <c r="F103" s="301"/>
      <c r="G103" s="301"/>
      <c r="H103" s="301"/>
      <c r="I103" s="301"/>
      <c r="J103" s="301"/>
      <c r="K103" s="301"/>
      <c r="L103" s="301"/>
      <c r="M103" s="301"/>
      <c r="N103" s="301"/>
      <c r="O103" s="301"/>
      <c r="P103" s="301"/>
      <c r="Q103" s="301"/>
      <c r="R103" s="301"/>
      <c r="S103" s="301"/>
      <c r="T103" s="301"/>
      <c r="U103" s="301"/>
      <c r="V103" s="301"/>
      <c r="W103" s="301"/>
      <c r="X103" s="301"/>
      <c r="Y103" s="301"/>
      <c r="Z103" s="301"/>
    </row>
    <row r="104" spans="1:26" ht="15.75" customHeight="1">
      <c r="A104" s="301"/>
      <c r="B104" s="301"/>
      <c r="C104" s="301"/>
      <c r="D104" s="301"/>
      <c r="E104" s="301"/>
      <c r="F104" s="301"/>
      <c r="G104" s="301"/>
      <c r="H104" s="301"/>
      <c r="I104" s="301"/>
      <c r="J104" s="301"/>
      <c r="K104" s="301"/>
      <c r="L104" s="301"/>
      <c r="M104" s="301"/>
      <c r="N104" s="301"/>
      <c r="O104" s="301"/>
      <c r="P104" s="301"/>
      <c r="Q104" s="301"/>
      <c r="R104" s="301"/>
      <c r="S104" s="301"/>
      <c r="T104" s="301"/>
      <c r="U104" s="301"/>
      <c r="V104" s="301"/>
      <c r="W104" s="301"/>
      <c r="X104" s="301"/>
      <c r="Y104" s="301"/>
      <c r="Z104" s="301"/>
    </row>
    <row r="105" spans="1:26" ht="15.75" customHeight="1">
      <c r="A105" s="301"/>
      <c r="B105" s="301"/>
      <c r="C105" s="301"/>
      <c r="D105" s="301"/>
      <c r="E105" s="301"/>
      <c r="F105" s="301"/>
      <c r="G105" s="301"/>
      <c r="H105" s="301"/>
      <c r="I105" s="301"/>
      <c r="J105" s="301"/>
      <c r="K105" s="301"/>
      <c r="L105" s="301"/>
      <c r="M105" s="301"/>
      <c r="N105" s="301"/>
      <c r="O105" s="301"/>
      <c r="P105" s="301"/>
      <c r="Q105" s="301"/>
      <c r="R105" s="301"/>
      <c r="S105" s="301"/>
      <c r="T105" s="301"/>
      <c r="U105" s="301"/>
      <c r="V105" s="301"/>
      <c r="W105" s="301"/>
      <c r="X105" s="301"/>
      <c r="Y105" s="301"/>
      <c r="Z105" s="301"/>
    </row>
    <row r="106" spans="1:26" ht="15.75" customHeight="1">
      <c r="A106" s="301"/>
      <c r="B106" s="301"/>
      <c r="C106" s="301"/>
      <c r="D106" s="301"/>
      <c r="E106" s="301"/>
      <c r="F106" s="301"/>
      <c r="G106" s="301"/>
      <c r="H106" s="301"/>
      <c r="I106" s="301"/>
      <c r="J106" s="301"/>
      <c r="K106" s="301"/>
      <c r="L106" s="301"/>
      <c r="M106" s="301"/>
      <c r="N106" s="301"/>
      <c r="O106" s="301"/>
      <c r="P106" s="301"/>
      <c r="Q106" s="301"/>
      <c r="R106" s="301"/>
      <c r="S106" s="301"/>
      <c r="T106" s="301"/>
      <c r="U106" s="301"/>
      <c r="V106" s="301"/>
      <c r="W106" s="301"/>
      <c r="X106" s="301"/>
      <c r="Y106" s="301"/>
      <c r="Z106" s="301"/>
    </row>
    <row r="107" spans="1:26" ht="15.75" customHeight="1">
      <c r="A107" s="301"/>
      <c r="B107" s="301"/>
      <c r="C107" s="301"/>
      <c r="D107" s="301"/>
      <c r="E107" s="301"/>
      <c r="F107" s="301"/>
      <c r="G107" s="301"/>
      <c r="H107" s="301"/>
      <c r="I107" s="301"/>
      <c r="J107" s="301"/>
      <c r="K107" s="301"/>
      <c r="L107" s="301"/>
      <c r="M107" s="301"/>
      <c r="N107" s="301"/>
      <c r="O107" s="301"/>
      <c r="P107" s="301"/>
      <c r="Q107" s="301"/>
      <c r="R107" s="301"/>
      <c r="S107" s="301"/>
      <c r="T107" s="301"/>
      <c r="U107" s="301"/>
      <c r="V107" s="301"/>
      <c r="W107" s="301"/>
      <c r="X107" s="301"/>
      <c r="Y107" s="301"/>
      <c r="Z107" s="301"/>
    </row>
    <row r="108" spans="1:26" ht="15.75" customHeight="1">
      <c r="A108" s="301"/>
      <c r="B108" s="301"/>
      <c r="C108" s="301"/>
      <c r="D108" s="301"/>
      <c r="E108" s="301"/>
      <c r="F108" s="301"/>
      <c r="G108" s="301"/>
      <c r="H108" s="301"/>
      <c r="I108" s="301"/>
      <c r="J108" s="301"/>
      <c r="K108" s="301"/>
      <c r="L108" s="301"/>
      <c r="M108" s="301"/>
      <c r="N108" s="301"/>
      <c r="O108" s="301"/>
      <c r="P108" s="301"/>
      <c r="Q108" s="301"/>
      <c r="R108" s="301"/>
      <c r="S108" s="301"/>
      <c r="T108" s="301"/>
      <c r="U108" s="301"/>
      <c r="V108" s="301"/>
      <c r="W108" s="301"/>
      <c r="X108" s="301"/>
      <c r="Y108" s="301"/>
      <c r="Z108" s="301"/>
    </row>
    <row r="109" spans="1:26" ht="15.75" customHeight="1">
      <c r="A109" s="301"/>
      <c r="B109" s="301"/>
      <c r="C109" s="301"/>
      <c r="D109" s="301"/>
      <c r="E109" s="301"/>
      <c r="F109" s="301"/>
      <c r="G109" s="301"/>
      <c r="H109" s="301"/>
      <c r="I109" s="301"/>
      <c r="J109" s="301"/>
      <c r="K109" s="301"/>
      <c r="L109" s="301"/>
      <c r="M109" s="301"/>
      <c r="N109" s="301"/>
      <c r="O109" s="301"/>
      <c r="P109" s="301"/>
      <c r="Q109" s="301"/>
      <c r="R109" s="301"/>
      <c r="S109" s="301"/>
      <c r="T109" s="301"/>
      <c r="U109" s="301"/>
      <c r="V109" s="301"/>
      <c r="W109" s="301"/>
      <c r="X109" s="301"/>
      <c r="Y109" s="301"/>
      <c r="Z109" s="301"/>
    </row>
    <row r="110" spans="1:26" ht="15.75" customHeight="1">
      <c r="A110" s="301"/>
      <c r="B110" s="301"/>
      <c r="C110" s="301"/>
      <c r="D110" s="301"/>
      <c r="E110" s="301"/>
      <c r="F110" s="301"/>
      <c r="G110" s="301"/>
      <c r="H110" s="301"/>
      <c r="I110" s="301"/>
      <c r="J110" s="301"/>
      <c r="K110" s="301"/>
      <c r="L110" s="301"/>
      <c r="M110" s="301"/>
      <c r="N110" s="301"/>
      <c r="O110" s="301"/>
      <c r="P110" s="301"/>
      <c r="Q110" s="301"/>
      <c r="R110" s="301"/>
      <c r="S110" s="301"/>
      <c r="T110" s="301"/>
      <c r="U110" s="301"/>
      <c r="V110" s="301"/>
      <c r="W110" s="301"/>
      <c r="X110" s="301"/>
      <c r="Y110" s="301"/>
      <c r="Z110" s="301"/>
    </row>
    <row r="111" spans="1:26" ht="15.75" customHeight="1">
      <c r="A111" s="301"/>
      <c r="B111" s="301"/>
      <c r="C111" s="301"/>
      <c r="D111" s="301"/>
      <c r="E111" s="301"/>
      <c r="F111" s="301"/>
      <c r="G111" s="301"/>
      <c r="H111" s="301"/>
      <c r="I111" s="301"/>
      <c r="J111" s="301"/>
      <c r="K111" s="301"/>
      <c r="L111" s="301"/>
      <c r="M111" s="301"/>
      <c r="N111" s="301"/>
      <c r="O111" s="301"/>
      <c r="P111" s="301"/>
      <c r="Q111" s="301"/>
      <c r="R111" s="301"/>
      <c r="S111" s="301"/>
      <c r="T111" s="301"/>
      <c r="U111" s="301"/>
      <c r="V111" s="301"/>
      <c r="W111" s="301"/>
      <c r="X111" s="301"/>
      <c r="Y111" s="301"/>
      <c r="Z111" s="301"/>
    </row>
    <row r="112" spans="1:26" ht="15.75" customHeight="1">
      <c r="A112" s="301"/>
      <c r="B112" s="301"/>
      <c r="C112" s="301"/>
      <c r="D112" s="301"/>
      <c r="E112" s="301"/>
      <c r="F112" s="301"/>
      <c r="G112" s="301"/>
      <c r="H112" s="301"/>
      <c r="I112" s="301"/>
      <c r="J112" s="301"/>
      <c r="K112" s="301"/>
      <c r="L112" s="301"/>
      <c r="M112" s="301"/>
      <c r="N112" s="301"/>
      <c r="O112" s="301"/>
      <c r="P112" s="301"/>
      <c r="Q112" s="301"/>
      <c r="R112" s="301"/>
      <c r="S112" s="301"/>
      <c r="T112" s="301"/>
      <c r="U112" s="301"/>
      <c r="V112" s="301"/>
      <c r="W112" s="301"/>
      <c r="X112" s="301"/>
      <c r="Y112" s="301"/>
      <c r="Z112" s="301"/>
    </row>
    <row r="113" spans="1:26" ht="15.75" customHeight="1">
      <c r="A113" s="301"/>
      <c r="B113" s="301"/>
      <c r="C113" s="301"/>
      <c r="D113" s="301"/>
      <c r="E113" s="301"/>
      <c r="F113" s="301"/>
      <c r="G113" s="301"/>
      <c r="H113" s="301"/>
      <c r="I113" s="301"/>
      <c r="J113" s="301"/>
      <c r="K113" s="301"/>
      <c r="L113" s="301"/>
      <c r="M113" s="301"/>
      <c r="N113" s="301"/>
      <c r="O113" s="301"/>
      <c r="P113" s="301"/>
      <c r="Q113" s="301"/>
      <c r="R113" s="301"/>
      <c r="S113" s="301"/>
      <c r="T113" s="301"/>
      <c r="U113" s="301"/>
      <c r="V113" s="301"/>
      <c r="W113" s="301"/>
      <c r="X113" s="301"/>
      <c r="Y113" s="301"/>
      <c r="Z113" s="301"/>
    </row>
    <row r="114" spans="1:26" ht="15.75" customHeight="1">
      <c r="A114" s="301"/>
      <c r="B114" s="301"/>
      <c r="C114" s="301"/>
      <c r="D114" s="301"/>
      <c r="E114" s="301"/>
      <c r="F114" s="301"/>
      <c r="G114" s="301"/>
      <c r="H114" s="301"/>
      <c r="I114" s="301"/>
      <c r="J114" s="301"/>
      <c r="K114" s="301"/>
      <c r="L114" s="301"/>
      <c r="M114" s="301"/>
      <c r="N114" s="301"/>
      <c r="O114" s="301"/>
      <c r="P114" s="301"/>
      <c r="Q114" s="301"/>
      <c r="R114" s="301"/>
      <c r="S114" s="301"/>
      <c r="T114" s="301"/>
      <c r="U114" s="301"/>
      <c r="V114" s="301"/>
      <c r="W114" s="301"/>
      <c r="X114" s="301"/>
      <c r="Y114" s="301"/>
      <c r="Z114" s="301"/>
    </row>
    <row r="115" spans="1:26" ht="15.75" customHeight="1">
      <c r="A115" s="301"/>
      <c r="B115" s="301"/>
      <c r="C115" s="301"/>
      <c r="D115" s="301"/>
      <c r="E115" s="301"/>
      <c r="F115" s="301"/>
      <c r="G115" s="301"/>
      <c r="H115" s="301"/>
      <c r="I115" s="301"/>
      <c r="J115" s="301"/>
      <c r="K115" s="301"/>
      <c r="L115" s="301"/>
      <c r="M115" s="301"/>
      <c r="N115" s="301"/>
      <c r="O115" s="301"/>
      <c r="P115" s="301"/>
      <c r="Q115" s="301"/>
      <c r="R115" s="301"/>
      <c r="S115" s="301"/>
      <c r="T115" s="301"/>
      <c r="U115" s="301"/>
      <c r="V115" s="301"/>
      <c r="W115" s="301"/>
      <c r="X115" s="301"/>
      <c r="Y115" s="301"/>
      <c r="Z115" s="301"/>
    </row>
    <row r="116" spans="1:26" ht="15.75" customHeight="1">
      <c r="A116" s="301"/>
      <c r="B116" s="301"/>
      <c r="C116" s="301"/>
      <c r="D116" s="301"/>
      <c r="E116" s="301"/>
      <c r="F116" s="301"/>
      <c r="G116" s="301"/>
      <c r="H116" s="301"/>
      <c r="I116" s="301"/>
      <c r="J116" s="301"/>
      <c r="K116" s="301"/>
      <c r="L116" s="301"/>
      <c r="M116" s="301"/>
      <c r="N116" s="301"/>
      <c r="O116" s="301"/>
      <c r="P116" s="301"/>
      <c r="Q116" s="301"/>
      <c r="R116" s="301"/>
      <c r="S116" s="301"/>
      <c r="T116" s="301"/>
      <c r="U116" s="301"/>
      <c r="V116" s="301"/>
      <c r="W116" s="301"/>
      <c r="X116" s="301"/>
      <c r="Y116" s="301"/>
      <c r="Z116" s="301"/>
    </row>
    <row r="117" spans="1:26" ht="15.75" customHeight="1">
      <c r="A117" s="301"/>
      <c r="B117" s="301"/>
      <c r="C117" s="301"/>
      <c r="D117" s="301"/>
      <c r="E117" s="301"/>
      <c r="F117" s="301"/>
      <c r="G117" s="301"/>
      <c r="H117" s="301"/>
      <c r="I117" s="301"/>
      <c r="J117" s="301"/>
      <c r="K117" s="301"/>
      <c r="L117" s="301"/>
      <c r="M117" s="301"/>
      <c r="N117" s="301"/>
      <c r="O117" s="301"/>
      <c r="P117" s="301"/>
      <c r="Q117" s="301"/>
      <c r="R117" s="301"/>
      <c r="S117" s="301"/>
      <c r="T117" s="301"/>
      <c r="U117" s="301"/>
      <c r="V117" s="301"/>
      <c r="W117" s="301"/>
      <c r="X117" s="301"/>
      <c r="Y117" s="301"/>
      <c r="Z117" s="301"/>
    </row>
    <row r="118" spans="1:26" ht="15.75" customHeight="1">
      <c r="A118" s="301"/>
      <c r="B118" s="301"/>
      <c r="C118" s="301"/>
      <c r="D118" s="301"/>
      <c r="E118" s="301"/>
      <c r="F118" s="301"/>
      <c r="G118" s="301"/>
      <c r="H118" s="301"/>
      <c r="I118" s="301"/>
      <c r="J118" s="301"/>
      <c r="K118" s="301"/>
      <c r="L118" s="301"/>
      <c r="M118" s="301"/>
      <c r="N118" s="301"/>
      <c r="O118" s="301"/>
      <c r="P118" s="301"/>
      <c r="Q118" s="301"/>
      <c r="R118" s="301"/>
      <c r="S118" s="301"/>
      <c r="T118" s="301"/>
      <c r="U118" s="301"/>
      <c r="V118" s="301"/>
      <c r="W118" s="301"/>
      <c r="X118" s="301"/>
      <c r="Y118" s="301"/>
      <c r="Z118" s="301"/>
    </row>
    <row r="119" spans="1:26" ht="15.75" customHeight="1">
      <c r="A119" s="301"/>
      <c r="B119" s="301"/>
      <c r="C119" s="301"/>
      <c r="D119" s="301"/>
      <c r="E119" s="301"/>
      <c r="F119" s="301"/>
      <c r="G119" s="301"/>
      <c r="H119" s="301"/>
      <c r="I119" s="301"/>
      <c r="J119" s="301"/>
      <c r="K119" s="301"/>
      <c r="L119" s="301"/>
      <c r="M119" s="301"/>
      <c r="N119" s="301"/>
      <c r="O119" s="301"/>
      <c r="P119" s="301"/>
      <c r="Q119" s="301"/>
      <c r="R119" s="301"/>
      <c r="S119" s="301"/>
      <c r="T119" s="301"/>
      <c r="U119" s="301"/>
      <c r="V119" s="301"/>
      <c r="W119" s="301"/>
      <c r="X119" s="301"/>
      <c r="Y119" s="301"/>
      <c r="Z119" s="301"/>
    </row>
    <row r="120" spans="1:26" ht="15.75" customHeight="1">
      <c r="A120" s="301"/>
      <c r="B120" s="301"/>
      <c r="C120" s="301"/>
      <c r="D120" s="301"/>
      <c r="E120" s="301"/>
      <c r="F120" s="301"/>
      <c r="G120" s="301"/>
      <c r="H120" s="301"/>
      <c r="I120" s="301"/>
      <c r="J120" s="301"/>
      <c r="K120" s="301"/>
      <c r="L120" s="301"/>
      <c r="M120" s="301"/>
      <c r="N120" s="301"/>
      <c r="O120" s="301"/>
      <c r="P120" s="301"/>
      <c r="Q120" s="301"/>
      <c r="R120" s="301"/>
      <c r="S120" s="301"/>
      <c r="T120" s="301"/>
      <c r="U120" s="301"/>
      <c r="V120" s="301"/>
      <c r="W120" s="301"/>
      <c r="X120" s="301"/>
      <c r="Y120" s="301"/>
      <c r="Z120" s="301"/>
    </row>
    <row r="121" spans="1:26" ht="15.75" customHeight="1">
      <c r="A121" s="301"/>
      <c r="B121" s="301"/>
      <c r="C121" s="301"/>
      <c r="D121" s="301"/>
      <c r="E121" s="301"/>
      <c r="F121" s="301"/>
      <c r="G121" s="301"/>
      <c r="H121" s="301"/>
      <c r="I121" s="301"/>
      <c r="J121" s="301"/>
      <c r="K121" s="301"/>
      <c r="L121" s="301"/>
      <c r="M121" s="301"/>
      <c r="N121" s="301"/>
      <c r="O121" s="301"/>
      <c r="P121" s="301"/>
      <c r="Q121" s="301"/>
      <c r="R121" s="301"/>
      <c r="S121" s="301"/>
      <c r="T121" s="301"/>
      <c r="U121" s="301"/>
      <c r="V121" s="301"/>
      <c r="W121" s="301"/>
      <c r="X121" s="301"/>
      <c r="Y121" s="301"/>
      <c r="Z121" s="301"/>
    </row>
    <row r="122" spans="1:26" ht="15.75" customHeight="1">
      <c r="A122" s="301"/>
      <c r="B122" s="301"/>
      <c r="C122" s="301"/>
      <c r="D122" s="301"/>
      <c r="E122" s="301"/>
      <c r="F122" s="301"/>
      <c r="G122" s="301"/>
      <c r="H122" s="301"/>
      <c r="I122" s="301"/>
      <c r="J122" s="301"/>
      <c r="K122" s="301"/>
      <c r="L122" s="301"/>
      <c r="M122" s="301"/>
      <c r="N122" s="301"/>
      <c r="O122" s="301"/>
      <c r="P122" s="301"/>
      <c r="Q122" s="301"/>
      <c r="R122" s="301"/>
      <c r="S122" s="301"/>
      <c r="T122" s="301"/>
      <c r="U122" s="301"/>
      <c r="V122" s="301"/>
      <c r="W122" s="301"/>
      <c r="X122" s="301"/>
      <c r="Y122" s="301"/>
      <c r="Z122" s="301"/>
    </row>
    <row r="123" spans="1:26" ht="15.75" customHeight="1">
      <c r="A123" s="301"/>
      <c r="B123" s="301"/>
      <c r="C123" s="301"/>
      <c r="D123" s="301"/>
      <c r="E123" s="301"/>
      <c r="F123" s="301"/>
      <c r="G123" s="301"/>
      <c r="H123" s="301"/>
      <c r="I123" s="301"/>
      <c r="J123" s="301"/>
      <c r="K123" s="301"/>
      <c r="L123" s="301"/>
      <c r="M123" s="301"/>
      <c r="N123" s="301"/>
      <c r="O123" s="301"/>
      <c r="P123" s="301"/>
      <c r="Q123" s="301"/>
      <c r="R123" s="301"/>
      <c r="S123" s="301"/>
      <c r="T123" s="301"/>
      <c r="U123" s="301"/>
      <c r="V123" s="301"/>
      <c r="W123" s="301"/>
      <c r="X123" s="301"/>
      <c r="Y123" s="301"/>
      <c r="Z123" s="301"/>
    </row>
    <row r="124" spans="1:26" ht="15.75" customHeight="1">
      <c r="A124" s="301"/>
      <c r="B124" s="301"/>
      <c r="C124" s="301"/>
      <c r="D124" s="301"/>
      <c r="E124" s="301"/>
      <c r="F124" s="301"/>
      <c r="G124" s="301"/>
      <c r="H124" s="301"/>
      <c r="I124" s="301"/>
      <c r="J124" s="301"/>
      <c r="K124" s="301"/>
      <c r="L124" s="301"/>
      <c r="M124" s="301"/>
      <c r="N124" s="301"/>
      <c r="O124" s="301"/>
      <c r="P124" s="301"/>
      <c r="Q124" s="301"/>
      <c r="R124" s="301"/>
      <c r="S124" s="301"/>
      <c r="T124" s="301"/>
      <c r="U124" s="301"/>
      <c r="V124" s="301"/>
      <c r="W124" s="301"/>
      <c r="X124" s="301"/>
      <c r="Y124" s="301"/>
      <c r="Z124" s="301"/>
    </row>
    <row r="125" spans="1:26" ht="15.75" customHeight="1">
      <c r="A125" s="301"/>
      <c r="B125" s="301"/>
      <c r="C125" s="301"/>
      <c r="D125" s="301"/>
      <c r="E125" s="301"/>
      <c r="F125" s="301"/>
      <c r="G125" s="301"/>
      <c r="H125" s="301"/>
      <c r="I125" s="301"/>
      <c r="J125" s="301"/>
      <c r="K125" s="301"/>
      <c r="L125" s="301"/>
      <c r="M125" s="301"/>
      <c r="N125" s="301"/>
      <c r="O125" s="301"/>
      <c r="P125" s="301"/>
      <c r="Q125" s="301"/>
      <c r="R125" s="301"/>
      <c r="S125" s="301"/>
      <c r="T125" s="301"/>
      <c r="U125" s="301"/>
      <c r="V125" s="301"/>
      <c r="W125" s="301"/>
      <c r="X125" s="301"/>
      <c r="Y125" s="301"/>
      <c r="Z125" s="301"/>
    </row>
    <row r="126" spans="1:26" ht="15.75" customHeight="1">
      <c r="A126" s="301"/>
      <c r="B126" s="301"/>
      <c r="C126" s="301"/>
      <c r="D126" s="301"/>
      <c r="E126" s="301"/>
      <c r="F126" s="301"/>
      <c r="G126" s="301"/>
      <c r="H126" s="301"/>
      <c r="I126" s="301"/>
      <c r="J126" s="301"/>
      <c r="K126" s="301"/>
      <c r="L126" s="301"/>
      <c r="M126" s="301"/>
      <c r="N126" s="301"/>
      <c r="O126" s="301"/>
      <c r="P126" s="301"/>
      <c r="Q126" s="301"/>
      <c r="R126" s="301"/>
      <c r="S126" s="301"/>
      <c r="T126" s="301"/>
      <c r="U126" s="301"/>
      <c r="V126" s="301"/>
      <c r="W126" s="301"/>
      <c r="X126" s="301"/>
      <c r="Y126" s="301"/>
      <c r="Z126" s="301"/>
    </row>
    <row r="127" spans="1:26" ht="15.75" customHeight="1">
      <c r="A127" s="301"/>
      <c r="B127" s="301"/>
      <c r="C127" s="301"/>
      <c r="D127" s="301"/>
      <c r="E127" s="301"/>
      <c r="F127" s="301"/>
      <c r="G127" s="301"/>
      <c r="H127" s="301"/>
      <c r="I127" s="301"/>
      <c r="J127" s="301"/>
      <c r="K127" s="301"/>
      <c r="L127" s="301"/>
      <c r="M127" s="301"/>
      <c r="N127" s="301"/>
      <c r="O127" s="301"/>
      <c r="P127" s="301"/>
      <c r="Q127" s="301"/>
      <c r="R127" s="301"/>
      <c r="S127" s="301"/>
      <c r="T127" s="301"/>
      <c r="U127" s="301"/>
      <c r="V127" s="301"/>
      <c r="W127" s="301"/>
      <c r="X127" s="301"/>
      <c r="Y127" s="301"/>
      <c r="Z127" s="301"/>
    </row>
    <row r="128" spans="1:26" ht="15.75" customHeight="1">
      <c r="A128" s="301"/>
      <c r="B128" s="301"/>
      <c r="C128" s="301"/>
      <c r="D128" s="301"/>
      <c r="E128" s="301"/>
      <c r="F128" s="301"/>
      <c r="G128" s="301"/>
      <c r="H128" s="301"/>
      <c r="I128" s="301"/>
      <c r="J128" s="301"/>
      <c r="K128" s="301"/>
      <c r="L128" s="301"/>
      <c r="M128" s="301"/>
      <c r="N128" s="301"/>
      <c r="O128" s="301"/>
      <c r="P128" s="301"/>
      <c r="Q128" s="301"/>
      <c r="R128" s="301"/>
      <c r="S128" s="301"/>
      <c r="T128" s="301"/>
      <c r="U128" s="301"/>
      <c r="V128" s="301"/>
      <c r="W128" s="301"/>
      <c r="X128" s="301"/>
      <c r="Y128" s="301"/>
      <c r="Z128" s="301"/>
    </row>
    <row r="129" spans="1:26" ht="15.75" customHeight="1">
      <c r="A129" s="301"/>
      <c r="B129" s="301"/>
      <c r="C129" s="301"/>
      <c r="D129" s="301"/>
      <c r="E129" s="301"/>
      <c r="F129" s="301"/>
      <c r="G129" s="301"/>
      <c r="H129" s="301"/>
      <c r="I129" s="301"/>
      <c r="J129" s="301"/>
      <c r="K129" s="301"/>
      <c r="L129" s="301"/>
      <c r="M129" s="301"/>
      <c r="N129" s="301"/>
      <c r="O129" s="301"/>
      <c r="P129" s="301"/>
      <c r="Q129" s="301"/>
      <c r="R129" s="301"/>
      <c r="S129" s="301"/>
      <c r="T129" s="301"/>
      <c r="U129" s="301"/>
      <c r="V129" s="301"/>
      <c r="W129" s="301"/>
      <c r="X129" s="301"/>
      <c r="Y129" s="301"/>
      <c r="Z129" s="301"/>
    </row>
    <row r="130" spans="1:26" ht="15.75" customHeight="1">
      <c r="A130" s="301"/>
      <c r="B130" s="301"/>
      <c r="C130" s="301"/>
      <c r="D130" s="301"/>
      <c r="E130" s="301"/>
      <c r="F130" s="301"/>
      <c r="G130" s="301"/>
      <c r="H130" s="301"/>
      <c r="I130" s="301"/>
      <c r="J130" s="301"/>
      <c r="K130" s="301"/>
      <c r="L130" s="301"/>
      <c r="M130" s="301"/>
      <c r="N130" s="301"/>
      <c r="O130" s="301"/>
      <c r="P130" s="301"/>
      <c r="Q130" s="301"/>
      <c r="R130" s="301"/>
      <c r="S130" s="301"/>
      <c r="T130" s="301"/>
      <c r="U130" s="301"/>
      <c r="V130" s="301"/>
      <c r="W130" s="301"/>
      <c r="X130" s="301"/>
      <c r="Y130" s="301"/>
      <c r="Z130" s="301"/>
    </row>
    <row r="131" spans="1:26" ht="15.75" customHeight="1">
      <c r="A131" s="301"/>
      <c r="B131" s="301"/>
      <c r="C131" s="301"/>
      <c r="D131" s="301"/>
      <c r="E131" s="301"/>
      <c r="F131" s="301"/>
      <c r="G131" s="301"/>
      <c r="H131" s="301"/>
      <c r="I131" s="301"/>
      <c r="J131" s="301"/>
      <c r="K131" s="301"/>
      <c r="L131" s="301"/>
      <c r="M131" s="301"/>
      <c r="N131" s="301"/>
      <c r="O131" s="301"/>
      <c r="P131" s="301"/>
      <c r="Q131" s="301"/>
      <c r="R131" s="301"/>
      <c r="S131" s="301"/>
      <c r="T131" s="301"/>
      <c r="U131" s="301"/>
      <c r="V131" s="301"/>
      <c r="W131" s="301"/>
      <c r="X131" s="301"/>
      <c r="Y131" s="301"/>
      <c r="Z131" s="301"/>
    </row>
    <row r="132" spans="1:26" ht="15.75" customHeight="1">
      <c r="A132" s="301"/>
      <c r="B132" s="301"/>
      <c r="C132" s="301"/>
      <c r="D132" s="301"/>
      <c r="E132" s="301"/>
      <c r="F132" s="301"/>
      <c r="G132" s="301"/>
      <c r="H132" s="301"/>
      <c r="I132" s="301"/>
      <c r="J132" s="301"/>
      <c r="K132" s="301"/>
      <c r="L132" s="301"/>
      <c r="M132" s="301"/>
      <c r="N132" s="301"/>
      <c r="O132" s="301"/>
      <c r="P132" s="301"/>
      <c r="Q132" s="301"/>
      <c r="R132" s="301"/>
      <c r="S132" s="301"/>
      <c r="T132" s="301"/>
      <c r="U132" s="301"/>
      <c r="V132" s="301"/>
      <c r="W132" s="301"/>
      <c r="X132" s="301"/>
      <c r="Y132" s="301"/>
      <c r="Z132" s="301"/>
    </row>
    <row r="133" spans="1:26" ht="15.75" customHeight="1">
      <c r="A133" s="301"/>
      <c r="B133" s="301"/>
      <c r="C133" s="301"/>
      <c r="D133" s="301"/>
      <c r="E133" s="301"/>
      <c r="F133" s="301"/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S133" s="301"/>
      <c r="T133" s="301"/>
      <c r="U133" s="301"/>
      <c r="V133" s="301"/>
      <c r="W133" s="301"/>
      <c r="X133" s="301"/>
      <c r="Y133" s="301"/>
      <c r="Z133" s="301"/>
    </row>
    <row r="134" spans="1:26" ht="15.75" customHeight="1">
      <c r="A134" s="301"/>
      <c r="B134" s="301"/>
      <c r="C134" s="301"/>
      <c r="D134" s="301"/>
      <c r="E134" s="301"/>
      <c r="F134" s="301"/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S134" s="301"/>
      <c r="T134" s="301"/>
      <c r="U134" s="301"/>
      <c r="V134" s="301"/>
      <c r="W134" s="301"/>
      <c r="X134" s="301"/>
      <c r="Y134" s="301"/>
      <c r="Z134" s="301"/>
    </row>
    <row r="135" spans="1:26" ht="15.75" customHeight="1">
      <c r="A135" s="301"/>
      <c r="B135" s="301"/>
      <c r="C135" s="301"/>
      <c r="D135" s="301"/>
      <c r="E135" s="301"/>
      <c r="F135" s="301"/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S135" s="301"/>
      <c r="T135" s="301"/>
      <c r="U135" s="301"/>
      <c r="V135" s="301"/>
      <c r="W135" s="301"/>
      <c r="X135" s="301"/>
      <c r="Y135" s="301"/>
      <c r="Z135" s="301"/>
    </row>
    <row r="136" spans="1:26" ht="15.75" customHeight="1">
      <c r="A136" s="301"/>
      <c r="B136" s="301"/>
      <c r="C136" s="301"/>
      <c r="D136" s="301"/>
      <c r="E136" s="301"/>
      <c r="F136" s="301"/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S136" s="301"/>
      <c r="T136" s="301"/>
      <c r="U136" s="301"/>
      <c r="V136" s="301"/>
      <c r="W136" s="301"/>
      <c r="X136" s="301"/>
      <c r="Y136" s="301"/>
      <c r="Z136" s="301"/>
    </row>
    <row r="137" spans="1:26" ht="15.75" customHeight="1">
      <c r="A137" s="301"/>
      <c r="B137" s="301"/>
      <c r="C137" s="301"/>
      <c r="D137" s="301"/>
      <c r="E137" s="301"/>
      <c r="F137" s="301"/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S137" s="301"/>
      <c r="T137" s="301"/>
      <c r="U137" s="301"/>
      <c r="V137" s="301"/>
      <c r="W137" s="301"/>
      <c r="X137" s="301"/>
      <c r="Y137" s="301"/>
      <c r="Z137" s="301"/>
    </row>
    <row r="138" spans="1:26" ht="15.75" customHeight="1">
      <c r="A138" s="301"/>
      <c r="B138" s="301"/>
      <c r="C138" s="301"/>
      <c r="D138" s="301"/>
      <c r="E138" s="301"/>
      <c r="F138" s="301"/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S138" s="301"/>
      <c r="T138" s="301"/>
      <c r="U138" s="301"/>
      <c r="V138" s="301"/>
      <c r="W138" s="301"/>
      <c r="X138" s="301"/>
      <c r="Y138" s="301"/>
      <c r="Z138" s="301"/>
    </row>
    <row r="139" spans="1:26" ht="15.75" customHeight="1">
      <c r="A139" s="301"/>
      <c r="B139" s="301"/>
      <c r="C139" s="301"/>
      <c r="D139" s="301"/>
      <c r="E139" s="301"/>
      <c r="F139" s="301"/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S139" s="301"/>
      <c r="T139" s="301"/>
      <c r="U139" s="301"/>
      <c r="V139" s="301"/>
      <c r="W139" s="301"/>
      <c r="X139" s="301"/>
      <c r="Y139" s="301"/>
      <c r="Z139" s="301"/>
    </row>
    <row r="140" spans="1:26" ht="15.75" customHeight="1">
      <c r="A140" s="301"/>
      <c r="B140" s="301"/>
      <c r="C140" s="301"/>
      <c r="D140" s="301"/>
      <c r="E140" s="301"/>
      <c r="F140" s="301"/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S140" s="301"/>
      <c r="T140" s="301"/>
      <c r="U140" s="301"/>
      <c r="V140" s="301"/>
      <c r="W140" s="301"/>
      <c r="X140" s="301"/>
      <c r="Y140" s="301"/>
      <c r="Z140" s="301"/>
    </row>
    <row r="141" spans="1:26" ht="15.75" customHeight="1">
      <c r="A141" s="301"/>
      <c r="B141" s="301"/>
      <c r="C141" s="301"/>
      <c r="D141" s="301"/>
      <c r="E141" s="301"/>
      <c r="F141" s="301"/>
      <c r="G141" s="301"/>
      <c r="H141" s="301"/>
      <c r="I141" s="301"/>
      <c r="J141" s="301"/>
      <c r="K141" s="301"/>
      <c r="L141" s="301"/>
      <c r="M141" s="301"/>
      <c r="N141" s="301"/>
      <c r="O141" s="301"/>
      <c r="P141" s="301"/>
      <c r="Q141" s="301"/>
      <c r="R141" s="301"/>
      <c r="S141" s="301"/>
      <c r="T141" s="301"/>
      <c r="U141" s="301"/>
      <c r="V141" s="301"/>
      <c r="W141" s="301"/>
      <c r="X141" s="301"/>
      <c r="Y141" s="301"/>
      <c r="Z141" s="301"/>
    </row>
    <row r="142" spans="1:26" ht="15.75" customHeight="1">
      <c r="A142" s="301"/>
      <c r="B142" s="301"/>
      <c r="C142" s="301"/>
      <c r="D142" s="301"/>
      <c r="E142" s="301"/>
      <c r="F142" s="301"/>
      <c r="G142" s="301"/>
      <c r="H142" s="301"/>
      <c r="I142" s="301"/>
      <c r="J142" s="301"/>
      <c r="K142" s="301"/>
      <c r="L142" s="301"/>
      <c r="M142" s="301"/>
      <c r="N142" s="301"/>
      <c r="O142" s="301"/>
      <c r="P142" s="301"/>
      <c r="Q142" s="301"/>
      <c r="R142" s="301"/>
      <c r="S142" s="301"/>
      <c r="T142" s="301"/>
      <c r="U142" s="301"/>
      <c r="V142" s="301"/>
      <c r="W142" s="301"/>
      <c r="X142" s="301"/>
      <c r="Y142" s="301"/>
      <c r="Z142" s="301"/>
    </row>
    <row r="143" spans="1:26" ht="15.75" customHeight="1">
      <c r="A143" s="301"/>
      <c r="B143" s="301"/>
      <c r="C143" s="301"/>
      <c r="D143" s="301"/>
      <c r="E143" s="301"/>
      <c r="F143" s="301"/>
      <c r="G143" s="301"/>
      <c r="H143" s="301"/>
      <c r="I143" s="301"/>
      <c r="J143" s="301"/>
      <c r="K143" s="301"/>
      <c r="L143" s="301"/>
      <c r="M143" s="301"/>
      <c r="N143" s="301"/>
      <c r="O143" s="301"/>
      <c r="P143" s="301"/>
      <c r="Q143" s="301"/>
      <c r="R143" s="301"/>
      <c r="S143" s="301"/>
      <c r="T143" s="301"/>
      <c r="U143" s="301"/>
      <c r="V143" s="301"/>
      <c r="W143" s="301"/>
      <c r="X143" s="301"/>
      <c r="Y143" s="301"/>
      <c r="Z143" s="301"/>
    </row>
    <row r="144" spans="1:26" ht="15.75" customHeight="1">
      <c r="A144" s="301"/>
      <c r="B144" s="301"/>
      <c r="C144" s="301"/>
      <c r="D144" s="301"/>
      <c r="E144" s="301"/>
      <c r="F144" s="301"/>
      <c r="G144" s="301"/>
      <c r="H144" s="301"/>
      <c r="I144" s="301"/>
      <c r="J144" s="301"/>
      <c r="K144" s="301"/>
      <c r="L144" s="301"/>
      <c r="M144" s="301"/>
      <c r="N144" s="301"/>
      <c r="O144" s="301"/>
      <c r="P144" s="301"/>
      <c r="Q144" s="301"/>
      <c r="R144" s="301"/>
      <c r="S144" s="301"/>
      <c r="T144" s="301"/>
      <c r="U144" s="301"/>
      <c r="V144" s="301"/>
      <c r="W144" s="301"/>
      <c r="X144" s="301"/>
      <c r="Y144" s="301"/>
      <c r="Z144" s="301"/>
    </row>
    <row r="145" spans="1:26" ht="15.75" customHeight="1">
      <c r="A145" s="301"/>
      <c r="B145" s="301"/>
      <c r="C145" s="301"/>
      <c r="D145" s="301"/>
      <c r="E145" s="301"/>
      <c r="F145" s="301"/>
      <c r="G145" s="301"/>
      <c r="H145" s="301"/>
      <c r="I145" s="301"/>
      <c r="J145" s="301"/>
      <c r="K145" s="301"/>
      <c r="L145" s="301"/>
      <c r="M145" s="301"/>
      <c r="N145" s="301"/>
      <c r="O145" s="301"/>
      <c r="P145" s="301"/>
      <c r="Q145" s="301"/>
      <c r="R145" s="301"/>
      <c r="S145" s="301"/>
      <c r="T145" s="301"/>
      <c r="U145" s="301"/>
      <c r="V145" s="301"/>
      <c r="W145" s="301"/>
      <c r="X145" s="301"/>
      <c r="Y145" s="301"/>
      <c r="Z145" s="301"/>
    </row>
    <row r="146" spans="1:26" ht="15.75" customHeight="1">
      <c r="A146" s="301"/>
      <c r="B146" s="301"/>
      <c r="C146" s="301"/>
      <c r="D146" s="301"/>
      <c r="E146" s="301"/>
      <c r="F146" s="301"/>
      <c r="G146" s="301"/>
      <c r="H146" s="301"/>
      <c r="I146" s="301"/>
      <c r="J146" s="301"/>
      <c r="K146" s="301"/>
      <c r="L146" s="301"/>
      <c r="M146" s="301"/>
      <c r="N146" s="301"/>
      <c r="O146" s="301"/>
      <c r="P146" s="301"/>
      <c r="Q146" s="301"/>
      <c r="R146" s="301"/>
      <c r="S146" s="301"/>
      <c r="T146" s="301"/>
      <c r="U146" s="301"/>
      <c r="V146" s="301"/>
      <c r="W146" s="301"/>
      <c r="X146" s="301"/>
      <c r="Y146" s="301"/>
      <c r="Z146" s="301"/>
    </row>
    <row r="147" spans="1:26" ht="15.75" customHeight="1">
      <c r="A147" s="301"/>
      <c r="B147" s="301"/>
      <c r="C147" s="301"/>
      <c r="D147" s="301"/>
      <c r="E147" s="301"/>
      <c r="F147" s="301"/>
      <c r="G147" s="301"/>
      <c r="H147" s="301"/>
      <c r="I147" s="301"/>
      <c r="J147" s="301"/>
      <c r="K147" s="301"/>
      <c r="L147" s="301"/>
      <c r="M147" s="301"/>
      <c r="N147" s="301"/>
      <c r="O147" s="301"/>
      <c r="P147" s="301"/>
      <c r="Q147" s="301"/>
      <c r="R147" s="301"/>
      <c r="S147" s="301"/>
      <c r="T147" s="301"/>
      <c r="U147" s="301"/>
      <c r="V147" s="301"/>
      <c r="W147" s="301"/>
      <c r="X147" s="301"/>
      <c r="Y147" s="301"/>
      <c r="Z147" s="301"/>
    </row>
    <row r="148" spans="1:26" ht="15.75" customHeight="1">
      <c r="A148" s="301"/>
      <c r="B148" s="301"/>
      <c r="C148" s="301"/>
      <c r="D148" s="301"/>
      <c r="E148" s="301"/>
      <c r="F148" s="301"/>
      <c r="G148" s="301"/>
      <c r="H148" s="301"/>
      <c r="I148" s="301"/>
      <c r="J148" s="301"/>
      <c r="K148" s="301"/>
      <c r="L148" s="301"/>
      <c r="M148" s="301"/>
      <c r="N148" s="301"/>
      <c r="O148" s="301"/>
      <c r="P148" s="301"/>
      <c r="Q148" s="301"/>
      <c r="R148" s="301"/>
      <c r="S148" s="301"/>
      <c r="T148" s="301"/>
      <c r="U148" s="301"/>
      <c r="V148" s="301"/>
      <c r="W148" s="301"/>
      <c r="X148" s="301"/>
      <c r="Y148" s="301"/>
      <c r="Z148" s="301"/>
    </row>
    <row r="149" spans="1:26" ht="15.75" customHeight="1">
      <c r="A149" s="301"/>
      <c r="B149" s="301"/>
      <c r="C149" s="301"/>
      <c r="D149" s="301"/>
      <c r="E149" s="301"/>
      <c r="F149" s="301"/>
      <c r="G149" s="301"/>
      <c r="H149" s="301"/>
      <c r="I149" s="301"/>
      <c r="J149" s="301"/>
      <c r="K149" s="301"/>
      <c r="L149" s="301"/>
      <c r="M149" s="301"/>
      <c r="N149" s="301"/>
      <c r="O149" s="301"/>
      <c r="P149" s="301"/>
      <c r="Q149" s="301"/>
      <c r="R149" s="301"/>
      <c r="S149" s="301"/>
      <c r="T149" s="301"/>
      <c r="U149" s="301"/>
      <c r="V149" s="301"/>
      <c r="W149" s="301"/>
      <c r="X149" s="301"/>
      <c r="Y149" s="301"/>
      <c r="Z149" s="301"/>
    </row>
    <row r="150" spans="1:26" ht="15.75" customHeight="1">
      <c r="A150" s="301"/>
      <c r="B150" s="301"/>
      <c r="C150" s="301"/>
      <c r="D150" s="301"/>
      <c r="E150" s="301"/>
      <c r="F150" s="301"/>
      <c r="G150" s="301"/>
      <c r="H150" s="301"/>
      <c r="I150" s="301"/>
      <c r="J150" s="301"/>
      <c r="K150" s="301"/>
      <c r="L150" s="301"/>
      <c r="M150" s="301"/>
      <c r="N150" s="301"/>
      <c r="O150" s="301"/>
      <c r="P150" s="301"/>
      <c r="Q150" s="301"/>
      <c r="R150" s="301"/>
      <c r="S150" s="301"/>
      <c r="T150" s="301"/>
      <c r="U150" s="301"/>
      <c r="V150" s="301"/>
      <c r="W150" s="301"/>
      <c r="X150" s="301"/>
      <c r="Y150" s="301"/>
      <c r="Z150" s="301"/>
    </row>
    <row r="151" spans="1:26" ht="15.75" customHeight="1">
      <c r="A151" s="301"/>
      <c r="B151" s="301"/>
      <c r="C151" s="301"/>
      <c r="D151" s="301"/>
      <c r="E151" s="301"/>
      <c r="F151" s="301"/>
      <c r="G151" s="301"/>
      <c r="H151" s="301"/>
      <c r="I151" s="301"/>
      <c r="J151" s="301"/>
      <c r="K151" s="301"/>
      <c r="L151" s="301"/>
      <c r="M151" s="301"/>
      <c r="N151" s="301"/>
      <c r="O151" s="301"/>
      <c r="P151" s="301"/>
      <c r="Q151" s="301"/>
      <c r="R151" s="301"/>
      <c r="S151" s="301"/>
      <c r="T151" s="301"/>
      <c r="U151" s="301"/>
      <c r="V151" s="301"/>
      <c r="W151" s="301"/>
      <c r="X151" s="301"/>
      <c r="Y151" s="301"/>
      <c r="Z151" s="301"/>
    </row>
    <row r="152" spans="1:26" ht="15.75" customHeight="1">
      <c r="A152" s="301"/>
      <c r="B152" s="301"/>
      <c r="C152" s="301"/>
      <c r="D152" s="301"/>
      <c r="E152" s="301"/>
      <c r="F152" s="301"/>
      <c r="G152" s="301"/>
      <c r="H152" s="301"/>
      <c r="I152" s="301"/>
      <c r="J152" s="301"/>
      <c r="K152" s="301"/>
      <c r="L152" s="301"/>
      <c r="M152" s="301"/>
      <c r="N152" s="301"/>
      <c r="O152" s="301"/>
      <c r="P152" s="301"/>
      <c r="Q152" s="301"/>
      <c r="R152" s="301"/>
      <c r="S152" s="301"/>
      <c r="T152" s="301"/>
      <c r="U152" s="301"/>
      <c r="V152" s="301"/>
      <c r="W152" s="301"/>
      <c r="X152" s="301"/>
      <c r="Y152" s="301"/>
      <c r="Z152" s="301"/>
    </row>
    <row r="153" spans="1:26" ht="15.75" customHeight="1">
      <c r="A153" s="301"/>
      <c r="B153" s="301"/>
      <c r="C153" s="301"/>
      <c r="D153" s="301"/>
      <c r="E153" s="301"/>
      <c r="F153" s="301"/>
      <c r="G153" s="301"/>
      <c r="H153" s="301"/>
      <c r="I153" s="301"/>
      <c r="J153" s="301"/>
      <c r="K153" s="301"/>
      <c r="L153" s="301"/>
      <c r="M153" s="301"/>
      <c r="N153" s="301"/>
      <c r="O153" s="301"/>
      <c r="P153" s="301"/>
      <c r="Q153" s="301"/>
      <c r="R153" s="301"/>
      <c r="S153" s="301"/>
      <c r="T153" s="301"/>
      <c r="U153" s="301"/>
      <c r="V153" s="301"/>
      <c r="W153" s="301"/>
      <c r="X153" s="301"/>
      <c r="Y153" s="301"/>
      <c r="Z153" s="301"/>
    </row>
    <row r="154" spans="1:26" ht="15.75" customHeight="1">
      <c r="A154" s="301"/>
      <c r="B154" s="301"/>
      <c r="C154" s="301"/>
      <c r="D154" s="301"/>
      <c r="E154" s="301"/>
      <c r="F154" s="301"/>
      <c r="G154" s="301"/>
      <c r="H154" s="301"/>
      <c r="I154" s="301"/>
      <c r="J154" s="301"/>
      <c r="K154" s="301"/>
      <c r="L154" s="301"/>
      <c r="M154" s="301"/>
      <c r="N154" s="301"/>
      <c r="O154" s="301"/>
      <c r="P154" s="301"/>
      <c r="Q154" s="301"/>
      <c r="R154" s="301"/>
      <c r="S154" s="301"/>
      <c r="T154" s="301"/>
      <c r="U154" s="301"/>
      <c r="V154" s="301"/>
      <c r="W154" s="301"/>
      <c r="X154" s="301"/>
      <c r="Y154" s="301"/>
      <c r="Z154" s="301"/>
    </row>
    <row r="155" spans="1:26" ht="15.75" customHeight="1">
      <c r="A155" s="301"/>
      <c r="B155" s="301"/>
      <c r="C155" s="301"/>
      <c r="D155" s="301"/>
      <c r="E155" s="301"/>
      <c r="F155" s="301"/>
      <c r="G155" s="301"/>
      <c r="H155" s="301"/>
      <c r="I155" s="301"/>
      <c r="J155" s="301"/>
      <c r="K155" s="301"/>
      <c r="L155" s="301"/>
      <c r="M155" s="301"/>
      <c r="N155" s="301"/>
      <c r="O155" s="301"/>
      <c r="P155" s="301"/>
      <c r="Q155" s="301"/>
      <c r="R155" s="301"/>
      <c r="S155" s="301"/>
      <c r="T155" s="301"/>
      <c r="U155" s="301"/>
      <c r="V155" s="301"/>
      <c r="W155" s="301"/>
      <c r="X155" s="301"/>
      <c r="Y155" s="301"/>
      <c r="Z155" s="301"/>
    </row>
    <row r="156" spans="1:26" ht="15.75" customHeight="1">
      <c r="A156" s="301"/>
      <c r="B156" s="301"/>
      <c r="C156" s="301"/>
      <c r="D156" s="301"/>
      <c r="E156" s="301"/>
      <c r="F156" s="301"/>
      <c r="G156" s="301"/>
      <c r="H156" s="301"/>
      <c r="I156" s="301"/>
      <c r="J156" s="301"/>
      <c r="K156" s="301"/>
      <c r="L156" s="301"/>
      <c r="M156" s="301"/>
      <c r="N156" s="301"/>
      <c r="O156" s="301"/>
      <c r="P156" s="301"/>
      <c r="Q156" s="301"/>
      <c r="R156" s="301"/>
      <c r="S156" s="301"/>
      <c r="T156" s="301"/>
      <c r="U156" s="301"/>
      <c r="V156" s="301"/>
      <c r="W156" s="301"/>
      <c r="X156" s="301"/>
      <c r="Y156" s="301"/>
      <c r="Z156" s="301"/>
    </row>
    <row r="157" spans="1:26" ht="15.75" customHeight="1">
      <c r="A157" s="301"/>
      <c r="B157" s="301"/>
      <c r="C157" s="301"/>
      <c r="D157" s="301"/>
      <c r="E157" s="301"/>
      <c r="F157" s="301"/>
      <c r="G157" s="301"/>
      <c r="H157" s="301"/>
      <c r="I157" s="301"/>
      <c r="J157" s="301"/>
      <c r="K157" s="301"/>
      <c r="L157" s="301"/>
      <c r="M157" s="301"/>
      <c r="N157" s="301"/>
      <c r="O157" s="301"/>
      <c r="P157" s="301"/>
      <c r="Q157" s="301"/>
      <c r="R157" s="301"/>
      <c r="S157" s="301"/>
      <c r="T157" s="301"/>
      <c r="U157" s="301"/>
      <c r="V157" s="301"/>
      <c r="W157" s="301"/>
      <c r="X157" s="301"/>
      <c r="Y157" s="301"/>
      <c r="Z157" s="301"/>
    </row>
    <row r="158" spans="1:26" ht="15.75" customHeight="1">
      <c r="A158" s="301"/>
      <c r="B158" s="301"/>
      <c r="C158" s="301"/>
      <c r="D158" s="301"/>
      <c r="E158" s="301"/>
      <c r="F158" s="301"/>
      <c r="G158" s="301"/>
      <c r="H158" s="301"/>
      <c r="I158" s="301"/>
      <c r="J158" s="301"/>
      <c r="K158" s="301"/>
      <c r="L158" s="301"/>
      <c r="M158" s="301"/>
      <c r="N158" s="301"/>
      <c r="O158" s="301"/>
      <c r="P158" s="301"/>
      <c r="Q158" s="301"/>
      <c r="R158" s="301"/>
      <c r="S158" s="301"/>
      <c r="T158" s="301"/>
      <c r="U158" s="301"/>
      <c r="V158" s="301"/>
      <c r="W158" s="301"/>
      <c r="X158" s="301"/>
      <c r="Y158" s="301"/>
      <c r="Z158" s="301"/>
    </row>
    <row r="159" spans="1:26" ht="15.75" customHeight="1">
      <c r="A159" s="301"/>
      <c r="B159" s="301"/>
      <c r="C159" s="301"/>
      <c r="D159" s="301"/>
      <c r="E159" s="301"/>
      <c r="F159" s="301"/>
      <c r="G159" s="301"/>
      <c r="H159" s="301"/>
      <c r="I159" s="301"/>
      <c r="J159" s="301"/>
      <c r="K159" s="301"/>
      <c r="L159" s="301"/>
      <c r="M159" s="301"/>
      <c r="N159" s="301"/>
      <c r="O159" s="301"/>
      <c r="P159" s="301"/>
      <c r="Q159" s="301"/>
      <c r="R159" s="301"/>
      <c r="S159" s="301"/>
      <c r="T159" s="301"/>
      <c r="U159" s="301"/>
      <c r="V159" s="301"/>
      <c r="W159" s="301"/>
      <c r="X159" s="301"/>
      <c r="Y159" s="301"/>
      <c r="Z159" s="301"/>
    </row>
    <row r="160" spans="1:26" ht="15.75" customHeight="1">
      <c r="A160" s="301"/>
      <c r="B160" s="301"/>
      <c r="C160" s="301"/>
      <c r="D160" s="301"/>
      <c r="E160" s="301"/>
      <c r="F160" s="301"/>
      <c r="G160" s="301"/>
      <c r="H160" s="301"/>
      <c r="I160" s="301"/>
      <c r="J160" s="301"/>
      <c r="K160" s="301"/>
      <c r="L160" s="301"/>
      <c r="M160" s="301"/>
      <c r="N160" s="301"/>
      <c r="O160" s="301"/>
      <c r="P160" s="301"/>
      <c r="Q160" s="301"/>
      <c r="R160" s="301"/>
      <c r="S160" s="301"/>
      <c r="T160" s="301"/>
      <c r="U160" s="301"/>
      <c r="V160" s="301"/>
      <c r="W160" s="301"/>
      <c r="X160" s="301"/>
      <c r="Y160" s="301"/>
      <c r="Z160" s="301"/>
    </row>
    <row r="161" spans="1:26" ht="15.75" customHeight="1">
      <c r="A161" s="301"/>
      <c r="B161" s="301"/>
      <c r="C161" s="301"/>
      <c r="D161" s="301"/>
      <c r="E161" s="301"/>
      <c r="F161" s="301"/>
      <c r="G161" s="301"/>
      <c r="H161" s="301"/>
      <c r="I161" s="301"/>
      <c r="J161" s="301"/>
      <c r="K161" s="301"/>
      <c r="L161" s="301"/>
      <c r="M161" s="301"/>
      <c r="N161" s="301"/>
      <c r="O161" s="301"/>
      <c r="P161" s="301"/>
      <c r="Q161" s="301"/>
      <c r="R161" s="301"/>
      <c r="S161" s="301"/>
      <c r="T161" s="301"/>
      <c r="U161" s="301"/>
      <c r="V161" s="301"/>
      <c r="W161" s="301"/>
      <c r="X161" s="301"/>
      <c r="Y161" s="301"/>
      <c r="Z161" s="301"/>
    </row>
    <row r="162" spans="1:26" ht="15.75" customHeight="1">
      <c r="A162" s="301"/>
      <c r="B162" s="301"/>
      <c r="C162" s="301"/>
      <c r="D162" s="301"/>
      <c r="E162" s="301"/>
      <c r="F162" s="301"/>
      <c r="G162" s="301"/>
      <c r="H162" s="301"/>
      <c r="I162" s="301"/>
      <c r="J162" s="301"/>
      <c r="K162" s="301"/>
      <c r="L162" s="301"/>
      <c r="M162" s="301"/>
      <c r="N162" s="301"/>
      <c r="O162" s="301"/>
      <c r="P162" s="301"/>
      <c r="Q162" s="301"/>
      <c r="R162" s="301"/>
      <c r="S162" s="301"/>
      <c r="T162" s="301"/>
      <c r="U162" s="301"/>
      <c r="V162" s="301"/>
      <c r="W162" s="301"/>
      <c r="X162" s="301"/>
      <c r="Y162" s="301"/>
      <c r="Z162" s="301"/>
    </row>
    <row r="163" spans="1:26" ht="15.75" customHeight="1">
      <c r="A163" s="301"/>
      <c r="B163" s="301"/>
      <c r="C163" s="301"/>
      <c r="D163" s="301"/>
      <c r="E163" s="301"/>
      <c r="F163" s="301"/>
      <c r="G163" s="301"/>
      <c r="H163" s="301"/>
      <c r="I163" s="301"/>
      <c r="J163" s="301"/>
      <c r="K163" s="301"/>
      <c r="L163" s="301"/>
      <c r="M163" s="301"/>
      <c r="N163" s="301"/>
      <c r="O163" s="301"/>
      <c r="P163" s="301"/>
      <c r="Q163" s="301"/>
      <c r="R163" s="301"/>
      <c r="S163" s="301"/>
      <c r="T163" s="301"/>
      <c r="U163" s="301"/>
      <c r="V163" s="301"/>
      <c r="W163" s="301"/>
      <c r="X163" s="301"/>
      <c r="Y163" s="301"/>
      <c r="Z163" s="301"/>
    </row>
    <row r="164" spans="1:26" ht="15.75" customHeight="1">
      <c r="A164" s="301"/>
      <c r="B164" s="301"/>
      <c r="C164" s="301"/>
      <c r="D164" s="301"/>
      <c r="E164" s="301"/>
      <c r="F164" s="301"/>
      <c r="G164" s="301"/>
      <c r="H164" s="301"/>
      <c r="I164" s="301"/>
      <c r="J164" s="301"/>
      <c r="K164" s="301"/>
      <c r="L164" s="301"/>
      <c r="M164" s="301"/>
      <c r="N164" s="301"/>
      <c r="O164" s="301"/>
      <c r="P164" s="301"/>
      <c r="Q164" s="301"/>
      <c r="R164" s="301"/>
      <c r="S164" s="301"/>
      <c r="T164" s="301"/>
      <c r="U164" s="301"/>
      <c r="V164" s="301"/>
      <c r="W164" s="301"/>
      <c r="X164" s="301"/>
      <c r="Y164" s="301"/>
      <c r="Z164" s="301"/>
    </row>
    <row r="165" spans="1:26" ht="15.75" customHeight="1">
      <c r="A165" s="301"/>
      <c r="B165" s="301"/>
      <c r="C165" s="301"/>
      <c r="D165" s="301"/>
      <c r="E165" s="301"/>
      <c r="F165" s="301"/>
      <c r="G165" s="301"/>
      <c r="H165" s="301"/>
      <c r="I165" s="301"/>
      <c r="J165" s="301"/>
      <c r="K165" s="301"/>
      <c r="L165" s="301"/>
      <c r="M165" s="301"/>
      <c r="N165" s="301"/>
      <c r="O165" s="301"/>
      <c r="P165" s="301"/>
      <c r="Q165" s="301"/>
      <c r="R165" s="301"/>
      <c r="S165" s="301"/>
      <c r="T165" s="301"/>
      <c r="U165" s="301"/>
      <c r="V165" s="301"/>
      <c r="W165" s="301"/>
      <c r="X165" s="301"/>
      <c r="Y165" s="301"/>
      <c r="Z165" s="301"/>
    </row>
    <row r="166" spans="1:26" ht="15.75" customHeight="1">
      <c r="A166" s="301"/>
      <c r="B166" s="301"/>
      <c r="C166" s="301"/>
      <c r="D166" s="301"/>
      <c r="E166" s="301"/>
      <c r="F166" s="301"/>
      <c r="G166" s="301"/>
      <c r="H166" s="301"/>
      <c r="I166" s="301"/>
      <c r="J166" s="301"/>
      <c r="K166" s="301"/>
      <c r="L166" s="301"/>
      <c r="M166" s="301"/>
      <c r="N166" s="301"/>
      <c r="O166" s="301"/>
      <c r="P166" s="301"/>
      <c r="Q166" s="301"/>
      <c r="R166" s="301"/>
      <c r="S166" s="301"/>
      <c r="T166" s="301"/>
      <c r="U166" s="301"/>
      <c r="V166" s="301"/>
      <c r="W166" s="301"/>
      <c r="X166" s="301"/>
      <c r="Y166" s="301"/>
      <c r="Z166" s="301"/>
    </row>
    <row r="167" spans="1:26" ht="15.75" customHeight="1">
      <c r="A167" s="301"/>
      <c r="B167" s="301"/>
      <c r="C167" s="301"/>
      <c r="D167" s="301"/>
      <c r="E167" s="301"/>
      <c r="F167" s="301"/>
      <c r="G167" s="301"/>
      <c r="H167" s="301"/>
      <c r="I167" s="301"/>
      <c r="J167" s="301"/>
      <c r="K167" s="301"/>
      <c r="L167" s="301"/>
      <c r="M167" s="301"/>
      <c r="N167" s="301"/>
      <c r="O167" s="301"/>
      <c r="P167" s="301"/>
      <c r="Q167" s="301"/>
      <c r="R167" s="301"/>
      <c r="S167" s="301"/>
      <c r="T167" s="301"/>
      <c r="U167" s="301"/>
      <c r="V167" s="301"/>
      <c r="W167" s="301"/>
      <c r="X167" s="301"/>
      <c r="Y167" s="301"/>
      <c r="Z167" s="301"/>
    </row>
    <row r="168" spans="1:26" ht="15.75" customHeight="1">
      <c r="A168" s="301"/>
      <c r="B168" s="301"/>
      <c r="C168" s="301"/>
      <c r="D168" s="301"/>
      <c r="E168" s="301"/>
      <c r="F168" s="301"/>
      <c r="G168" s="301"/>
      <c r="H168" s="301"/>
      <c r="I168" s="301"/>
      <c r="J168" s="301"/>
      <c r="K168" s="301"/>
      <c r="L168" s="301"/>
      <c r="M168" s="301"/>
      <c r="N168" s="301"/>
      <c r="O168" s="301"/>
      <c r="P168" s="301"/>
      <c r="Q168" s="301"/>
      <c r="R168" s="301"/>
      <c r="S168" s="301"/>
      <c r="T168" s="301"/>
      <c r="U168" s="301"/>
      <c r="V168" s="301"/>
      <c r="W168" s="301"/>
      <c r="X168" s="301"/>
      <c r="Y168" s="301"/>
      <c r="Z168" s="301"/>
    </row>
    <row r="169" spans="1:26" ht="15.75" customHeight="1">
      <c r="A169" s="301"/>
      <c r="B169" s="301"/>
      <c r="C169" s="301"/>
      <c r="D169" s="301"/>
      <c r="E169" s="301"/>
      <c r="F169" s="301"/>
      <c r="G169" s="301"/>
      <c r="H169" s="301"/>
      <c r="I169" s="301"/>
      <c r="J169" s="301"/>
      <c r="K169" s="301"/>
      <c r="L169" s="301"/>
      <c r="M169" s="301"/>
      <c r="N169" s="301"/>
      <c r="O169" s="301"/>
      <c r="P169" s="301"/>
      <c r="Q169" s="301"/>
      <c r="R169" s="301"/>
      <c r="S169" s="301"/>
      <c r="T169" s="301"/>
      <c r="U169" s="301"/>
      <c r="V169" s="301"/>
      <c r="W169" s="301"/>
      <c r="X169" s="301"/>
      <c r="Y169" s="301"/>
      <c r="Z169" s="301"/>
    </row>
    <row r="170" spans="1:26" ht="15.75" customHeight="1">
      <c r="A170" s="301"/>
      <c r="B170" s="301"/>
      <c r="C170" s="301"/>
      <c r="D170" s="301"/>
      <c r="E170" s="301"/>
      <c r="F170" s="301"/>
      <c r="G170" s="301"/>
      <c r="H170" s="301"/>
      <c r="I170" s="301"/>
      <c r="J170" s="301"/>
      <c r="K170" s="301"/>
      <c r="L170" s="301"/>
      <c r="M170" s="301"/>
      <c r="N170" s="301"/>
      <c r="O170" s="301"/>
      <c r="P170" s="301"/>
      <c r="Q170" s="301"/>
      <c r="R170" s="301"/>
      <c r="S170" s="301"/>
      <c r="T170" s="301"/>
      <c r="U170" s="301"/>
      <c r="V170" s="301"/>
      <c r="W170" s="301"/>
      <c r="X170" s="301"/>
      <c r="Y170" s="301"/>
      <c r="Z170" s="301"/>
    </row>
    <row r="171" spans="1:26" ht="15.75" customHeight="1">
      <c r="A171" s="301"/>
      <c r="B171" s="301"/>
      <c r="C171" s="301"/>
      <c r="D171" s="301"/>
      <c r="E171" s="301"/>
      <c r="F171" s="301"/>
      <c r="G171" s="301"/>
      <c r="H171" s="301"/>
      <c r="I171" s="301"/>
      <c r="J171" s="301"/>
      <c r="K171" s="301"/>
      <c r="L171" s="301"/>
      <c r="M171" s="301"/>
      <c r="N171" s="301"/>
      <c r="O171" s="301"/>
      <c r="P171" s="301"/>
      <c r="Q171" s="301"/>
      <c r="R171" s="301"/>
      <c r="S171" s="301"/>
      <c r="T171" s="301"/>
      <c r="U171" s="301"/>
      <c r="V171" s="301"/>
      <c r="W171" s="301"/>
      <c r="X171" s="301"/>
      <c r="Y171" s="301"/>
      <c r="Z171" s="301"/>
    </row>
    <row r="172" spans="1:26" ht="15.75" customHeight="1">
      <c r="A172" s="301"/>
      <c r="B172" s="301"/>
      <c r="C172" s="301"/>
      <c r="D172" s="301"/>
      <c r="E172" s="301"/>
      <c r="F172" s="301"/>
      <c r="G172" s="301"/>
      <c r="H172" s="301"/>
      <c r="I172" s="301"/>
      <c r="J172" s="301"/>
      <c r="K172" s="301"/>
      <c r="L172" s="301"/>
      <c r="M172" s="301"/>
      <c r="N172" s="301"/>
      <c r="O172" s="301"/>
      <c r="P172" s="301"/>
      <c r="Q172" s="301"/>
      <c r="R172" s="301"/>
      <c r="S172" s="301"/>
      <c r="T172" s="301"/>
      <c r="U172" s="301"/>
      <c r="V172" s="301"/>
      <c r="W172" s="301"/>
      <c r="X172" s="301"/>
      <c r="Y172" s="301"/>
      <c r="Z172" s="301"/>
    </row>
    <row r="173" spans="1:26" ht="15.75" customHeight="1">
      <c r="A173" s="301"/>
      <c r="B173" s="301"/>
      <c r="C173" s="301"/>
      <c r="D173" s="301"/>
      <c r="E173" s="301"/>
      <c r="F173" s="301"/>
      <c r="G173" s="301"/>
      <c r="H173" s="301"/>
      <c r="I173" s="301"/>
      <c r="J173" s="301"/>
      <c r="K173" s="301"/>
      <c r="L173" s="301"/>
      <c r="M173" s="301"/>
      <c r="N173" s="301"/>
      <c r="O173" s="301"/>
      <c r="P173" s="301"/>
      <c r="Q173" s="301"/>
      <c r="R173" s="301"/>
      <c r="S173" s="301"/>
      <c r="T173" s="301"/>
      <c r="U173" s="301"/>
      <c r="V173" s="301"/>
      <c r="W173" s="301"/>
      <c r="X173" s="301"/>
      <c r="Y173" s="301"/>
      <c r="Z173" s="301"/>
    </row>
    <row r="174" spans="1:26" ht="15.75" customHeight="1">
      <c r="A174" s="301"/>
      <c r="B174" s="301"/>
      <c r="C174" s="301"/>
      <c r="D174" s="301"/>
      <c r="E174" s="301"/>
      <c r="F174" s="301"/>
      <c r="G174" s="301"/>
      <c r="H174" s="301"/>
      <c r="I174" s="301"/>
      <c r="J174" s="301"/>
      <c r="K174" s="301"/>
      <c r="L174" s="301"/>
      <c r="M174" s="301"/>
      <c r="N174" s="301"/>
      <c r="O174" s="301"/>
      <c r="P174" s="301"/>
      <c r="Q174" s="301"/>
      <c r="R174" s="301"/>
      <c r="S174" s="301"/>
      <c r="T174" s="301"/>
      <c r="U174" s="301"/>
      <c r="V174" s="301"/>
      <c r="W174" s="301"/>
      <c r="X174" s="301"/>
      <c r="Y174" s="301"/>
      <c r="Z174" s="301"/>
    </row>
    <row r="175" spans="1:26" ht="15.75" customHeight="1">
      <c r="A175" s="301"/>
      <c r="B175" s="301"/>
      <c r="C175" s="301"/>
      <c r="D175" s="301"/>
      <c r="E175" s="301"/>
      <c r="F175" s="301"/>
      <c r="G175" s="301"/>
      <c r="H175" s="301"/>
      <c r="I175" s="301"/>
      <c r="J175" s="301"/>
      <c r="K175" s="301"/>
      <c r="L175" s="301"/>
      <c r="M175" s="301"/>
      <c r="N175" s="301"/>
      <c r="O175" s="301"/>
      <c r="P175" s="301"/>
      <c r="Q175" s="301"/>
      <c r="R175" s="301"/>
      <c r="S175" s="301"/>
      <c r="T175" s="301"/>
      <c r="U175" s="301"/>
      <c r="V175" s="301"/>
      <c r="W175" s="301"/>
      <c r="X175" s="301"/>
      <c r="Y175" s="301"/>
      <c r="Z175" s="301"/>
    </row>
    <row r="176" spans="1:26" ht="15.75" customHeight="1">
      <c r="A176" s="301"/>
      <c r="B176" s="301"/>
      <c r="C176" s="301"/>
      <c r="D176" s="301"/>
      <c r="E176" s="301"/>
      <c r="F176" s="301"/>
      <c r="G176" s="301"/>
      <c r="H176" s="301"/>
      <c r="I176" s="301"/>
      <c r="J176" s="301"/>
      <c r="K176" s="301"/>
      <c r="L176" s="301"/>
      <c r="M176" s="301"/>
      <c r="N176" s="301"/>
      <c r="O176" s="301"/>
      <c r="P176" s="301"/>
      <c r="Q176" s="301"/>
      <c r="R176" s="301"/>
      <c r="S176" s="301"/>
      <c r="T176" s="301"/>
      <c r="U176" s="301"/>
      <c r="V176" s="301"/>
      <c r="W176" s="301"/>
      <c r="X176" s="301"/>
      <c r="Y176" s="301"/>
      <c r="Z176" s="301"/>
    </row>
    <row r="177" spans="1:26" ht="15.75" customHeight="1">
      <c r="A177" s="301"/>
      <c r="B177" s="301"/>
      <c r="C177" s="301"/>
      <c r="D177" s="301"/>
      <c r="E177" s="301"/>
      <c r="F177" s="301"/>
      <c r="G177" s="301"/>
      <c r="H177" s="301"/>
      <c r="I177" s="301"/>
      <c r="J177" s="301"/>
      <c r="K177" s="301"/>
      <c r="L177" s="301"/>
      <c r="M177" s="301"/>
      <c r="N177" s="301"/>
      <c r="O177" s="301"/>
      <c r="P177" s="301"/>
      <c r="Q177" s="301"/>
      <c r="R177" s="301"/>
      <c r="S177" s="301"/>
      <c r="T177" s="301"/>
      <c r="U177" s="301"/>
      <c r="V177" s="301"/>
      <c r="W177" s="301"/>
      <c r="X177" s="301"/>
      <c r="Y177" s="301"/>
      <c r="Z177" s="301"/>
    </row>
    <row r="178" spans="1:26" ht="15.75" customHeight="1">
      <c r="A178" s="301"/>
      <c r="B178" s="301"/>
      <c r="C178" s="301"/>
      <c r="D178" s="301"/>
      <c r="E178" s="301"/>
      <c r="F178" s="301"/>
      <c r="G178" s="301"/>
      <c r="H178" s="301"/>
      <c r="I178" s="301"/>
      <c r="J178" s="301"/>
      <c r="K178" s="301"/>
      <c r="L178" s="301"/>
      <c r="M178" s="301"/>
      <c r="N178" s="301"/>
      <c r="O178" s="301"/>
      <c r="P178" s="301"/>
      <c r="Q178" s="301"/>
      <c r="R178" s="301"/>
      <c r="S178" s="301"/>
      <c r="T178" s="301"/>
      <c r="U178" s="301"/>
      <c r="V178" s="301"/>
      <c r="W178" s="301"/>
      <c r="X178" s="301"/>
      <c r="Y178" s="301"/>
      <c r="Z178" s="301"/>
    </row>
    <row r="179" spans="1:26" ht="15.75" customHeight="1">
      <c r="A179" s="301"/>
      <c r="B179" s="301"/>
      <c r="C179" s="301"/>
      <c r="D179" s="301"/>
      <c r="E179" s="301"/>
      <c r="F179" s="301"/>
      <c r="G179" s="301"/>
      <c r="H179" s="301"/>
      <c r="I179" s="301"/>
      <c r="J179" s="301"/>
      <c r="K179" s="301"/>
      <c r="L179" s="301"/>
      <c r="M179" s="301"/>
      <c r="N179" s="301"/>
      <c r="O179" s="301"/>
      <c r="P179" s="301"/>
      <c r="Q179" s="301"/>
      <c r="R179" s="301"/>
      <c r="S179" s="301"/>
      <c r="T179" s="301"/>
      <c r="U179" s="301"/>
      <c r="V179" s="301"/>
      <c r="W179" s="301"/>
      <c r="X179" s="301"/>
      <c r="Y179" s="301"/>
      <c r="Z179" s="301"/>
    </row>
    <row r="180" spans="1:26" ht="15.75" customHeight="1">
      <c r="A180" s="301"/>
      <c r="B180" s="301"/>
      <c r="C180" s="301"/>
      <c r="D180" s="301"/>
      <c r="E180" s="301"/>
      <c r="F180" s="301"/>
      <c r="G180" s="301"/>
      <c r="H180" s="301"/>
      <c r="I180" s="301"/>
      <c r="J180" s="301"/>
      <c r="K180" s="301"/>
      <c r="L180" s="301"/>
      <c r="M180" s="301"/>
      <c r="N180" s="301"/>
      <c r="O180" s="301"/>
      <c r="P180" s="301"/>
      <c r="Q180" s="301"/>
      <c r="R180" s="301"/>
      <c r="S180" s="301"/>
      <c r="T180" s="301"/>
      <c r="U180" s="301"/>
      <c r="V180" s="301"/>
      <c r="W180" s="301"/>
      <c r="X180" s="301"/>
      <c r="Y180" s="301"/>
      <c r="Z180" s="301"/>
    </row>
    <row r="181" spans="1:26" ht="15.75" customHeight="1">
      <c r="A181" s="301"/>
      <c r="B181" s="301"/>
      <c r="C181" s="301"/>
      <c r="D181" s="301"/>
      <c r="E181" s="301"/>
      <c r="F181" s="301"/>
      <c r="G181" s="301"/>
      <c r="H181" s="301"/>
      <c r="I181" s="301"/>
      <c r="J181" s="301"/>
      <c r="K181" s="301"/>
      <c r="L181" s="301"/>
      <c r="M181" s="301"/>
      <c r="N181" s="301"/>
      <c r="O181" s="301"/>
      <c r="P181" s="301"/>
      <c r="Q181" s="301"/>
      <c r="R181" s="301"/>
      <c r="S181" s="301"/>
      <c r="T181" s="301"/>
      <c r="U181" s="301"/>
      <c r="V181" s="301"/>
      <c r="W181" s="301"/>
      <c r="X181" s="301"/>
      <c r="Y181" s="301"/>
      <c r="Z181" s="301"/>
    </row>
    <row r="182" spans="1:26" ht="15.75" customHeight="1">
      <c r="A182" s="301"/>
      <c r="B182" s="301"/>
      <c r="C182" s="301"/>
      <c r="D182" s="301"/>
      <c r="E182" s="301"/>
      <c r="F182" s="301"/>
      <c r="G182" s="301"/>
      <c r="H182" s="301"/>
      <c r="I182" s="301"/>
      <c r="J182" s="301"/>
      <c r="K182" s="301"/>
      <c r="L182" s="301"/>
      <c r="M182" s="301"/>
      <c r="N182" s="301"/>
      <c r="O182" s="301"/>
      <c r="P182" s="301"/>
      <c r="Q182" s="301"/>
      <c r="R182" s="301"/>
      <c r="S182" s="301"/>
      <c r="T182" s="301"/>
      <c r="U182" s="301"/>
      <c r="V182" s="301"/>
      <c r="W182" s="301"/>
      <c r="X182" s="301"/>
      <c r="Y182" s="301"/>
      <c r="Z182" s="301"/>
    </row>
    <row r="183" spans="1:26" ht="15.75" customHeight="1">
      <c r="A183" s="301"/>
      <c r="B183" s="301"/>
      <c r="C183" s="301"/>
      <c r="D183" s="301"/>
      <c r="E183" s="301"/>
      <c r="F183" s="301"/>
      <c r="G183" s="301"/>
      <c r="H183" s="301"/>
      <c r="I183" s="301"/>
      <c r="J183" s="301"/>
      <c r="K183" s="301"/>
      <c r="L183" s="301"/>
      <c r="M183" s="301"/>
      <c r="N183" s="301"/>
      <c r="O183" s="301"/>
      <c r="P183" s="301"/>
      <c r="Q183" s="301"/>
      <c r="R183" s="301"/>
      <c r="S183" s="301"/>
      <c r="T183" s="301"/>
      <c r="U183" s="301"/>
      <c r="V183" s="301"/>
      <c r="W183" s="301"/>
      <c r="X183" s="301"/>
      <c r="Y183" s="301"/>
      <c r="Z183" s="301"/>
    </row>
    <row r="184" spans="1:26" ht="15.75" customHeight="1">
      <c r="A184" s="301"/>
      <c r="B184" s="301"/>
      <c r="C184" s="301"/>
      <c r="D184" s="301"/>
      <c r="E184" s="301"/>
      <c r="F184" s="301"/>
      <c r="G184" s="301"/>
      <c r="H184" s="301"/>
      <c r="I184" s="301"/>
      <c r="J184" s="301"/>
      <c r="K184" s="301"/>
      <c r="L184" s="301"/>
      <c r="M184" s="301"/>
      <c r="N184" s="301"/>
      <c r="O184" s="301"/>
      <c r="P184" s="301"/>
      <c r="Q184" s="301"/>
      <c r="R184" s="301"/>
      <c r="S184" s="301"/>
      <c r="T184" s="301"/>
      <c r="U184" s="301"/>
      <c r="V184" s="301"/>
      <c r="W184" s="301"/>
      <c r="X184" s="301"/>
      <c r="Y184" s="301"/>
      <c r="Z184" s="301"/>
    </row>
    <row r="185" spans="1:26" ht="15.75" customHeight="1">
      <c r="A185" s="301"/>
      <c r="B185" s="301"/>
      <c r="C185" s="301"/>
      <c r="D185" s="301"/>
      <c r="E185" s="301"/>
      <c r="F185" s="301"/>
      <c r="G185" s="301"/>
      <c r="H185" s="301"/>
      <c r="I185" s="301"/>
      <c r="J185" s="301"/>
      <c r="K185" s="301"/>
      <c r="L185" s="301"/>
      <c r="M185" s="301"/>
      <c r="N185" s="301"/>
      <c r="O185" s="301"/>
      <c r="P185" s="301"/>
      <c r="Q185" s="301"/>
      <c r="R185" s="301"/>
      <c r="S185" s="301"/>
      <c r="T185" s="301"/>
      <c r="U185" s="301"/>
      <c r="V185" s="301"/>
      <c r="W185" s="301"/>
      <c r="X185" s="301"/>
      <c r="Y185" s="301"/>
      <c r="Z185" s="301"/>
    </row>
    <row r="186" spans="1:26" ht="15.75" customHeight="1">
      <c r="A186" s="301"/>
      <c r="B186" s="301"/>
      <c r="C186" s="301"/>
      <c r="D186" s="301"/>
      <c r="E186" s="301"/>
      <c r="F186" s="301"/>
      <c r="G186" s="301"/>
      <c r="H186" s="301"/>
      <c r="I186" s="301"/>
      <c r="J186" s="301"/>
      <c r="K186" s="301"/>
      <c r="L186" s="301"/>
      <c r="M186" s="301"/>
      <c r="N186" s="301"/>
      <c r="O186" s="301"/>
      <c r="P186" s="301"/>
      <c r="Q186" s="301"/>
      <c r="R186" s="301"/>
      <c r="S186" s="301"/>
      <c r="T186" s="301"/>
      <c r="U186" s="301"/>
      <c r="V186" s="301"/>
      <c r="W186" s="301"/>
      <c r="X186" s="301"/>
      <c r="Y186" s="301"/>
      <c r="Z186" s="301"/>
    </row>
    <row r="187" spans="1:26" ht="15.75" customHeight="1">
      <c r="A187" s="301"/>
      <c r="B187" s="301"/>
      <c r="C187" s="301"/>
      <c r="D187" s="301"/>
      <c r="E187" s="301"/>
      <c r="F187" s="301"/>
      <c r="G187" s="301"/>
      <c r="H187" s="301"/>
      <c r="I187" s="301"/>
      <c r="J187" s="301"/>
      <c r="K187" s="301"/>
      <c r="L187" s="301"/>
      <c r="M187" s="301"/>
      <c r="N187" s="301"/>
      <c r="O187" s="301"/>
      <c r="P187" s="301"/>
      <c r="Q187" s="301"/>
      <c r="R187" s="301"/>
      <c r="S187" s="301"/>
      <c r="T187" s="301"/>
      <c r="U187" s="301"/>
      <c r="V187" s="301"/>
      <c r="W187" s="301"/>
      <c r="X187" s="301"/>
      <c r="Y187" s="301"/>
      <c r="Z187" s="301"/>
    </row>
    <row r="188" spans="1:26" ht="15.75" customHeight="1">
      <c r="A188" s="301"/>
      <c r="B188" s="301"/>
      <c r="C188" s="301"/>
      <c r="D188" s="301"/>
      <c r="E188" s="301"/>
      <c r="F188" s="301"/>
      <c r="G188" s="301"/>
      <c r="H188" s="301"/>
      <c r="I188" s="301"/>
      <c r="J188" s="301"/>
      <c r="K188" s="301"/>
      <c r="L188" s="301"/>
      <c r="M188" s="301"/>
      <c r="N188" s="301"/>
      <c r="O188" s="301"/>
      <c r="P188" s="301"/>
      <c r="Q188" s="301"/>
      <c r="R188" s="301"/>
      <c r="S188" s="301"/>
      <c r="T188" s="301"/>
      <c r="U188" s="301"/>
      <c r="V188" s="301"/>
      <c r="W188" s="301"/>
      <c r="X188" s="301"/>
      <c r="Y188" s="301"/>
      <c r="Z188" s="301"/>
    </row>
    <row r="189" spans="1:26" ht="15.75" customHeight="1">
      <c r="A189" s="301"/>
      <c r="B189" s="301"/>
      <c r="C189" s="301"/>
      <c r="D189" s="301"/>
      <c r="E189" s="301"/>
      <c r="F189" s="301"/>
      <c r="G189" s="301"/>
      <c r="H189" s="301"/>
      <c r="I189" s="301"/>
      <c r="J189" s="301"/>
      <c r="K189" s="301"/>
      <c r="L189" s="301"/>
      <c r="M189" s="301"/>
      <c r="N189" s="301"/>
      <c r="O189" s="301"/>
      <c r="P189" s="301"/>
      <c r="Q189" s="301"/>
      <c r="R189" s="301"/>
      <c r="S189" s="301"/>
      <c r="T189" s="301"/>
      <c r="U189" s="301"/>
      <c r="V189" s="301"/>
      <c r="W189" s="301"/>
      <c r="X189" s="301"/>
      <c r="Y189" s="301"/>
      <c r="Z189" s="301"/>
    </row>
    <row r="190" spans="1:26" ht="15.75" customHeight="1">
      <c r="A190" s="301"/>
      <c r="B190" s="301"/>
      <c r="C190" s="301"/>
      <c r="D190" s="301"/>
      <c r="E190" s="301"/>
      <c r="F190" s="301"/>
      <c r="G190" s="301"/>
      <c r="H190" s="301"/>
      <c r="I190" s="301"/>
      <c r="J190" s="301"/>
      <c r="K190" s="301"/>
      <c r="L190" s="301"/>
      <c r="M190" s="301"/>
      <c r="N190" s="301"/>
      <c r="O190" s="301"/>
      <c r="P190" s="301"/>
      <c r="Q190" s="301"/>
      <c r="R190" s="301"/>
      <c r="S190" s="301"/>
      <c r="T190" s="301"/>
      <c r="U190" s="301"/>
      <c r="V190" s="301"/>
      <c r="W190" s="301"/>
      <c r="X190" s="301"/>
      <c r="Y190" s="301"/>
      <c r="Z190" s="301"/>
    </row>
    <row r="191" spans="1:26" ht="15.75" customHeight="1">
      <c r="A191" s="301"/>
      <c r="B191" s="301"/>
      <c r="C191" s="301"/>
      <c r="D191" s="301"/>
      <c r="E191" s="301"/>
      <c r="F191" s="301"/>
      <c r="G191" s="301"/>
      <c r="H191" s="301"/>
      <c r="I191" s="301"/>
      <c r="J191" s="301"/>
      <c r="K191" s="301"/>
      <c r="L191" s="301"/>
      <c r="M191" s="301"/>
      <c r="N191" s="301"/>
      <c r="O191" s="301"/>
      <c r="P191" s="301"/>
      <c r="Q191" s="301"/>
      <c r="R191" s="301"/>
      <c r="S191" s="301"/>
      <c r="T191" s="301"/>
      <c r="U191" s="301"/>
      <c r="V191" s="301"/>
      <c r="W191" s="301"/>
      <c r="X191" s="301"/>
      <c r="Y191" s="301"/>
      <c r="Z191" s="301"/>
    </row>
    <row r="192" spans="1:26" ht="15.75" customHeight="1">
      <c r="A192" s="301"/>
      <c r="B192" s="301"/>
      <c r="C192" s="301"/>
      <c r="D192" s="301"/>
      <c r="E192" s="301"/>
      <c r="F192" s="301"/>
      <c r="G192" s="301"/>
      <c r="H192" s="301"/>
      <c r="I192" s="301"/>
      <c r="J192" s="301"/>
      <c r="K192" s="301"/>
      <c r="L192" s="301"/>
      <c r="M192" s="301"/>
      <c r="N192" s="301"/>
      <c r="O192" s="301"/>
      <c r="P192" s="301"/>
      <c r="Q192" s="301"/>
      <c r="R192" s="301"/>
      <c r="S192" s="301"/>
      <c r="T192" s="301"/>
      <c r="U192" s="301"/>
      <c r="V192" s="301"/>
      <c r="W192" s="301"/>
      <c r="X192" s="301"/>
      <c r="Y192" s="301"/>
      <c r="Z192" s="301"/>
    </row>
    <row r="193" spans="1:26" ht="15.75" customHeight="1">
      <c r="A193" s="301"/>
      <c r="B193" s="301"/>
      <c r="C193" s="301"/>
      <c r="D193" s="301"/>
      <c r="E193" s="301"/>
      <c r="F193" s="301"/>
      <c r="G193" s="301"/>
      <c r="H193" s="301"/>
      <c r="I193" s="301"/>
      <c r="J193" s="301"/>
      <c r="K193" s="301"/>
      <c r="L193" s="301"/>
      <c r="M193" s="301"/>
      <c r="N193" s="301"/>
      <c r="O193" s="301"/>
      <c r="P193" s="301"/>
      <c r="Q193" s="301"/>
      <c r="R193" s="301"/>
      <c r="S193" s="301"/>
      <c r="T193" s="301"/>
      <c r="U193" s="301"/>
      <c r="V193" s="301"/>
      <c r="W193" s="301"/>
      <c r="X193" s="301"/>
      <c r="Y193" s="301"/>
      <c r="Z193" s="301"/>
    </row>
    <row r="194" spans="1:26" ht="15.75" customHeight="1">
      <c r="A194" s="301"/>
      <c r="B194" s="301"/>
      <c r="C194" s="301"/>
      <c r="D194" s="301"/>
      <c r="E194" s="301"/>
      <c r="F194" s="301"/>
      <c r="G194" s="301"/>
      <c r="H194" s="301"/>
      <c r="I194" s="301"/>
      <c r="J194" s="301"/>
      <c r="K194" s="301"/>
      <c r="L194" s="301"/>
      <c r="M194" s="301"/>
      <c r="N194" s="301"/>
      <c r="O194" s="301"/>
      <c r="P194" s="301"/>
      <c r="Q194" s="301"/>
      <c r="R194" s="301"/>
      <c r="S194" s="301"/>
      <c r="T194" s="301"/>
      <c r="U194" s="301"/>
      <c r="V194" s="301"/>
      <c r="W194" s="301"/>
      <c r="X194" s="301"/>
      <c r="Y194" s="301"/>
      <c r="Z194" s="301"/>
    </row>
    <row r="195" spans="1:26" ht="15.75" customHeight="1">
      <c r="A195" s="301"/>
      <c r="B195" s="301"/>
      <c r="C195" s="301"/>
      <c r="D195" s="301"/>
      <c r="E195" s="301"/>
      <c r="F195" s="301"/>
      <c r="G195" s="301"/>
      <c r="H195" s="301"/>
      <c r="I195" s="301"/>
      <c r="J195" s="301"/>
      <c r="K195" s="301"/>
      <c r="L195" s="301"/>
      <c r="M195" s="301"/>
      <c r="N195" s="301"/>
      <c r="O195" s="301"/>
      <c r="P195" s="301"/>
      <c r="Q195" s="301"/>
      <c r="R195" s="301"/>
      <c r="S195" s="301"/>
      <c r="T195" s="301"/>
      <c r="U195" s="301"/>
      <c r="V195" s="301"/>
      <c r="W195" s="301"/>
      <c r="X195" s="301"/>
      <c r="Y195" s="301"/>
      <c r="Z195" s="301"/>
    </row>
    <row r="196" spans="1:26" ht="15.75" customHeight="1">
      <c r="A196" s="301"/>
      <c r="B196" s="301"/>
      <c r="C196" s="301"/>
      <c r="D196" s="301"/>
      <c r="E196" s="301"/>
      <c r="F196" s="301"/>
      <c r="G196" s="301"/>
      <c r="H196" s="301"/>
      <c r="I196" s="301"/>
      <c r="J196" s="301"/>
      <c r="K196" s="301"/>
      <c r="L196" s="301"/>
      <c r="M196" s="301"/>
      <c r="N196" s="301"/>
      <c r="O196" s="301"/>
      <c r="P196" s="301"/>
      <c r="Q196" s="301"/>
      <c r="R196" s="301"/>
      <c r="S196" s="301"/>
      <c r="T196" s="301"/>
      <c r="U196" s="301"/>
      <c r="V196" s="301"/>
      <c r="W196" s="301"/>
      <c r="X196" s="301"/>
      <c r="Y196" s="301"/>
      <c r="Z196" s="301"/>
    </row>
    <row r="197" spans="1:26" ht="15.75" customHeight="1">
      <c r="A197" s="301"/>
      <c r="B197" s="301"/>
      <c r="C197" s="301"/>
      <c r="D197" s="301"/>
      <c r="E197" s="301"/>
      <c r="F197" s="301"/>
      <c r="G197" s="301"/>
      <c r="H197" s="301"/>
      <c r="I197" s="301"/>
      <c r="J197" s="301"/>
      <c r="K197" s="301"/>
      <c r="L197" s="301"/>
      <c r="M197" s="301"/>
      <c r="N197" s="301"/>
      <c r="O197" s="301"/>
      <c r="P197" s="301"/>
      <c r="Q197" s="301"/>
      <c r="R197" s="301"/>
      <c r="S197" s="301"/>
      <c r="T197" s="301"/>
      <c r="U197" s="301"/>
      <c r="V197" s="301"/>
      <c r="W197" s="301"/>
      <c r="X197" s="301"/>
      <c r="Y197" s="301"/>
      <c r="Z197" s="301"/>
    </row>
    <row r="198" spans="1:26" ht="15.75" customHeight="1">
      <c r="A198" s="301"/>
      <c r="B198" s="301"/>
      <c r="C198" s="301"/>
      <c r="D198" s="301"/>
      <c r="E198" s="301"/>
      <c r="F198" s="301"/>
      <c r="G198" s="301"/>
      <c r="H198" s="301"/>
      <c r="I198" s="301"/>
      <c r="J198" s="301"/>
      <c r="K198" s="301"/>
      <c r="L198" s="301"/>
      <c r="M198" s="301"/>
      <c r="N198" s="301"/>
      <c r="O198" s="301"/>
      <c r="P198" s="301"/>
      <c r="Q198" s="301"/>
      <c r="R198" s="301"/>
      <c r="S198" s="301"/>
      <c r="T198" s="301"/>
      <c r="U198" s="301"/>
      <c r="V198" s="301"/>
      <c r="W198" s="301"/>
      <c r="X198" s="301"/>
      <c r="Y198" s="301"/>
      <c r="Z198" s="301"/>
    </row>
    <row r="199" spans="1:26" ht="15.75" customHeight="1">
      <c r="A199" s="301"/>
      <c r="B199" s="301"/>
      <c r="C199" s="301"/>
      <c r="D199" s="301"/>
      <c r="E199" s="301"/>
      <c r="F199" s="301"/>
      <c r="G199" s="301"/>
      <c r="H199" s="301"/>
      <c r="I199" s="301"/>
      <c r="J199" s="301"/>
      <c r="K199" s="301"/>
      <c r="L199" s="301"/>
      <c r="M199" s="301"/>
      <c r="N199" s="301"/>
      <c r="O199" s="301"/>
      <c r="P199" s="301"/>
      <c r="Q199" s="301"/>
      <c r="R199" s="301"/>
      <c r="S199" s="301"/>
      <c r="T199" s="301"/>
      <c r="U199" s="301"/>
      <c r="V199" s="301"/>
      <c r="W199" s="301"/>
      <c r="X199" s="301"/>
      <c r="Y199" s="301"/>
      <c r="Z199" s="301"/>
    </row>
    <row r="200" spans="1:26" ht="15.75" customHeight="1">
      <c r="A200" s="301"/>
      <c r="B200" s="301"/>
      <c r="C200" s="301"/>
      <c r="D200" s="301"/>
      <c r="E200" s="301"/>
      <c r="F200" s="301"/>
      <c r="G200" s="301"/>
      <c r="H200" s="301"/>
      <c r="I200" s="301"/>
      <c r="J200" s="301"/>
      <c r="K200" s="301"/>
      <c r="L200" s="301"/>
      <c r="M200" s="301"/>
      <c r="N200" s="301"/>
      <c r="O200" s="301"/>
      <c r="P200" s="301"/>
      <c r="Q200" s="301"/>
      <c r="R200" s="301"/>
      <c r="S200" s="301"/>
      <c r="T200" s="301"/>
      <c r="U200" s="301"/>
      <c r="V200" s="301"/>
      <c r="W200" s="301"/>
      <c r="X200" s="301"/>
      <c r="Y200" s="301"/>
      <c r="Z200" s="301"/>
    </row>
    <row r="201" spans="1:26" ht="15.75" customHeight="1">
      <c r="A201" s="301"/>
      <c r="B201" s="301"/>
      <c r="C201" s="301"/>
      <c r="D201" s="301"/>
      <c r="E201" s="301"/>
      <c r="F201" s="301"/>
      <c r="G201" s="301"/>
      <c r="H201" s="301"/>
      <c r="I201" s="301"/>
      <c r="J201" s="301"/>
      <c r="K201" s="301"/>
      <c r="L201" s="301"/>
      <c r="M201" s="301"/>
      <c r="N201" s="301"/>
      <c r="O201" s="301"/>
      <c r="P201" s="301"/>
      <c r="Q201" s="301"/>
      <c r="R201" s="301"/>
      <c r="S201" s="301"/>
      <c r="T201" s="301"/>
      <c r="U201" s="301"/>
      <c r="V201" s="301"/>
      <c r="W201" s="301"/>
      <c r="X201" s="301"/>
      <c r="Y201" s="301"/>
      <c r="Z201" s="301"/>
    </row>
    <row r="202" spans="1:26" ht="15.75" customHeight="1">
      <c r="A202" s="301"/>
      <c r="B202" s="301"/>
      <c r="C202" s="301"/>
      <c r="D202" s="301"/>
      <c r="E202" s="301"/>
      <c r="F202" s="301"/>
      <c r="G202" s="301"/>
      <c r="H202" s="301"/>
      <c r="I202" s="301"/>
      <c r="J202" s="301"/>
      <c r="K202" s="301"/>
      <c r="L202" s="301"/>
      <c r="M202" s="301"/>
      <c r="N202" s="301"/>
      <c r="O202" s="301"/>
      <c r="P202" s="301"/>
      <c r="Q202" s="301"/>
      <c r="R202" s="301"/>
      <c r="S202" s="301"/>
      <c r="T202" s="301"/>
      <c r="U202" s="301"/>
      <c r="V202" s="301"/>
      <c r="W202" s="301"/>
      <c r="X202" s="301"/>
      <c r="Y202" s="301"/>
      <c r="Z202" s="301"/>
    </row>
    <row r="203" spans="1:26" ht="15.75" customHeight="1">
      <c r="A203" s="301"/>
      <c r="B203" s="301"/>
      <c r="C203" s="301"/>
      <c r="D203" s="301"/>
      <c r="E203" s="301"/>
      <c r="F203" s="301"/>
      <c r="G203" s="301"/>
      <c r="H203" s="301"/>
      <c r="I203" s="301"/>
      <c r="J203" s="301"/>
      <c r="K203" s="301"/>
      <c r="L203" s="301"/>
      <c r="M203" s="301"/>
      <c r="N203" s="301"/>
      <c r="O203" s="301"/>
      <c r="P203" s="301"/>
      <c r="Q203" s="301"/>
      <c r="R203" s="301"/>
      <c r="S203" s="301"/>
      <c r="T203" s="301"/>
      <c r="U203" s="301"/>
      <c r="V203" s="301"/>
      <c r="W203" s="301"/>
      <c r="X203" s="301"/>
      <c r="Y203" s="301"/>
      <c r="Z203" s="301"/>
    </row>
    <row r="204" spans="1:26" ht="15.75" customHeight="1">
      <c r="A204" s="301"/>
      <c r="B204" s="301"/>
      <c r="C204" s="301"/>
      <c r="D204" s="301"/>
      <c r="E204" s="301"/>
      <c r="F204" s="301"/>
      <c r="G204" s="301"/>
      <c r="H204" s="301"/>
      <c r="I204" s="301"/>
      <c r="J204" s="301"/>
      <c r="K204" s="301"/>
      <c r="L204" s="301"/>
      <c r="M204" s="301"/>
      <c r="N204" s="301"/>
      <c r="O204" s="301"/>
      <c r="P204" s="301"/>
      <c r="Q204" s="301"/>
      <c r="R204" s="301"/>
      <c r="S204" s="301"/>
      <c r="T204" s="301"/>
      <c r="U204" s="301"/>
      <c r="V204" s="301"/>
      <c r="W204" s="301"/>
      <c r="X204" s="301"/>
      <c r="Y204" s="301"/>
      <c r="Z204" s="301"/>
    </row>
    <row r="205" spans="1:26" ht="15.75" customHeight="1">
      <c r="A205" s="301"/>
      <c r="B205" s="301"/>
      <c r="C205" s="301"/>
      <c r="D205" s="301"/>
      <c r="E205" s="301"/>
      <c r="F205" s="301"/>
      <c r="G205" s="301"/>
      <c r="H205" s="301"/>
      <c r="I205" s="301"/>
      <c r="J205" s="301"/>
      <c r="K205" s="301"/>
      <c r="L205" s="301"/>
      <c r="M205" s="301"/>
      <c r="N205" s="301"/>
      <c r="O205" s="301"/>
      <c r="P205" s="301"/>
      <c r="Q205" s="301"/>
      <c r="R205" s="301"/>
      <c r="S205" s="301"/>
      <c r="T205" s="301"/>
      <c r="U205" s="301"/>
      <c r="V205" s="301"/>
      <c r="W205" s="301"/>
      <c r="X205" s="301"/>
      <c r="Y205" s="301"/>
      <c r="Z205" s="301"/>
    </row>
    <row r="206" spans="1:26" ht="15.75" customHeight="1">
      <c r="A206" s="301"/>
      <c r="B206" s="301"/>
      <c r="C206" s="301"/>
      <c r="D206" s="301"/>
      <c r="E206" s="301"/>
      <c r="F206" s="301"/>
      <c r="G206" s="301"/>
      <c r="H206" s="301"/>
      <c r="I206" s="301"/>
      <c r="J206" s="301"/>
      <c r="K206" s="301"/>
      <c r="L206" s="301"/>
      <c r="M206" s="301"/>
      <c r="N206" s="301"/>
      <c r="O206" s="301"/>
      <c r="P206" s="301"/>
      <c r="Q206" s="301"/>
      <c r="R206" s="301"/>
      <c r="S206" s="301"/>
      <c r="T206" s="301"/>
      <c r="U206" s="301"/>
      <c r="V206" s="301"/>
      <c r="W206" s="301"/>
      <c r="X206" s="301"/>
      <c r="Y206" s="301"/>
      <c r="Z206" s="301"/>
    </row>
    <row r="207" spans="1:26" ht="15.75" customHeight="1">
      <c r="A207" s="301"/>
      <c r="B207" s="301"/>
      <c r="C207" s="301"/>
      <c r="D207" s="301"/>
      <c r="E207" s="301"/>
      <c r="F207" s="301"/>
      <c r="G207" s="301"/>
      <c r="H207" s="301"/>
      <c r="I207" s="301"/>
      <c r="J207" s="301"/>
      <c r="K207" s="301"/>
      <c r="L207" s="301"/>
      <c r="M207" s="301"/>
      <c r="N207" s="301"/>
      <c r="O207" s="301"/>
      <c r="P207" s="301"/>
      <c r="Q207" s="301"/>
      <c r="R207" s="301"/>
      <c r="S207" s="301"/>
      <c r="T207" s="301"/>
      <c r="U207" s="301"/>
      <c r="V207" s="301"/>
      <c r="W207" s="301"/>
      <c r="X207" s="301"/>
      <c r="Y207" s="301"/>
      <c r="Z207" s="301"/>
    </row>
    <row r="208" spans="1:26" ht="15.75" customHeight="1">
      <c r="A208" s="301"/>
      <c r="B208" s="301"/>
      <c r="C208" s="301"/>
      <c r="D208" s="301"/>
      <c r="E208" s="301"/>
      <c r="F208" s="301"/>
      <c r="G208" s="301"/>
      <c r="H208" s="301"/>
      <c r="I208" s="301"/>
      <c r="J208" s="301"/>
      <c r="K208" s="301"/>
      <c r="L208" s="301"/>
      <c r="M208" s="301"/>
      <c r="N208" s="301"/>
      <c r="O208" s="301"/>
      <c r="P208" s="301"/>
      <c r="Q208" s="301"/>
      <c r="R208" s="301"/>
      <c r="S208" s="301"/>
      <c r="T208" s="301"/>
      <c r="U208" s="301"/>
      <c r="V208" s="301"/>
      <c r="W208" s="301"/>
      <c r="X208" s="301"/>
      <c r="Y208" s="301"/>
      <c r="Z208" s="301"/>
    </row>
    <row r="209" spans="1:26" ht="15.75" customHeight="1">
      <c r="A209" s="301"/>
      <c r="B209" s="301"/>
      <c r="C209" s="301"/>
      <c r="D209" s="301"/>
      <c r="E209" s="301"/>
      <c r="F209" s="301"/>
      <c r="G209" s="301"/>
      <c r="H209" s="301"/>
      <c r="I209" s="301"/>
      <c r="J209" s="301"/>
      <c r="K209" s="301"/>
      <c r="L209" s="301"/>
      <c r="M209" s="301"/>
      <c r="N209" s="301"/>
      <c r="O209" s="301"/>
      <c r="P209" s="301"/>
      <c r="Q209" s="301"/>
      <c r="R209" s="301"/>
      <c r="S209" s="301"/>
      <c r="T209" s="301"/>
      <c r="U209" s="301"/>
      <c r="V209" s="301"/>
      <c r="W209" s="301"/>
      <c r="X209" s="301"/>
      <c r="Y209" s="301"/>
      <c r="Z209" s="301"/>
    </row>
    <row r="210" spans="1:26" ht="15.75" customHeight="1">
      <c r="A210" s="301"/>
      <c r="B210" s="301"/>
      <c r="C210" s="301"/>
      <c r="D210" s="301"/>
      <c r="E210" s="301"/>
      <c r="F210" s="301"/>
      <c r="G210" s="301"/>
      <c r="H210" s="301"/>
      <c r="I210" s="301"/>
      <c r="J210" s="301"/>
      <c r="K210" s="301"/>
      <c r="L210" s="301"/>
      <c r="M210" s="301"/>
      <c r="N210" s="301"/>
      <c r="O210" s="301"/>
      <c r="P210" s="301"/>
      <c r="Q210" s="301"/>
      <c r="R210" s="301"/>
      <c r="S210" s="301"/>
      <c r="T210" s="301"/>
      <c r="U210" s="301"/>
      <c r="V210" s="301"/>
      <c r="W210" s="301"/>
      <c r="X210" s="301"/>
      <c r="Y210" s="301"/>
      <c r="Z210" s="301"/>
    </row>
    <row r="211" spans="1:26" ht="15.75" customHeight="1">
      <c r="A211" s="301"/>
      <c r="B211" s="301"/>
      <c r="C211" s="301"/>
      <c r="D211" s="301"/>
      <c r="E211" s="301"/>
      <c r="F211" s="301"/>
      <c r="G211" s="301"/>
      <c r="H211" s="301"/>
      <c r="I211" s="301"/>
      <c r="J211" s="301"/>
      <c r="K211" s="301"/>
      <c r="L211" s="301"/>
      <c r="M211" s="301"/>
      <c r="N211" s="301"/>
      <c r="O211" s="301"/>
      <c r="P211" s="301"/>
      <c r="Q211" s="301"/>
      <c r="R211" s="301"/>
      <c r="S211" s="301"/>
      <c r="T211" s="301"/>
      <c r="U211" s="301"/>
      <c r="V211" s="301"/>
      <c r="W211" s="301"/>
      <c r="X211" s="301"/>
      <c r="Y211" s="301"/>
      <c r="Z211" s="301"/>
    </row>
    <row r="212" spans="1:26" ht="15.75" customHeight="1">
      <c r="A212" s="301"/>
      <c r="B212" s="301"/>
      <c r="C212" s="301"/>
      <c r="D212" s="301"/>
      <c r="E212" s="301"/>
      <c r="F212" s="301"/>
      <c r="G212" s="301"/>
      <c r="H212" s="301"/>
      <c r="I212" s="301"/>
      <c r="J212" s="301"/>
      <c r="K212" s="301"/>
      <c r="L212" s="301"/>
      <c r="M212" s="301"/>
      <c r="N212" s="301"/>
      <c r="O212" s="301"/>
      <c r="P212" s="301"/>
      <c r="Q212" s="301"/>
      <c r="R212" s="301"/>
      <c r="S212" s="301"/>
      <c r="T212" s="301"/>
      <c r="U212" s="301"/>
      <c r="V212" s="301"/>
      <c r="W212" s="301"/>
      <c r="X212" s="301"/>
      <c r="Y212" s="301"/>
      <c r="Z212" s="301"/>
    </row>
    <row r="213" spans="1:26" ht="15.75" customHeight="1">
      <c r="A213" s="301"/>
      <c r="B213" s="301"/>
      <c r="C213" s="301"/>
      <c r="D213" s="301"/>
      <c r="E213" s="301"/>
      <c r="F213" s="301"/>
      <c r="G213" s="301"/>
      <c r="H213" s="301"/>
      <c r="I213" s="301"/>
      <c r="J213" s="301"/>
      <c r="K213" s="301"/>
      <c r="L213" s="301"/>
      <c r="M213" s="301"/>
      <c r="N213" s="301"/>
      <c r="O213" s="301"/>
      <c r="P213" s="301"/>
      <c r="Q213" s="301"/>
      <c r="R213" s="301"/>
      <c r="S213" s="301"/>
      <c r="T213" s="301"/>
      <c r="U213" s="301"/>
      <c r="V213" s="301"/>
      <c r="W213" s="301"/>
      <c r="X213" s="301"/>
      <c r="Y213" s="301"/>
      <c r="Z213" s="301"/>
    </row>
    <row r="214" spans="1:26" ht="15.75" customHeight="1">
      <c r="A214" s="301"/>
      <c r="B214" s="301"/>
      <c r="C214" s="301"/>
      <c r="D214" s="301"/>
      <c r="E214" s="301"/>
      <c r="F214" s="301"/>
      <c r="G214" s="301"/>
      <c r="H214" s="301"/>
      <c r="I214" s="301"/>
      <c r="J214" s="301"/>
      <c r="K214" s="301"/>
      <c r="L214" s="301"/>
      <c r="M214" s="301"/>
      <c r="N214" s="301"/>
      <c r="O214" s="301"/>
      <c r="P214" s="301"/>
      <c r="Q214" s="301"/>
      <c r="R214" s="301"/>
      <c r="S214" s="301"/>
      <c r="T214" s="301"/>
      <c r="U214" s="301"/>
      <c r="V214" s="301"/>
      <c r="W214" s="301"/>
      <c r="X214" s="301"/>
      <c r="Y214" s="301"/>
      <c r="Z214" s="301"/>
    </row>
    <row r="215" spans="1:26" ht="15.75" customHeight="1">
      <c r="A215" s="301"/>
      <c r="B215" s="301"/>
      <c r="C215" s="301"/>
      <c r="D215" s="301"/>
      <c r="E215" s="301"/>
      <c r="F215" s="301"/>
      <c r="G215" s="301"/>
      <c r="H215" s="301"/>
      <c r="I215" s="301"/>
      <c r="J215" s="301"/>
      <c r="K215" s="301"/>
      <c r="L215" s="301"/>
      <c r="M215" s="301"/>
      <c r="N215" s="301"/>
      <c r="O215" s="301"/>
      <c r="P215" s="301"/>
      <c r="Q215" s="301"/>
      <c r="R215" s="301"/>
      <c r="S215" s="301"/>
      <c r="T215" s="301"/>
      <c r="U215" s="301"/>
      <c r="V215" s="301"/>
      <c r="W215" s="301"/>
      <c r="X215" s="301"/>
      <c r="Y215" s="301"/>
      <c r="Z215" s="301"/>
    </row>
    <row r="216" spans="1:26" ht="15.75" customHeight="1">
      <c r="A216" s="301"/>
      <c r="B216" s="301"/>
      <c r="C216" s="301"/>
      <c r="D216" s="301"/>
      <c r="E216" s="301"/>
      <c r="F216" s="301"/>
      <c r="G216" s="301"/>
      <c r="H216" s="301"/>
      <c r="I216" s="301"/>
      <c r="J216" s="301"/>
      <c r="K216" s="301"/>
      <c r="L216" s="301"/>
      <c r="M216" s="301"/>
      <c r="N216" s="301"/>
      <c r="O216" s="301"/>
      <c r="P216" s="301"/>
      <c r="Q216" s="301"/>
      <c r="R216" s="301"/>
      <c r="S216" s="301"/>
      <c r="T216" s="301"/>
      <c r="U216" s="301"/>
      <c r="V216" s="301"/>
      <c r="W216" s="301"/>
      <c r="X216" s="301"/>
      <c r="Y216" s="301"/>
      <c r="Z216" s="301"/>
    </row>
    <row r="217" spans="1:26" ht="15.75" customHeight="1">
      <c r="A217" s="301"/>
      <c r="B217" s="301"/>
      <c r="C217" s="301"/>
      <c r="D217" s="301"/>
      <c r="E217" s="301"/>
      <c r="F217" s="301"/>
      <c r="G217" s="301"/>
      <c r="H217" s="301"/>
      <c r="I217" s="301"/>
      <c r="J217" s="301"/>
      <c r="K217" s="301"/>
      <c r="L217" s="301"/>
      <c r="M217" s="301"/>
      <c r="N217" s="301"/>
      <c r="O217" s="301"/>
      <c r="P217" s="301"/>
      <c r="Q217" s="301"/>
      <c r="R217" s="301"/>
      <c r="S217" s="301"/>
      <c r="T217" s="301"/>
      <c r="U217" s="301"/>
      <c r="V217" s="301"/>
      <c r="W217" s="301"/>
      <c r="X217" s="301"/>
      <c r="Y217" s="301"/>
      <c r="Z217" s="301"/>
    </row>
    <row r="218" spans="1:26" ht="15.75" customHeight="1">
      <c r="A218" s="301"/>
      <c r="B218" s="301"/>
      <c r="C218" s="301"/>
      <c r="D218" s="301"/>
      <c r="E218" s="301"/>
      <c r="F218" s="301"/>
      <c r="G218" s="301"/>
      <c r="H218" s="301"/>
      <c r="I218" s="301"/>
      <c r="J218" s="301"/>
      <c r="K218" s="301"/>
      <c r="L218" s="301"/>
      <c r="M218" s="301"/>
      <c r="N218" s="301"/>
      <c r="O218" s="301"/>
      <c r="P218" s="301"/>
      <c r="Q218" s="301"/>
      <c r="R218" s="301"/>
      <c r="S218" s="301"/>
      <c r="T218" s="301"/>
      <c r="U218" s="301"/>
      <c r="V218" s="301"/>
      <c r="W218" s="301"/>
      <c r="X218" s="301"/>
      <c r="Y218" s="301"/>
      <c r="Z218" s="301"/>
    </row>
    <row r="219" spans="1:26" ht="15.75" customHeight="1">
      <c r="A219" s="301"/>
      <c r="B219" s="301"/>
      <c r="C219" s="301"/>
      <c r="D219" s="301"/>
      <c r="E219" s="301"/>
      <c r="F219" s="301"/>
      <c r="G219" s="301"/>
      <c r="H219" s="301"/>
      <c r="I219" s="301"/>
      <c r="J219" s="301"/>
      <c r="K219" s="301"/>
      <c r="L219" s="301"/>
      <c r="M219" s="301"/>
      <c r="N219" s="301"/>
      <c r="O219" s="301"/>
      <c r="P219" s="301"/>
      <c r="Q219" s="301"/>
      <c r="R219" s="301"/>
      <c r="S219" s="301"/>
      <c r="T219" s="301"/>
      <c r="U219" s="301"/>
      <c r="V219" s="301"/>
      <c r="W219" s="301"/>
      <c r="X219" s="301"/>
      <c r="Y219" s="301"/>
      <c r="Z219" s="301"/>
    </row>
    <row r="220" spans="1:26" ht="15.75" customHeight="1">
      <c r="A220" s="301"/>
      <c r="B220" s="301"/>
      <c r="C220" s="301"/>
      <c r="D220" s="301"/>
      <c r="E220" s="301"/>
      <c r="F220" s="301"/>
      <c r="G220" s="301"/>
      <c r="H220" s="301"/>
      <c r="I220" s="301"/>
      <c r="J220" s="301"/>
      <c r="K220" s="301"/>
      <c r="L220" s="301"/>
      <c r="M220" s="301"/>
      <c r="N220" s="301"/>
      <c r="O220" s="301"/>
      <c r="P220" s="301"/>
      <c r="Q220" s="301"/>
      <c r="R220" s="301"/>
      <c r="S220" s="301"/>
      <c r="T220" s="301"/>
      <c r="U220" s="301"/>
      <c r="V220" s="301"/>
      <c r="W220" s="301"/>
      <c r="X220" s="301"/>
      <c r="Y220" s="301"/>
      <c r="Z220" s="301"/>
    </row>
    <row r="221" spans="1:26" ht="15.75" customHeight="1">
      <c r="A221" s="301"/>
      <c r="B221" s="301"/>
      <c r="C221" s="301"/>
      <c r="D221" s="301"/>
      <c r="E221" s="301"/>
      <c r="F221" s="301"/>
      <c r="G221" s="301"/>
      <c r="H221" s="301"/>
      <c r="I221" s="301"/>
      <c r="J221" s="301"/>
      <c r="K221" s="301"/>
      <c r="L221" s="301"/>
      <c r="M221" s="301"/>
      <c r="N221" s="301"/>
      <c r="O221" s="301"/>
      <c r="P221" s="301"/>
      <c r="Q221" s="301"/>
      <c r="R221" s="301"/>
      <c r="S221" s="301"/>
      <c r="T221" s="301"/>
      <c r="U221" s="301"/>
      <c r="V221" s="301"/>
      <c r="W221" s="301"/>
      <c r="X221" s="301"/>
      <c r="Y221" s="301"/>
      <c r="Z221" s="301"/>
    </row>
    <row r="222" spans="1:26" ht="15.75" customHeight="1">
      <c r="A222" s="301"/>
      <c r="B222" s="301"/>
      <c r="C222" s="301"/>
      <c r="D222" s="301"/>
      <c r="E222" s="301"/>
      <c r="F222" s="301"/>
      <c r="G222" s="301"/>
      <c r="H222" s="301"/>
      <c r="I222" s="301"/>
      <c r="J222" s="301"/>
      <c r="K222" s="301"/>
      <c r="L222" s="301"/>
      <c r="M222" s="301"/>
      <c r="N222" s="301"/>
      <c r="O222" s="301"/>
      <c r="P222" s="301"/>
      <c r="Q222" s="301"/>
      <c r="R222" s="301"/>
      <c r="S222" s="301"/>
      <c r="T222" s="301"/>
      <c r="U222" s="301"/>
      <c r="V222" s="301"/>
      <c r="W222" s="301"/>
      <c r="X222" s="301"/>
      <c r="Y222" s="301"/>
      <c r="Z222" s="301"/>
    </row>
    <row r="223" spans="1:26" ht="15.75" customHeight="1">
      <c r="A223" s="301"/>
      <c r="B223" s="301"/>
      <c r="C223" s="301"/>
      <c r="D223" s="301"/>
      <c r="E223" s="301"/>
      <c r="F223" s="301"/>
      <c r="G223" s="301"/>
      <c r="H223" s="301"/>
      <c r="I223" s="301"/>
      <c r="J223" s="301"/>
      <c r="K223" s="301"/>
      <c r="L223" s="301"/>
      <c r="M223" s="301"/>
      <c r="N223" s="301"/>
      <c r="O223" s="301"/>
      <c r="P223" s="301"/>
      <c r="Q223" s="301"/>
      <c r="R223" s="301"/>
      <c r="S223" s="301"/>
      <c r="T223" s="301"/>
      <c r="U223" s="301"/>
      <c r="V223" s="301"/>
      <c r="W223" s="301"/>
      <c r="X223" s="301"/>
      <c r="Y223" s="301"/>
      <c r="Z223" s="301"/>
    </row>
    <row r="224" spans="1:26" ht="15.75" customHeight="1">
      <c r="A224" s="301"/>
      <c r="B224" s="301"/>
      <c r="C224" s="301"/>
      <c r="D224" s="301"/>
      <c r="E224" s="301"/>
      <c r="F224" s="301"/>
      <c r="G224" s="301"/>
      <c r="H224" s="301"/>
      <c r="I224" s="301"/>
      <c r="J224" s="301"/>
      <c r="K224" s="301"/>
      <c r="L224" s="301"/>
      <c r="M224" s="301"/>
      <c r="N224" s="301"/>
      <c r="O224" s="301"/>
      <c r="P224" s="301"/>
      <c r="Q224" s="301"/>
      <c r="R224" s="301"/>
      <c r="S224" s="301"/>
      <c r="T224" s="301"/>
      <c r="U224" s="301"/>
      <c r="V224" s="301"/>
      <c r="W224" s="301"/>
      <c r="X224" s="301"/>
      <c r="Y224" s="301"/>
      <c r="Z224" s="301"/>
    </row>
    <row r="225" spans="1:26" ht="15.75" customHeight="1">
      <c r="A225" s="301"/>
      <c r="B225" s="301"/>
      <c r="C225" s="301"/>
      <c r="D225" s="301"/>
      <c r="E225" s="301"/>
      <c r="F225" s="301"/>
      <c r="G225" s="301"/>
      <c r="H225" s="301"/>
      <c r="I225" s="301"/>
      <c r="J225" s="301"/>
      <c r="K225" s="301"/>
      <c r="L225" s="301"/>
      <c r="M225" s="301"/>
      <c r="N225" s="301"/>
      <c r="O225" s="301"/>
      <c r="P225" s="301"/>
      <c r="Q225" s="301"/>
      <c r="R225" s="301"/>
      <c r="S225" s="301"/>
      <c r="T225" s="301"/>
      <c r="U225" s="301"/>
      <c r="V225" s="301"/>
      <c r="W225" s="301"/>
      <c r="X225" s="301"/>
      <c r="Y225" s="301"/>
      <c r="Z225" s="301"/>
    </row>
    <row r="226" spans="1:26" ht="15.75" customHeight="1">
      <c r="A226" s="301"/>
      <c r="B226" s="301"/>
      <c r="C226" s="301"/>
      <c r="D226" s="301"/>
      <c r="E226" s="301"/>
      <c r="F226" s="301"/>
      <c r="G226" s="301"/>
      <c r="H226" s="301"/>
      <c r="I226" s="301"/>
      <c r="J226" s="301"/>
      <c r="K226" s="301"/>
      <c r="L226" s="301"/>
      <c r="M226" s="301"/>
      <c r="N226" s="301"/>
      <c r="O226" s="301"/>
      <c r="P226" s="301"/>
      <c r="Q226" s="301"/>
      <c r="R226" s="301"/>
      <c r="S226" s="301"/>
      <c r="T226" s="301"/>
      <c r="U226" s="301"/>
      <c r="V226" s="301"/>
      <c r="W226" s="301"/>
      <c r="X226" s="301"/>
      <c r="Y226" s="301"/>
      <c r="Z226" s="301"/>
    </row>
    <row r="227" spans="1:26" ht="15.75" customHeight="1">
      <c r="A227" s="301"/>
      <c r="B227" s="301"/>
      <c r="C227" s="301"/>
      <c r="D227" s="301"/>
      <c r="E227" s="301"/>
      <c r="F227" s="301"/>
      <c r="G227" s="301"/>
      <c r="H227" s="301"/>
      <c r="I227" s="301"/>
      <c r="J227" s="301"/>
      <c r="K227" s="301"/>
      <c r="L227" s="301"/>
      <c r="M227" s="301"/>
      <c r="N227" s="301"/>
      <c r="O227" s="301"/>
      <c r="P227" s="301"/>
      <c r="Q227" s="301"/>
      <c r="R227" s="301"/>
      <c r="S227" s="301"/>
      <c r="T227" s="301"/>
      <c r="U227" s="301"/>
      <c r="V227" s="301"/>
      <c r="W227" s="301"/>
      <c r="X227" s="301"/>
      <c r="Y227" s="301"/>
      <c r="Z227" s="301"/>
    </row>
    <row r="228" spans="1:26" ht="15.75" customHeight="1">
      <c r="A228" s="301"/>
      <c r="B228" s="301"/>
      <c r="C228" s="301"/>
      <c r="D228" s="301"/>
      <c r="E228" s="301"/>
      <c r="F228" s="301"/>
      <c r="G228" s="301"/>
      <c r="H228" s="301"/>
      <c r="I228" s="301"/>
      <c r="J228" s="301"/>
      <c r="K228" s="301"/>
      <c r="L228" s="301"/>
      <c r="M228" s="301"/>
      <c r="N228" s="301"/>
      <c r="O228" s="301"/>
      <c r="P228" s="301"/>
      <c r="Q228" s="301"/>
      <c r="R228" s="301"/>
      <c r="S228" s="301"/>
      <c r="T228" s="301"/>
      <c r="U228" s="301"/>
      <c r="V228" s="301"/>
      <c r="W228" s="301"/>
      <c r="X228" s="301"/>
      <c r="Y228" s="301"/>
      <c r="Z228" s="301"/>
    </row>
    <row r="229" spans="1:26" ht="15.75" customHeight="1">
      <c r="A229" s="301"/>
      <c r="B229" s="301"/>
      <c r="C229" s="301"/>
      <c r="D229" s="301"/>
      <c r="E229" s="301"/>
      <c r="F229" s="301"/>
      <c r="G229" s="301"/>
      <c r="H229" s="301"/>
      <c r="I229" s="301"/>
      <c r="J229" s="301"/>
      <c r="K229" s="301"/>
      <c r="L229" s="301"/>
      <c r="M229" s="301"/>
      <c r="N229" s="301"/>
      <c r="O229" s="301"/>
      <c r="P229" s="301"/>
      <c r="Q229" s="301"/>
      <c r="R229" s="301"/>
      <c r="S229" s="301"/>
      <c r="T229" s="301"/>
      <c r="U229" s="301"/>
      <c r="V229" s="301"/>
      <c r="W229" s="301"/>
      <c r="X229" s="301"/>
      <c r="Y229" s="301"/>
      <c r="Z229" s="301"/>
    </row>
    <row r="230" spans="1:26" ht="15.75" customHeight="1">
      <c r="A230" s="301"/>
      <c r="B230" s="301"/>
      <c r="C230" s="301"/>
      <c r="D230" s="301"/>
      <c r="E230" s="301"/>
      <c r="F230" s="301"/>
      <c r="G230" s="301"/>
      <c r="H230" s="301"/>
      <c r="I230" s="301"/>
      <c r="J230" s="301"/>
      <c r="K230" s="301"/>
      <c r="L230" s="301"/>
      <c r="M230" s="301"/>
      <c r="N230" s="301"/>
      <c r="O230" s="301"/>
      <c r="P230" s="301"/>
      <c r="Q230" s="301"/>
      <c r="R230" s="301"/>
      <c r="S230" s="301"/>
      <c r="T230" s="301"/>
      <c r="U230" s="301"/>
      <c r="V230" s="301"/>
      <c r="W230" s="301"/>
      <c r="X230" s="301"/>
      <c r="Y230" s="301"/>
      <c r="Z230" s="301"/>
    </row>
    <row r="231" spans="1:26" ht="15.75" customHeight="1">
      <c r="A231" s="301"/>
      <c r="B231" s="301"/>
      <c r="C231" s="301"/>
      <c r="D231" s="301"/>
      <c r="E231" s="301"/>
      <c r="F231" s="301"/>
      <c r="G231" s="301"/>
      <c r="H231" s="301"/>
      <c r="I231" s="301"/>
      <c r="J231" s="301"/>
      <c r="K231" s="301"/>
      <c r="L231" s="301"/>
      <c r="M231" s="301"/>
      <c r="N231" s="301"/>
      <c r="O231" s="301"/>
      <c r="P231" s="301"/>
      <c r="Q231" s="301"/>
      <c r="R231" s="301"/>
      <c r="S231" s="301"/>
      <c r="T231" s="301"/>
      <c r="U231" s="301"/>
      <c r="V231" s="301"/>
      <c r="W231" s="301"/>
      <c r="X231" s="301"/>
      <c r="Y231" s="301"/>
      <c r="Z231" s="301"/>
    </row>
    <row r="232" spans="1:26" ht="15.75" customHeight="1">
      <c r="A232" s="301"/>
      <c r="B232" s="301"/>
      <c r="C232" s="301"/>
      <c r="D232" s="301"/>
      <c r="E232" s="301"/>
      <c r="F232" s="301"/>
      <c r="G232" s="301"/>
      <c r="H232" s="301"/>
      <c r="I232" s="301"/>
      <c r="J232" s="301"/>
      <c r="K232" s="301"/>
      <c r="L232" s="301"/>
      <c r="M232" s="301"/>
      <c r="N232" s="301"/>
      <c r="O232" s="301"/>
      <c r="P232" s="301"/>
      <c r="Q232" s="301"/>
      <c r="R232" s="301"/>
      <c r="S232" s="301"/>
      <c r="T232" s="301"/>
      <c r="U232" s="301"/>
      <c r="V232" s="301"/>
      <c r="W232" s="301"/>
      <c r="X232" s="301"/>
      <c r="Y232" s="301"/>
      <c r="Z232" s="301"/>
    </row>
    <row r="233" spans="1:26" ht="15.75" customHeight="1">
      <c r="A233" s="301"/>
      <c r="B233" s="301"/>
      <c r="C233" s="301"/>
      <c r="D233" s="301"/>
      <c r="E233" s="301"/>
      <c r="F233" s="301"/>
      <c r="G233" s="301"/>
      <c r="H233" s="301"/>
      <c r="I233" s="301"/>
      <c r="J233" s="301"/>
      <c r="K233" s="301"/>
      <c r="L233" s="301"/>
      <c r="M233" s="301"/>
      <c r="N233" s="301"/>
      <c r="O233" s="301"/>
      <c r="P233" s="301"/>
      <c r="Q233" s="301"/>
      <c r="R233" s="301"/>
      <c r="S233" s="301"/>
      <c r="T233" s="301"/>
      <c r="U233" s="301"/>
      <c r="V233" s="301"/>
      <c r="W233" s="301"/>
      <c r="X233" s="301"/>
      <c r="Y233" s="301"/>
      <c r="Z233" s="301"/>
    </row>
    <row r="234" spans="1:26" ht="15.75" customHeight="1">
      <c r="A234" s="301"/>
      <c r="B234" s="301"/>
      <c r="C234" s="301"/>
      <c r="D234" s="301"/>
      <c r="E234" s="301"/>
      <c r="F234" s="301"/>
      <c r="G234" s="301"/>
      <c r="H234" s="301"/>
      <c r="I234" s="301"/>
      <c r="J234" s="301"/>
      <c r="K234" s="301"/>
      <c r="L234" s="301"/>
      <c r="M234" s="301"/>
      <c r="N234" s="301"/>
      <c r="O234" s="301"/>
      <c r="P234" s="301"/>
      <c r="Q234" s="301"/>
      <c r="R234" s="301"/>
      <c r="S234" s="301"/>
      <c r="T234" s="301"/>
      <c r="U234" s="301"/>
      <c r="V234" s="301"/>
      <c r="W234" s="301"/>
      <c r="X234" s="301"/>
      <c r="Y234" s="301"/>
      <c r="Z234" s="301"/>
    </row>
    <row r="235" spans="1:26" ht="15.75" customHeight="1">
      <c r="A235" s="301"/>
      <c r="B235" s="301"/>
      <c r="C235" s="301"/>
      <c r="D235" s="301"/>
      <c r="E235" s="301"/>
      <c r="F235" s="301"/>
      <c r="G235" s="301"/>
      <c r="H235" s="301"/>
      <c r="I235" s="301"/>
      <c r="J235" s="301"/>
      <c r="K235" s="301"/>
      <c r="L235" s="301"/>
      <c r="M235" s="301"/>
      <c r="N235" s="301"/>
      <c r="O235" s="301"/>
      <c r="P235" s="301"/>
      <c r="Q235" s="301"/>
      <c r="R235" s="301"/>
      <c r="S235" s="301"/>
      <c r="T235" s="301"/>
      <c r="U235" s="301"/>
      <c r="V235" s="301"/>
      <c r="W235" s="301"/>
      <c r="X235" s="301"/>
      <c r="Y235" s="301"/>
      <c r="Z235" s="301"/>
    </row>
    <row r="236" spans="1:26" ht="15.75" customHeight="1">
      <c r="A236" s="301"/>
      <c r="B236" s="301"/>
      <c r="C236" s="301"/>
      <c r="D236" s="301"/>
      <c r="E236" s="301"/>
      <c r="F236" s="301"/>
      <c r="G236" s="301"/>
      <c r="H236" s="301"/>
      <c r="I236" s="301"/>
      <c r="J236" s="301"/>
      <c r="K236" s="301"/>
      <c r="L236" s="301"/>
      <c r="M236" s="301"/>
      <c r="N236" s="301"/>
      <c r="O236" s="301"/>
      <c r="P236" s="301"/>
      <c r="Q236" s="301"/>
      <c r="R236" s="301"/>
      <c r="S236" s="301"/>
      <c r="T236" s="301"/>
      <c r="U236" s="301"/>
      <c r="V236" s="301"/>
      <c r="W236" s="301"/>
      <c r="X236" s="301"/>
      <c r="Y236" s="301"/>
      <c r="Z236" s="301"/>
    </row>
    <row r="237" spans="1:26" ht="15.75" customHeight="1">
      <c r="A237" s="301"/>
      <c r="B237" s="301"/>
      <c r="C237" s="301"/>
      <c r="D237" s="301"/>
      <c r="E237" s="301"/>
      <c r="F237" s="301"/>
      <c r="G237" s="301"/>
      <c r="H237" s="301"/>
      <c r="I237" s="301"/>
      <c r="J237" s="301"/>
      <c r="K237" s="301"/>
      <c r="L237" s="301"/>
      <c r="M237" s="301"/>
      <c r="N237" s="301"/>
      <c r="O237" s="301"/>
      <c r="P237" s="301"/>
      <c r="Q237" s="301"/>
      <c r="R237" s="301"/>
      <c r="S237" s="301"/>
      <c r="T237" s="301"/>
      <c r="U237" s="301"/>
      <c r="V237" s="301"/>
      <c r="W237" s="301"/>
      <c r="X237" s="301"/>
      <c r="Y237" s="301"/>
      <c r="Z237" s="301"/>
    </row>
    <row r="238" spans="1:26" ht="15.75" customHeight="1">
      <c r="A238" s="301"/>
      <c r="B238" s="301"/>
      <c r="C238" s="301"/>
      <c r="D238" s="301"/>
      <c r="E238" s="301"/>
      <c r="F238" s="301"/>
      <c r="G238" s="301"/>
      <c r="H238" s="301"/>
      <c r="I238" s="301"/>
      <c r="J238" s="301"/>
      <c r="K238" s="301"/>
      <c r="L238" s="301"/>
      <c r="M238" s="301"/>
      <c r="N238" s="301"/>
      <c r="O238" s="301"/>
      <c r="P238" s="301"/>
      <c r="Q238" s="301"/>
      <c r="R238" s="301"/>
      <c r="S238" s="301"/>
      <c r="T238" s="301"/>
      <c r="U238" s="301"/>
      <c r="V238" s="301"/>
      <c r="W238" s="301"/>
      <c r="X238" s="301"/>
      <c r="Y238" s="301"/>
      <c r="Z238" s="301"/>
    </row>
    <row r="239" spans="1:26" ht="15.75" customHeight="1">
      <c r="A239" s="301"/>
      <c r="B239" s="301"/>
      <c r="C239" s="301"/>
      <c r="D239" s="301"/>
      <c r="E239" s="301"/>
      <c r="F239" s="301"/>
      <c r="G239" s="301"/>
      <c r="H239" s="301"/>
      <c r="I239" s="301"/>
      <c r="J239" s="301"/>
      <c r="K239" s="301"/>
      <c r="L239" s="301"/>
      <c r="M239" s="301"/>
      <c r="N239" s="301"/>
      <c r="O239" s="301"/>
      <c r="P239" s="301"/>
      <c r="Q239" s="301"/>
      <c r="R239" s="301"/>
      <c r="S239" s="301"/>
      <c r="T239" s="301"/>
      <c r="U239" s="301"/>
      <c r="V239" s="301"/>
      <c r="W239" s="301"/>
      <c r="X239" s="301"/>
      <c r="Y239" s="301"/>
      <c r="Z239" s="301"/>
    </row>
    <row r="240" spans="1:26" ht="15.75" customHeight="1">
      <c r="A240" s="301"/>
      <c r="B240" s="301"/>
      <c r="C240" s="301"/>
      <c r="D240" s="301"/>
      <c r="E240" s="301"/>
      <c r="F240" s="301"/>
      <c r="G240" s="301"/>
      <c r="H240" s="301"/>
      <c r="I240" s="301"/>
      <c r="J240" s="301"/>
      <c r="K240" s="301"/>
      <c r="L240" s="301"/>
      <c r="M240" s="301"/>
      <c r="N240" s="301"/>
      <c r="O240" s="301"/>
      <c r="P240" s="301"/>
      <c r="Q240" s="301"/>
      <c r="R240" s="301"/>
      <c r="S240" s="301"/>
      <c r="T240" s="301"/>
      <c r="U240" s="301"/>
      <c r="V240" s="301"/>
      <c r="W240" s="301"/>
      <c r="X240" s="301"/>
      <c r="Y240" s="301"/>
      <c r="Z240" s="301"/>
    </row>
    <row r="241" spans="1:26" ht="15.75" customHeight="1">
      <c r="A241" s="301"/>
      <c r="B241" s="301"/>
      <c r="C241" s="301"/>
      <c r="D241" s="301"/>
      <c r="E241" s="301"/>
      <c r="F241" s="301"/>
      <c r="G241" s="301"/>
      <c r="H241" s="301"/>
      <c r="I241" s="301"/>
      <c r="J241" s="301"/>
      <c r="K241" s="301"/>
      <c r="L241" s="301"/>
      <c r="M241" s="301"/>
      <c r="N241" s="301"/>
      <c r="O241" s="301"/>
      <c r="P241" s="301"/>
      <c r="Q241" s="301"/>
      <c r="R241" s="301"/>
      <c r="S241" s="301"/>
      <c r="T241" s="301"/>
      <c r="U241" s="301"/>
      <c r="V241" s="301"/>
      <c r="W241" s="301"/>
      <c r="X241" s="301"/>
      <c r="Y241" s="301"/>
      <c r="Z241" s="301"/>
    </row>
    <row r="242" spans="1:26" ht="15.75" customHeight="1">
      <c r="A242" s="301"/>
      <c r="B242" s="301"/>
      <c r="C242" s="301"/>
      <c r="D242" s="301"/>
      <c r="E242" s="301"/>
      <c r="F242" s="301"/>
      <c r="G242" s="301"/>
      <c r="H242" s="301"/>
      <c r="I242" s="301"/>
      <c r="J242" s="301"/>
      <c r="K242" s="301"/>
      <c r="L242" s="301"/>
      <c r="M242" s="301"/>
      <c r="N242" s="301"/>
      <c r="O242" s="301"/>
      <c r="P242" s="301"/>
      <c r="Q242" s="301"/>
      <c r="R242" s="301"/>
      <c r="S242" s="301"/>
      <c r="T242" s="301"/>
      <c r="U242" s="301"/>
      <c r="V242" s="301"/>
      <c r="W242" s="301"/>
      <c r="X242" s="301"/>
      <c r="Y242" s="301"/>
      <c r="Z242" s="301"/>
    </row>
    <row r="243" spans="1:26" ht="15.75" customHeight="1">
      <c r="A243" s="301"/>
      <c r="B243" s="301"/>
      <c r="C243" s="301"/>
      <c r="D243" s="301"/>
      <c r="E243" s="301"/>
      <c r="F243" s="301"/>
      <c r="G243" s="301"/>
      <c r="H243" s="301"/>
      <c r="I243" s="301"/>
      <c r="J243" s="301"/>
      <c r="K243" s="301"/>
      <c r="L243" s="301"/>
      <c r="M243" s="301"/>
      <c r="N243" s="301"/>
      <c r="O243" s="301"/>
      <c r="P243" s="301"/>
      <c r="Q243" s="301"/>
      <c r="R243" s="301"/>
      <c r="S243" s="301"/>
      <c r="T243" s="301"/>
      <c r="U243" s="301"/>
      <c r="V243" s="301"/>
      <c r="W243" s="301"/>
      <c r="X243" s="301"/>
      <c r="Y243" s="301"/>
      <c r="Z243" s="301"/>
    </row>
    <row r="244" spans="1:26" ht="15.75" customHeight="1">
      <c r="A244" s="301"/>
      <c r="B244" s="301"/>
      <c r="C244" s="301"/>
      <c r="D244" s="301"/>
      <c r="E244" s="301"/>
      <c r="F244" s="301"/>
      <c r="G244" s="301"/>
      <c r="H244" s="301"/>
      <c r="I244" s="301"/>
      <c r="J244" s="301"/>
      <c r="K244" s="301"/>
      <c r="L244" s="301"/>
      <c r="M244" s="301"/>
      <c r="N244" s="301"/>
      <c r="O244" s="301"/>
      <c r="P244" s="301"/>
      <c r="Q244" s="301"/>
      <c r="R244" s="301"/>
      <c r="S244" s="301"/>
      <c r="T244" s="301"/>
      <c r="U244" s="301"/>
      <c r="V244" s="301"/>
      <c r="W244" s="301"/>
      <c r="X244" s="301"/>
      <c r="Y244" s="301"/>
      <c r="Z244" s="301"/>
    </row>
    <row r="245" spans="1:26" ht="15.75" customHeight="1">
      <c r="A245" s="301"/>
      <c r="B245" s="301"/>
      <c r="C245" s="301"/>
      <c r="D245" s="301"/>
      <c r="E245" s="301"/>
      <c r="F245" s="301"/>
      <c r="G245" s="301"/>
      <c r="H245" s="301"/>
      <c r="I245" s="301"/>
      <c r="J245" s="301"/>
      <c r="K245" s="301"/>
      <c r="L245" s="301"/>
      <c r="M245" s="301"/>
      <c r="N245" s="301"/>
      <c r="O245" s="301"/>
      <c r="P245" s="301"/>
      <c r="Q245" s="301"/>
      <c r="R245" s="301"/>
      <c r="S245" s="301"/>
      <c r="T245" s="301"/>
      <c r="U245" s="301"/>
      <c r="V245" s="301"/>
      <c r="W245" s="301"/>
      <c r="X245" s="301"/>
      <c r="Y245" s="301"/>
      <c r="Z245" s="301"/>
    </row>
    <row r="246" spans="1:26" ht="15.75" customHeight="1">
      <c r="A246" s="301"/>
      <c r="B246" s="301"/>
      <c r="C246" s="301"/>
      <c r="D246" s="301"/>
      <c r="E246" s="301"/>
      <c r="F246" s="301"/>
      <c r="G246" s="301"/>
      <c r="H246" s="301"/>
      <c r="I246" s="301"/>
      <c r="J246" s="301"/>
      <c r="K246" s="301"/>
      <c r="L246" s="301"/>
      <c r="M246" s="301"/>
      <c r="N246" s="301"/>
      <c r="O246" s="301"/>
      <c r="P246" s="301"/>
      <c r="Q246" s="301"/>
      <c r="R246" s="301"/>
      <c r="S246" s="301"/>
      <c r="T246" s="301"/>
      <c r="U246" s="301"/>
      <c r="V246" s="301"/>
      <c r="W246" s="301"/>
      <c r="X246" s="301"/>
      <c r="Y246" s="301"/>
      <c r="Z246" s="301"/>
    </row>
    <row r="247" spans="1:26" ht="15.75" customHeight="1">
      <c r="A247" s="301"/>
      <c r="B247" s="301"/>
      <c r="C247" s="301"/>
      <c r="D247" s="301"/>
      <c r="E247" s="301"/>
      <c r="F247" s="301"/>
      <c r="G247" s="301"/>
      <c r="H247" s="301"/>
      <c r="I247" s="301"/>
      <c r="J247" s="301"/>
      <c r="K247" s="301"/>
      <c r="L247" s="301"/>
      <c r="M247" s="301"/>
      <c r="N247" s="301"/>
      <c r="O247" s="301"/>
      <c r="P247" s="301"/>
      <c r="Q247" s="301"/>
      <c r="R247" s="301"/>
      <c r="S247" s="301"/>
      <c r="T247" s="301"/>
      <c r="U247" s="301"/>
      <c r="V247" s="301"/>
      <c r="W247" s="301"/>
      <c r="X247" s="301"/>
      <c r="Y247" s="301"/>
      <c r="Z247" s="301"/>
    </row>
    <row r="248" spans="1:26" ht="15.75" customHeight="1">
      <c r="A248" s="301"/>
      <c r="B248" s="301"/>
      <c r="C248" s="301"/>
      <c r="D248" s="301"/>
      <c r="E248" s="301"/>
      <c r="F248" s="301"/>
      <c r="G248" s="301"/>
      <c r="H248" s="301"/>
      <c r="I248" s="301"/>
      <c r="J248" s="301"/>
      <c r="K248" s="301"/>
      <c r="L248" s="301"/>
      <c r="M248" s="301"/>
      <c r="N248" s="301"/>
      <c r="O248" s="301"/>
      <c r="P248" s="301"/>
      <c r="Q248" s="301"/>
      <c r="R248" s="301"/>
      <c r="S248" s="301"/>
      <c r="T248" s="301"/>
      <c r="U248" s="301"/>
      <c r="V248" s="301"/>
      <c r="W248" s="301"/>
      <c r="X248" s="301"/>
      <c r="Y248" s="301"/>
      <c r="Z248" s="301"/>
    </row>
    <row r="249" spans="1:26" ht="15.75" customHeight="1">
      <c r="A249" s="301"/>
      <c r="B249" s="301"/>
      <c r="C249" s="301"/>
      <c r="D249" s="301"/>
      <c r="E249" s="301"/>
      <c r="F249" s="301"/>
      <c r="G249" s="301"/>
      <c r="H249" s="301"/>
      <c r="I249" s="301"/>
      <c r="J249" s="301"/>
      <c r="K249" s="301"/>
      <c r="L249" s="301"/>
      <c r="M249" s="301"/>
      <c r="N249" s="301"/>
      <c r="O249" s="301"/>
      <c r="P249" s="301"/>
      <c r="Q249" s="301"/>
      <c r="R249" s="301"/>
      <c r="S249" s="301"/>
      <c r="T249" s="301"/>
      <c r="U249" s="301"/>
      <c r="V249" s="301"/>
      <c r="W249" s="301"/>
      <c r="X249" s="301"/>
      <c r="Y249" s="301"/>
      <c r="Z249" s="301"/>
    </row>
    <row r="250" spans="1:26" ht="15.75" customHeight="1">
      <c r="A250" s="301"/>
      <c r="B250" s="301"/>
      <c r="C250" s="301"/>
      <c r="D250" s="301"/>
      <c r="E250" s="301"/>
      <c r="F250" s="301"/>
      <c r="G250" s="301"/>
      <c r="H250" s="301"/>
      <c r="I250" s="301"/>
      <c r="J250" s="301"/>
      <c r="K250" s="301"/>
      <c r="L250" s="301"/>
      <c r="M250" s="301"/>
      <c r="N250" s="301"/>
      <c r="O250" s="301"/>
      <c r="P250" s="301"/>
      <c r="Q250" s="301"/>
      <c r="R250" s="301"/>
      <c r="S250" s="301"/>
      <c r="T250" s="301"/>
      <c r="U250" s="301"/>
      <c r="V250" s="301"/>
      <c r="W250" s="301"/>
      <c r="X250" s="301"/>
      <c r="Y250" s="301"/>
      <c r="Z250" s="301"/>
    </row>
    <row r="251" spans="1:26" ht="15.75" customHeight="1">
      <c r="A251" s="301"/>
      <c r="B251" s="301"/>
      <c r="C251" s="301"/>
      <c r="D251" s="301"/>
      <c r="E251" s="301"/>
      <c r="F251" s="301"/>
      <c r="G251" s="301"/>
      <c r="H251" s="301"/>
      <c r="I251" s="301"/>
      <c r="J251" s="301"/>
      <c r="K251" s="301"/>
      <c r="L251" s="301"/>
      <c r="M251" s="301"/>
      <c r="N251" s="301"/>
      <c r="O251" s="301"/>
      <c r="P251" s="301"/>
      <c r="Q251" s="301"/>
      <c r="R251" s="301"/>
      <c r="S251" s="301"/>
      <c r="T251" s="301"/>
      <c r="U251" s="301"/>
      <c r="V251" s="301"/>
      <c r="W251" s="301"/>
      <c r="X251" s="301"/>
      <c r="Y251" s="301"/>
      <c r="Z251" s="301"/>
    </row>
    <row r="252" spans="1:26" ht="15.75" customHeight="1">
      <c r="A252" s="301"/>
      <c r="B252" s="301"/>
      <c r="C252" s="301"/>
      <c r="D252" s="301"/>
      <c r="E252" s="301"/>
      <c r="F252" s="301"/>
      <c r="G252" s="301"/>
      <c r="H252" s="301"/>
      <c r="I252" s="301"/>
      <c r="J252" s="301"/>
      <c r="K252" s="301"/>
      <c r="L252" s="301"/>
      <c r="M252" s="301"/>
      <c r="N252" s="301"/>
      <c r="O252" s="301"/>
      <c r="P252" s="301"/>
      <c r="Q252" s="301"/>
      <c r="R252" s="301"/>
      <c r="S252" s="301"/>
      <c r="T252" s="301"/>
      <c r="U252" s="301"/>
      <c r="V252" s="301"/>
      <c r="W252" s="301"/>
      <c r="X252" s="301"/>
      <c r="Y252" s="301"/>
      <c r="Z252" s="301"/>
    </row>
    <row r="253" spans="1:26" ht="15.75" customHeight="1">
      <c r="A253" s="301"/>
      <c r="B253" s="301"/>
      <c r="C253" s="301"/>
      <c r="D253" s="301"/>
      <c r="E253" s="301"/>
      <c r="F253" s="301"/>
      <c r="G253" s="301"/>
      <c r="H253" s="301"/>
      <c r="I253" s="301"/>
      <c r="J253" s="301"/>
      <c r="K253" s="301"/>
      <c r="L253" s="301"/>
      <c r="M253" s="301"/>
      <c r="N253" s="301"/>
      <c r="O253" s="301"/>
      <c r="P253" s="301"/>
      <c r="Q253" s="301"/>
      <c r="R253" s="301"/>
      <c r="S253" s="301"/>
      <c r="T253" s="301"/>
      <c r="U253" s="301"/>
      <c r="V253" s="301"/>
      <c r="W253" s="301"/>
      <c r="X253" s="301"/>
      <c r="Y253" s="301"/>
      <c r="Z253" s="301"/>
    </row>
    <row r="254" spans="1:26" ht="15.75" customHeight="1"/>
    <row r="255" spans="1:26" ht="15.75" customHeight="1"/>
    <row r="256" spans="1:2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B61C4-DE67-134A-ACF1-D5066027B287}">
  <dimension ref="B2:U49"/>
  <sheetViews>
    <sheetView topLeftCell="A3" zoomScale="110" zoomScaleNormal="110" workbookViewId="0">
      <selection activeCell="J28" sqref="J28"/>
    </sheetView>
  </sheetViews>
  <sheetFormatPr baseColWidth="10" defaultColWidth="10.7109375" defaultRowHeight="17"/>
  <cols>
    <col min="1" max="1" width="10.7109375" style="52"/>
    <col min="2" max="2" width="22.7109375" style="52" bestFit="1" customWidth="1"/>
    <col min="3" max="3" width="12.42578125" style="52" bestFit="1" customWidth="1"/>
    <col min="4" max="4" width="17.140625" style="52" bestFit="1" customWidth="1"/>
    <col min="5" max="6" width="18.5703125" style="52" bestFit="1" customWidth="1"/>
    <col min="7" max="8" width="18.5703125" style="52" customWidth="1"/>
    <col min="9" max="9" width="10.85546875" style="52" bestFit="1" customWidth="1"/>
    <col min="10" max="10" width="12.42578125" style="52" bestFit="1" customWidth="1"/>
    <col min="11" max="11" width="20.28515625" style="52" customWidth="1"/>
    <col min="12" max="12" width="18.28515625" style="52" bestFit="1" customWidth="1"/>
    <col min="13" max="14" width="10.7109375" style="52"/>
    <col min="15" max="15" width="11.140625" style="52" bestFit="1" customWidth="1"/>
    <col min="16" max="18" width="10.7109375" style="52"/>
    <col min="19" max="19" width="4.5703125" style="52" bestFit="1" customWidth="1"/>
    <col min="20" max="20" width="4.7109375" style="52" customWidth="1"/>
    <col min="21" max="16384" width="10.7109375" style="52"/>
  </cols>
  <sheetData>
    <row r="2" spans="2:21" ht="37">
      <c r="B2" s="705" t="s">
        <v>279</v>
      </c>
      <c r="C2" s="705"/>
      <c r="D2" s="705"/>
      <c r="E2" s="705"/>
      <c r="F2" s="705"/>
      <c r="G2" s="705"/>
      <c r="H2" s="705"/>
      <c r="I2" s="705"/>
      <c r="J2" s="705"/>
      <c r="K2" s="705"/>
      <c r="L2" s="705"/>
      <c r="M2" s="705"/>
      <c r="N2" s="705"/>
      <c r="O2" s="705"/>
      <c r="P2" s="705"/>
      <c r="Q2" s="705"/>
    </row>
    <row r="3" spans="2:21">
      <c r="D3" s="53"/>
      <c r="E3" s="187"/>
    </row>
    <row r="4" spans="2:21">
      <c r="D4" s="53"/>
      <c r="E4" s="335"/>
    </row>
    <row r="5" spans="2:21">
      <c r="D5" s="53"/>
      <c r="E5" s="53"/>
    </row>
    <row r="6" spans="2:21">
      <c r="D6" s="53"/>
      <c r="E6" s="336"/>
    </row>
    <row r="7" spans="2:21">
      <c r="K7" s="72">
        <v>0.65787500602292359</v>
      </c>
      <c r="L7" s="704" t="s">
        <v>295</v>
      </c>
      <c r="M7" s="704"/>
      <c r="N7" s="704"/>
      <c r="O7" s="704"/>
      <c r="P7" s="704"/>
      <c r="Q7" s="704"/>
      <c r="S7" s="52" t="s">
        <v>298</v>
      </c>
      <c r="T7" s="52">
        <v>21</v>
      </c>
      <c r="U7" s="52" t="s">
        <v>299</v>
      </c>
    </row>
    <row r="8" spans="2:21">
      <c r="D8" s="53" t="s">
        <v>280</v>
      </c>
      <c r="E8" s="52" t="s">
        <v>18</v>
      </c>
      <c r="F8" s="52" t="s">
        <v>281</v>
      </c>
    </row>
    <row r="9" spans="2:21">
      <c r="D9" s="68">
        <f>K7*12</f>
        <v>7.8945000722750827</v>
      </c>
      <c r="E9" s="68">
        <f>218*K7</f>
        <v>143.41675131299735</v>
      </c>
      <c r="F9" s="68">
        <f>167*K7</f>
        <v>109.86512600582824</v>
      </c>
      <c r="G9" s="68"/>
      <c r="H9" s="68"/>
      <c r="L9" s="52" t="s">
        <v>296</v>
      </c>
    </row>
    <row r="10" spans="2:21">
      <c r="K10" s="67">
        <f>K7-K21</f>
        <v>0.65787500602292359</v>
      </c>
      <c r="L10" s="52" t="s">
        <v>283</v>
      </c>
      <c r="M10" s="52" t="s">
        <v>288</v>
      </c>
      <c r="N10" s="52" t="s">
        <v>293</v>
      </c>
      <c r="O10" s="52" t="s">
        <v>291</v>
      </c>
      <c r="P10" s="52" t="s">
        <v>289</v>
      </c>
      <c r="Q10" s="52">
        <v>5</v>
      </c>
    </row>
    <row r="11" spans="2:21">
      <c r="B11" s="54" t="s">
        <v>15</v>
      </c>
      <c r="C11" s="55">
        <f>12*D11</f>
        <v>27600</v>
      </c>
      <c r="D11" s="56">
        <v>2300</v>
      </c>
      <c r="E11" s="56">
        <f>C11/$E$9</f>
        <v>192.44613859482055</v>
      </c>
      <c r="F11" s="56">
        <f t="shared" ref="F11:F42" si="0">D11/$F$9</f>
        <v>20.934759587660121</v>
      </c>
      <c r="G11" s="56"/>
      <c r="H11" s="56"/>
      <c r="I11" s="57"/>
      <c r="L11" s="52" t="s">
        <v>284</v>
      </c>
      <c r="M11" s="52" t="s">
        <v>288</v>
      </c>
      <c r="N11" s="52" t="s">
        <v>293</v>
      </c>
      <c r="O11" s="52" t="s">
        <v>291</v>
      </c>
      <c r="P11" s="52" t="s">
        <v>289</v>
      </c>
      <c r="Q11" s="52">
        <v>5</v>
      </c>
    </row>
    <row r="12" spans="2:21">
      <c r="B12" s="54" t="s">
        <v>142</v>
      </c>
      <c r="C12" s="55">
        <f>'Prévisionnel 25-26'!C9</f>
        <v>12600</v>
      </c>
      <c r="D12" s="56">
        <f>C12/$D$9</f>
        <v>1596.0478668244359</v>
      </c>
      <c r="E12" s="56">
        <f>C12/$E$9</f>
        <v>87.855845880244161</v>
      </c>
      <c r="F12" s="56">
        <f t="shared" si="0"/>
        <v>14.527338427116236</v>
      </c>
      <c r="G12" s="56"/>
      <c r="H12" s="56"/>
      <c r="I12" s="57"/>
      <c r="L12" s="52" t="s">
        <v>285</v>
      </c>
      <c r="M12" s="52" t="s">
        <v>288</v>
      </c>
      <c r="N12" s="52" t="s">
        <v>293</v>
      </c>
      <c r="O12" s="52" t="s">
        <v>290</v>
      </c>
      <c r="P12" s="52" t="s">
        <v>292</v>
      </c>
      <c r="Q12" s="52">
        <v>6</v>
      </c>
    </row>
    <row r="13" spans="2:21">
      <c r="B13" s="54" t="s">
        <v>17</v>
      </c>
      <c r="C13" s="55">
        <f>'Prévisionnel 25-26'!C10</f>
        <v>850</v>
      </c>
      <c r="D13" s="56">
        <f t="shared" ref="D13:D42" si="1">C13/$D$9</f>
        <v>107.66989577783892</v>
      </c>
      <c r="E13" s="56">
        <f t="shared" ref="E13:E42" si="2">C13/$E$9</f>
        <v>5.9267832538259952</v>
      </c>
      <c r="F13" s="56">
        <f t="shared" si="0"/>
        <v>0.98001886214673006</v>
      </c>
      <c r="G13" s="56"/>
      <c r="H13" s="56"/>
      <c r="I13" s="57"/>
      <c r="L13" s="52" t="s">
        <v>286</v>
      </c>
      <c r="M13" s="52" t="s">
        <v>288</v>
      </c>
      <c r="N13" s="52" t="s">
        <v>293</v>
      </c>
      <c r="O13" s="52" t="s">
        <v>291</v>
      </c>
      <c r="P13" s="52" t="s">
        <v>294</v>
      </c>
      <c r="Q13" s="52">
        <v>4</v>
      </c>
    </row>
    <row r="14" spans="2:21">
      <c r="B14" s="54" t="s">
        <v>89</v>
      </c>
      <c r="C14" s="55">
        <f>'Prévisionnel 25-26'!C11</f>
        <v>1900</v>
      </c>
      <c r="D14" s="56">
        <f>C14/$D$9</f>
        <v>240.67388467987524</v>
      </c>
      <c r="E14" s="56">
        <f t="shared" si="2"/>
        <v>13.248103743846343</v>
      </c>
      <c r="F14" s="56">
        <f t="shared" si="0"/>
        <v>2.1906303977397497</v>
      </c>
      <c r="G14" s="56"/>
      <c r="H14" s="56"/>
      <c r="I14" s="57"/>
      <c r="L14" s="52" t="s">
        <v>287</v>
      </c>
      <c r="O14" s="52" t="s">
        <v>291</v>
      </c>
      <c r="P14" s="52" t="s">
        <v>289</v>
      </c>
      <c r="Q14" s="52">
        <v>4</v>
      </c>
    </row>
    <row r="15" spans="2:21" ht="18" thickBot="1">
      <c r="B15" s="58" t="s">
        <v>31</v>
      </c>
      <c r="C15" s="55">
        <f>'Prévisionnel 25-26'!C17</f>
        <v>2500</v>
      </c>
      <c r="D15" s="56">
        <f t="shared" si="1"/>
        <v>316.67616405246741</v>
      </c>
      <c r="E15" s="56">
        <f t="shared" si="2"/>
        <v>17.431715452429398</v>
      </c>
      <c r="F15" s="56">
        <f t="shared" si="0"/>
        <v>2.8824084180786178</v>
      </c>
      <c r="G15" s="56"/>
      <c r="H15" s="56"/>
      <c r="I15" s="57"/>
      <c r="K15" s="71">
        <f>T7*K10</f>
        <v>13.815375126481396</v>
      </c>
      <c r="L15" s="70" t="s">
        <v>297</v>
      </c>
      <c r="Q15" s="70">
        <f>SUM(Q10:Q14)</f>
        <v>24</v>
      </c>
    </row>
    <row r="16" spans="2:21" ht="18" thickBot="1">
      <c r="B16" s="58" t="s">
        <v>19</v>
      </c>
      <c r="C16" s="55">
        <f>'Prévisionnel 25-26'!C13</f>
        <v>7000</v>
      </c>
      <c r="D16" s="56">
        <f t="shared" si="1"/>
        <v>886.6932593469088</v>
      </c>
      <c r="E16" s="56">
        <f t="shared" si="2"/>
        <v>48.808803266802315</v>
      </c>
      <c r="F16" s="56">
        <f t="shared" si="0"/>
        <v>8.0707435706201309</v>
      </c>
      <c r="G16" s="56"/>
      <c r="H16" s="56"/>
      <c r="I16" s="57"/>
      <c r="K16" s="69"/>
      <c r="L16" s="344">
        <f>K15*8</f>
        <v>110.52300101185116</v>
      </c>
      <c r="M16" s="345" t="s">
        <v>305</v>
      </c>
    </row>
    <row r="17" spans="2:17">
      <c r="B17" s="58" t="s">
        <v>20</v>
      </c>
      <c r="C17" s="55">
        <f>'Prévisionnel 25-26'!C14</f>
        <v>900</v>
      </c>
      <c r="D17" s="56">
        <f t="shared" si="1"/>
        <v>114.00341905888827</v>
      </c>
      <c r="E17" s="56">
        <f t="shared" si="2"/>
        <v>6.2754175628745834</v>
      </c>
      <c r="F17" s="56">
        <f t="shared" si="0"/>
        <v>1.0376670305083024</v>
      </c>
      <c r="G17" s="56"/>
      <c r="H17" s="56"/>
      <c r="I17" s="57"/>
    </row>
    <row r="18" spans="2:17">
      <c r="B18" s="58" t="s">
        <v>21</v>
      </c>
      <c r="C18" s="55">
        <f>'Prévisionnel 25-26'!C16</f>
        <v>1000</v>
      </c>
      <c r="D18" s="56">
        <f t="shared" si="1"/>
        <v>126.67046562098697</v>
      </c>
      <c r="E18" s="56">
        <f t="shared" si="2"/>
        <v>6.9726861809717589</v>
      </c>
      <c r="F18" s="56">
        <f t="shared" si="0"/>
        <v>1.1529633672314472</v>
      </c>
      <c r="G18" s="56"/>
      <c r="H18" s="56"/>
      <c r="I18" s="57"/>
    </row>
    <row r="19" spans="2:17">
      <c r="B19" s="58" t="s">
        <v>22</v>
      </c>
      <c r="C19" s="55">
        <f>'Prévisionnel 25-26'!C12</f>
        <v>300</v>
      </c>
      <c r="D19" s="56">
        <f t="shared" si="1"/>
        <v>38.001139686296092</v>
      </c>
      <c r="E19" s="56">
        <f t="shared" si="2"/>
        <v>2.0918058542915277</v>
      </c>
      <c r="F19" s="56">
        <f t="shared" si="0"/>
        <v>0.34588901016943419</v>
      </c>
      <c r="G19" s="56"/>
      <c r="H19" s="56"/>
      <c r="I19" s="57"/>
    </row>
    <row r="20" spans="2:17">
      <c r="B20" s="58" t="s">
        <v>171</v>
      </c>
      <c r="C20" s="55">
        <f>'Prévisionnel 25-26'!C22</f>
        <v>120</v>
      </c>
      <c r="D20" s="56">
        <f t="shared" si="1"/>
        <v>15.200455874518436</v>
      </c>
      <c r="E20" s="56">
        <f t="shared" si="2"/>
        <v>0.83672234171661108</v>
      </c>
      <c r="F20" s="56">
        <f t="shared" si="0"/>
        <v>0.13835560406777367</v>
      </c>
      <c r="G20" s="56"/>
      <c r="H20" s="56"/>
      <c r="I20" s="57"/>
      <c r="L20" s="52" t="s">
        <v>257</v>
      </c>
    </row>
    <row r="21" spans="2:17">
      <c r="B21" s="58" t="s">
        <v>168</v>
      </c>
      <c r="C21" s="55">
        <f>'Prévisionnel 25-26'!C23</f>
        <v>500</v>
      </c>
      <c r="D21" s="56">
        <f t="shared" si="1"/>
        <v>63.335232810493487</v>
      </c>
      <c r="E21" s="56">
        <f t="shared" si="2"/>
        <v>3.4863430904858794</v>
      </c>
      <c r="F21" s="56">
        <f t="shared" si="0"/>
        <v>0.57648168361572361</v>
      </c>
      <c r="G21" s="56"/>
      <c r="H21" s="56"/>
      <c r="I21" s="57"/>
      <c r="K21" s="67">
        <f>K23/T7</f>
        <v>0</v>
      </c>
      <c r="Q21" s="70"/>
    </row>
    <row r="22" spans="2:17">
      <c r="B22" s="58" t="s">
        <v>169</v>
      </c>
      <c r="C22" s="55">
        <f>'Prévisionnel 25-26'!C38</f>
        <v>2000</v>
      </c>
      <c r="D22" s="56">
        <f t="shared" si="1"/>
        <v>253.34093124197395</v>
      </c>
      <c r="E22" s="56">
        <f t="shared" si="2"/>
        <v>13.945372361943518</v>
      </c>
      <c r="F22" s="56">
        <f t="shared" si="0"/>
        <v>2.3059267344628944</v>
      </c>
      <c r="G22" s="56"/>
      <c r="H22" s="56"/>
      <c r="I22" s="57"/>
      <c r="K22" s="71"/>
      <c r="L22" s="70" t="s">
        <v>306</v>
      </c>
      <c r="O22" s="340"/>
    </row>
    <row r="23" spans="2:17">
      <c r="B23" s="58" t="s">
        <v>177</v>
      </c>
      <c r="C23" s="55">
        <f>'Prévisionnel 25-26'!C24</f>
        <v>2000</v>
      </c>
      <c r="D23" s="56">
        <f t="shared" si="1"/>
        <v>253.34093124197395</v>
      </c>
      <c r="E23" s="56">
        <f t="shared" si="2"/>
        <v>13.945372361943518</v>
      </c>
      <c r="F23" s="56">
        <f t="shared" si="0"/>
        <v>2.3059267344628944</v>
      </c>
      <c r="G23" s="56"/>
      <c r="H23" s="56"/>
      <c r="I23" s="57"/>
      <c r="K23" s="342">
        <v>0</v>
      </c>
      <c r="L23" s="70" t="s">
        <v>307</v>
      </c>
      <c r="M23" s="56"/>
      <c r="N23" s="56"/>
    </row>
    <row r="24" spans="2:17">
      <c r="B24" s="58" t="s">
        <v>161</v>
      </c>
      <c r="C24" s="55">
        <f>'Prévisionnel 25-26'!C25</f>
        <v>1250</v>
      </c>
      <c r="D24" s="56">
        <f t="shared" si="1"/>
        <v>158.33808202623371</v>
      </c>
      <c r="E24" s="56">
        <f t="shared" si="2"/>
        <v>8.7158577262146988</v>
      </c>
      <c r="F24" s="56">
        <f t="shared" si="0"/>
        <v>1.4412042090393089</v>
      </c>
      <c r="G24" s="56"/>
      <c r="H24" s="56"/>
      <c r="I24" s="57"/>
      <c r="K24" s="73" t="e">
        <f>C32/12/K23</f>
        <v>#DIV/0!</v>
      </c>
      <c r="L24" s="70" t="s">
        <v>282</v>
      </c>
      <c r="O24" s="341"/>
    </row>
    <row r="25" spans="2:17">
      <c r="B25" s="58" t="s">
        <v>258</v>
      </c>
      <c r="C25" s="55">
        <f>'Prévisionnel 25-26'!C26</f>
        <v>960</v>
      </c>
      <c r="D25" s="56">
        <f t="shared" si="1"/>
        <v>121.60364699614749</v>
      </c>
      <c r="E25" s="56">
        <f t="shared" si="2"/>
        <v>6.6937787337328887</v>
      </c>
      <c r="F25" s="56">
        <f t="shared" si="0"/>
        <v>1.1068448325421893</v>
      </c>
      <c r="G25" s="56"/>
      <c r="H25" s="56"/>
      <c r="I25" s="57"/>
      <c r="O25" s="341"/>
    </row>
    <row r="26" spans="2:17">
      <c r="B26" s="58" t="s">
        <v>23</v>
      </c>
      <c r="C26" s="55">
        <f>'Prévisionnel 25-26'!C28</f>
        <v>1000</v>
      </c>
      <c r="D26" s="56">
        <f t="shared" si="1"/>
        <v>126.67046562098697</v>
      </c>
      <c r="E26" s="56">
        <f t="shared" si="2"/>
        <v>6.9726861809717589</v>
      </c>
      <c r="F26" s="56">
        <f t="shared" si="0"/>
        <v>1.1529633672314472</v>
      </c>
      <c r="G26" s="56"/>
      <c r="H26" s="56"/>
      <c r="I26" s="57"/>
    </row>
    <row r="27" spans="2:17">
      <c r="B27" s="58" t="s">
        <v>24</v>
      </c>
      <c r="C27" s="55">
        <f>'Prévisionnel 25-26'!C29</f>
        <v>33.333333333333336</v>
      </c>
      <c r="D27" s="56">
        <f t="shared" si="1"/>
        <v>4.2223488540328988</v>
      </c>
      <c r="E27" s="56">
        <f t="shared" si="2"/>
        <v>0.23242287269905865</v>
      </c>
      <c r="F27" s="56">
        <f t="shared" si="0"/>
        <v>3.8432112241048241E-2</v>
      </c>
      <c r="G27" s="56"/>
      <c r="H27" s="56"/>
      <c r="I27" s="57"/>
    </row>
    <row r="28" spans="2:17">
      <c r="B28" s="58" t="s">
        <v>162</v>
      </c>
      <c r="C28" s="55">
        <f>'Prévisionnel 25-26'!C33</f>
        <v>583.33333333333337</v>
      </c>
      <c r="D28" s="56">
        <f t="shared" si="1"/>
        <v>73.891104945575734</v>
      </c>
      <c r="E28" s="56">
        <f t="shared" si="2"/>
        <v>4.0674002722335265</v>
      </c>
      <c r="F28" s="56">
        <f t="shared" si="0"/>
        <v>0.67256196421834424</v>
      </c>
      <c r="G28" s="56"/>
      <c r="H28" s="56"/>
      <c r="I28" s="57"/>
    </row>
    <row r="29" spans="2:17">
      <c r="B29" s="58" t="s">
        <v>163</v>
      </c>
      <c r="C29" s="55">
        <f>'Prévisionnel 25-26'!C27</f>
        <v>550</v>
      </c>
      <c r="D29" s="56">
        <f t="shared" si="1"/>
        <v>69.668756091542832</v>
      </c>
      <c r="E29" s="56">
        <f t="shared" si="2"/>
        <v>3.8349773995344676</v>
      </c>
      <c r="F29" s="56">
        <f t="shared" si="0"/>
        <v>0.63412985197729599</v>
      </c>
      <c r="G29" s="56"/>
      <c r="H29" s="56"/>
      <c r="I29" s="57"/>
    </row>
    <row r="30" spans="2:17">
      <c r="B30" s="58" t="s">
        <v>27</v>
      </c>
      <c r="C30" s="55">
        <f>'Prévisionnel 25-26'!C30</f>
        <v>267</v>
      </c>
      <c r="D30" s="56">
        <f t="shared" si="1"/>
        <v>33.821014320803521</v>
      </c>
      <c r="E30" s="56">
        <f t="shared" si="2"/>
        <v>1.8617072103194596</v>
      </c>
      <c r="F30" s="56">
        <f t="shared" si="0"/>
        <v>0.30784121905079642</v>
      </c>
      <c r="G30" s="56"/>
      <c r="H30" s="56"/>
      <c r="I30" s="57"/>
    </row>
    <row r="31" spans="2:17">
      <c r="B31" s="58" t="s">
        <v>28</v>
      </c>
      <c r="C31" s="55">
        <f>'Prévisionnel 25-26'!C18</f>
        <v>1900</v>
      </c>
      <c r="D31" s="56">
        <f t="shared" si="1"/>
        <v>240.67388467987524</v>
      </c>
      <c r="E31" s="56">
        <f t="shared" si="2"/>
        <v>13.248103743846343</v>
      </c>
      <c r="F31" s="56">
        <f t="shared" si="0"/>
        <v>2.1906303977397497</v>
      </c>
      <c r="G31" s="56"/>
      <c r="H31" s="56"/>
      <c r="I31" s="57"/>
    </row>
    <row r="32" spans="2:17">
      <c r="B32" s="59" t="s">
        <v>318</v>
      </c>
      <c r="C32" s="55">
        <v>0</v>
      </c>
      <c r="D32" s="56">
        <f t="shared" si="1"/>
        <v>0</v>
      </c>
      <c r="E32" s="56">
        <f t="shared" si="2"/>
        <v>0</v>
      </c>
      <c r="F32" s="56">
        <f t="shared" si="0"/>
        <v>0</v>
      </c>
      <c r="G32" s="60"/>
      <c r="H32" s="60"/>
      <c r="I32" s="57"/>
    </row>
    <row r="33" spans="2:16">
      <c r="B33" s="59" t="s">
        <v>111</v>
      </c>
      <c r="C33" s="55">
        <f>'Prévisionnel 25-26'!C35</f>
        <v>4810</v>
      </c>
      <c r="D33" s="56">
        <f t="shared" si="1"/>
        <v>609.28493963694734</v>
      </c>
      <c r="E33" s="56">
        <f t="shared" si="2"/>
        <v>33.538620530474162</v>
      </c>
      <c r="F33" s="56">
        <f t="shared" si="0"/>
        <v>5.545753796383261</v>
      </c>
      <c r="G33" s="60"/>
      <c r="H33" s="60"/>
      <c r="I33" s="57"/>
      <c r="K33" s="56"/>
      <c r="M33" s="69"/>
    </row>
    <row r="34" spans="2:16">
      <c r="B34" s="59" t="s">
        <v>30</v>
      </c>
      <c r="C34" s="55">
        <f>'Prévisionnel 25-26'!C7</f>
        <v>0</v>
      </c>
      <c r="D34" s="56">
        <f t="shared" si="1"/>
        <v>0</v>
      </c>
      <c r="E34" s="56">
        <f t="shared" si="2"/>
        <v>0</v>
      </c>
      <c r="F34" s="56">
        <f t="shared" si="0"/>
        <v>0</v>
      </c>
      <c r="G34" s="56"/>
      <c r="H34" s="56"/>
      <c r="I34" s="57"/>
    </row>
    <row r="35" spans="2:16">
      <c r="B35" s="59" t="s">
        <v>29</v>
      </c>
      <c r="C35" s="55">
        <f>'Prévisionnel 25-26'!C6</f>
        <v>3500</v>
      </c>
      <c r="D35" s="56">
        <f t="shared" si="1"/>
        <v>443.3466296734544</v>
      </c>
      <c r="E35" s="56">
        <f t="shared" si="2"/>
        <v>24.404401633401157</v>
      </c>
      <c r="F35" s="56">
        <f t="shared" si="0"/>
        <v>4.0353717853100655</v>
      </c>
      <c r="G35" s="56"/>
      <c r="H35" s="56"/>
      <c r="I35" s="57"/>
    </row>
    <row r="36" spans="2:16">
      <c r="B36" s="59" t="s">
        <v>173</v>
      </c>
      <c r="C36" s="55">
        <f>'Prévisionnel 25-26'!C21</f>
        <v>833.33333333333337</v>
      </c>
      <c r="D36" s="56">
        <f t="shared" si="1"/>
        <v>105.55872135082248</v>
      </c>
      <c r="E36" s="56">
        <f t="shared" si="2"/>
        <v>5.8105718174764664</v>
      </c>
      <c r="F36" s="56">
        <f t="shared" si="0"/>
        <v>0.96080280602620605</v>
      </c>
      <c r="G36" s="56"/>
      <c r="H36" s="56"/>
      <c r="I36" s="57"/>
    </row>
    <row r="37" spans="2:16">
      <c r="B37" s="59" t="s">
        <v>195</v>
      </c>
      <c r="C37" s="55">
        <f>'Prévisionnel 25-26'!C8</f>
        <v>830</v>
      </c>
      <c r="D37" s="56">
        <f t="shared" si="1"/>
        <v>105.13648646541918</v>
      </c>
      <c r="E37" s="56">
        <f t="shared" si="2"/>
        <v>5.7873295302065602</v>
      </c>
      <c r="F37" s="56">
        <f t="shared" si="0"/>
        <v>0.95695959480210113</v>
      </c>
      <c r="G37" s="56"/>
      <c r="H37" s="56"/>
      <c r="I37" s="57"/>
    </row>
    <row r="38" spans="2:16">
      <c r="B38" s="61" t="s">
        <v>251</v>
      </c>
      <c r="C38" s="55">
        <f>'Prévisionnel 25-26'!C37</f>
        <v>8400</v>
      </c>
      <c r="D38" s="56">
        <f t="shared" si="1"/>
        <v>1064.0319112162906</v>
      </c>
      <c r="E38" s="56">
        <f t="shared" si="2"/>
        <v>58.570563920162776</v>
      </c>
      <c r="F38" s="56">
        <f t="shared" si="0"/>
        <v>9.6848922847441568</v>
      </c>
      <c r="G38" s="56"/>
      <c r="H38" s="56"/>
      <c r="I38" s="57"/>
    </row>
    <row r="39" spans="2:16">
      <c r="B39" s="61" t="s">
        <v>247</v>
      </c>
      <c r="C39" s="55" t="e">
        <f>'Prévisionnel 25-26'!#REF!</f>
        <v>#REF!</v>
      </c>
      <c r="D39" s="56" t="e">
        <f t="shared" si="1"/>
        <v>#REF!</v>
      </c>
      <c r="E39" s="56" t="e">
        <f t="shared" si="2"/>
        <v>#REF!</v>
      </c>
      <c r="F39" s="56" t="e">
        <f t="shared" si="0"/>
        <v>#REF!</v>
      </c>
      <c r="G39" s="56"/>
      <c r="H39" s="56"/>
      <c r="I39" s="57"/>
    </row>
    <row r="40" spans="2:16">
      <c r="B40" s="61" t="s">
        <v>248</v>
      </c>
      <c r="C40" s="55">
        <f>'Prévisionnel 25-26'!C31</f>
        <v>300</v>
      </c>
      <c r="D40" s="56">
        <f t="shared" si="1"/>
        <v>38.001139686296092</v>
      </c>
      <c r="E40" s="56">
        <f t="shared" si="2"/>
        <v>2.0918058542915277</v>
      </c>
      <c r="F40" s="56">
        <f t="shared" si="0"/>
        <v>0.34588901016943419</v>
      </c>
      <c r="G40" s="56"/>
      <c r="H40" s="56"/>
      <c r="I40" s="57"/>
    </row>
    <row r="41" spans="2:16">
      <c r="B41" s="61" t="s">
        <v>250</v>
      </c>
      <c r="C41" s="55" t="e">
        <f>'Prévisionnel 25-26'!#REF!</f>
        <v>#REF!</v>
      </c>
      <c r="D41" s="56" t="e">
        <f t="shared" si="1"/>
        <v>#REF!</v>
      </c>
      <c r="E41" s="56" t="e">
        <f t="shared" si="2"/>
        <v>#REF!</v>
      </c>
      <c r="F41" s="56" t="e">
        <f t="shared" si="0"/>
        <v>#REF!</v>
      </c>
      <c r="G41" s="56"/>
      <c r="H41" s="56"/>
      <c r="I41" s="57"/>
    </row>
    <row r="42" spans="2:16" ht="18" thickBot="1">
      <c r="B42" s="61" t="s">
        <v>252</v>
      </c>
      <c r="C42" s="55">
        <f>'Prévisionnel 25-26'!C15</f>
        <v>240</v>
      </c>
      <c r="D42" s="56">
        <f t="shared" si="1"/>
        <v>30.400911749036872</v>
      </c>
      <c r="E42" s="56">
        <f t="shared" si="2"/>
        <v>1.6734446834332222</v>
      </c>
      <c r="F42" s="56">
        <f t="shared" si="0"/>
        <v>0.27671120813554734</v>
      </c>
      <c r="G42" s="56"/>
      <c r="H42" s="56"/>
      <c r="I42" s="57"/>
    </row>
    <row r="43" spans="2:16" ht="18" thickBot="1">
      <c r="B43" s="74" t="s">
        <v>301</v>
      </c>
      <c r="C43" s="75" t="e">
        <f>SUM(C11:C42)</f>
        <v>#REF!</v>
      </c>
      <c r="D43" s="76" t="e">
        <f>SUM(D11:D42)</f>
        <v>#REF!</v>
      </c>
      <c r="E43" s="76" t="e">
        <f>SUM(E11:E42)</f>
        <v>#REF!</v>
      </c>
      <c r="F43" s="77" t="e">
        <f>SUM(F11:F42)</f>
        <v>#REF!</v>
      </c>
      <c r="G43" s="346"/>
      <c r="H43" s="346"/>
      <c r="I43" s="57"/>
      <c r="J43" s="56"/>
    </row>
    <row r="44" spans="2:16" ht="18" thickBot="1">
      <c r="B44" s="52" t="s">
        <v>300</v>
      </c>
      <c r="C44" s="62">
        <v>0.17</v>
      </c>
    </row>
    <row r="45" spans="2:16" ht="29" customHeight="1" thickBot="1">
      <c r="B45" s="78" t="s">
        <v>302</v>
      </c>
      <c r="C45" s="79" t="e">
        <f>C43+C43*C44</f>
        <v>#REF!</v>
      </c>
      <c r="D45" s="64">
        <f>'Prévisionnel 25-26'!C50</f>
        <v>109561.65266666669</v>
      </c>
      <c r="E45" s="339" t="e">
        <f>C45-C43</f>
        <v>#REF!</v>
      </c>
      <c r="L45" s="80"/>
      <c r="M45" s="81"/>
      <c r="N45" s="65"/>
      <c r="O45" s="65"/>
      <c r="P45" s="65"/>
    </row>
    <row r="46" spans="2:16">
      <c r="L46" s="56"/>
    </row>
    <row r="47" spans="2:16">
      <c r="D47" s="65" t="s">
        <v>308</v>
      </c>
      <c r="E47" s="63" t="e">
        <f>C45/E9</f>
        <v>#REF!</v>
      </c>
      <c r="F47" s="63" t="e">
        <f>C45/12/F9</f>
        <v>#REF!</v>
      </c>
    </row>
    <row r="49" spans="3:3">
      <c r="C49" s="62"/>
    </row>
  </sheetData>
  <mergeCells count="2">
    <mergeCell ref="L7:Q7"/>
    <mergeCell ref="B2:Q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2</vt:i4>
      </vt:variant>
    </vt:vector>
  </HeadingPairs>
  <TitlesOfParts>
    <vt:vector size="13" baseType="lpstr">
      <vt:lpstr>CA</vt:lpstr>
      <vt:lpstr>Planning facturation 25-26</vt:lpstr>
      <vt:lpstr>facturation 25-26</vt:lpstr>
      <vt:lpstr>Prévisionnel 25-26</vt:lpstr>
      <vt:lpstr>COMPTA ANALYTIQUE</vt:lpstr>
      <vt:lpstr>BANQUE</vt:lpstr>
      <vt:lpstr>prévi SL LD</vt:lpstr>
      <vt:lpstr>Feuil2</vt:lpstr>
      <vt:lpstr>Prospect</vt:lpstr>
      <vt:lpstr>calcul salaire</vt:lpstr>
      <vt:lpstr>calcul Marge collaborateur</vt:lpstr>
      <vt:lpstr>LISTE_TRI</vt:lpstr>
      <vt:lpstr>BANQUE!Zone_d_impression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Sabine LOMEDICO</cp:lastModifiedBy>
  <cp:lastPrinted>2025-12-01T11:46:33Z</cp:lastPrinted>
  <dcterms:created xsi:type="dcterms:W3CDTF">2024-08-30T08:51:42Z</dcterms:created>
  <dcterms:modified xsi:type="dcterms:W3CDTF">2026-08-29T23:57:08Z</dcterms:modified>
</cp:coreProperties>
</file>